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9\"/>
    </mc:Choice>
  </mc:AlternateContent>
  <xr:revisionPtr revIDLastSave="0" documentId="13_ncr:1_{33693242-5B51-4712-9333-633C6702CEB4}" xr6:coauthVersionLast="47" xr6:coauthVersionMax="47" xr10:uidLastSave="{00000000-0000-0000-0000-000000000000}"/>
  <bookViews>
    <workbookView xWindow="33225" yWindow="-9960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04" r:id="rId29"/>
    <sheet name="Pg, Winter, S5" sheetId="205" r:id="rId30"/>
    <sheet name="Pg, Winter, S6" sheetId="206" r:id="rId31"/>
    <sheet name="Pg, Winter, S7" sheetId="207" r:id="rId32"/>
    <sheet name="Pg, Winter, S8" sheetId="208" r:id="rId33"/>
    <sheet name="Pg, Winter, S9" sheetId="209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55" r:id="rId45"/>
    <sheet name="Pc, Spring, S2" sheetId="256" r:id="rId46"/>
    <sheet name="Pc, Spring, S3" sheetId="257" r:id="rId47"/>
    <sheet name="Pc, Spring, S4" sheetId="258" r:id="rId48"/>
    <sheet name="Pc, Spring, S5" sheetId="259" r:id="rId49"/>
    <sheet name="Pc, Spring, S6" sheetId="260" r:id="rId50"/>
    <sheet name="Pc, Spring, S7" sheetId="261" r:id="rId51"/>
    <sheet name="Pc, Spring, S8" sheetId="262" r:id="rId52"/>
    <sheet name="Pc, Spring, S9" sheetId="263" r:id="rId53"/>
    <sheet name="Qc, Spring, S1" sheetId="264" r:id="rId54"/>
    <sheet name="Qc, Spring, S2" sheetId="265" r:id="rId55"/>
    <sheet name="Qc, Spring, S3" sheetId="266" r:id="rId56"/>
    <sheet name="Qc, Spring, S4" sheetId="267" r:id="rId57"/>
    <sheet name="Qc, Spring, S5" sheetId="268" r:id="rId58"/>
    <sheet name="Qc, Spring, S6" sheetId="269" r:id="rId59"/>
    <sheet name="Qc, Spring, S7" sheetId="270" r:id="rId60"/>
    <sheet name="Qc, Spring, S8" sheetId="271" r:id="rId61"/>
    <sheet name="Qc, Spring, S9" sheetId="272" r:id="rId62"/>
    <sheet name="UpFlex, Spring" sheetId="273" r:id="rId63"/>
    <sheet name="DownFlex, Spring" sheetId="274" r:id="rId64"/>
    <sheet name="Pg, Spring, S1" sheetId="275" r:id="rId65"/>
    <sheet name="Pg, Spring, S2" sheetId="276" r:id="rId66"/>
    <sheet name="Pg, Spring, S3" sheetId="277" r:id="rId67"/>
    <sheet name="Pg, Spring, S4" sheetId="278" r:id="rId68"/>
    <sheet name="Pg, Spring, S5" sheetId="279" r:id="rId69"/>
    <sheet name="Pg, Spring, S6" sheetId="280" r:id="rId70"/>
    <sheet name="Pg, Spring, S7" sheetId="281" r:id="rId71"/>
    <sheet name="Pg, Spring, S8" sheetId="282" r:id="rId72"/>
    <sheet name="Pg, Spring, S9" sheetId="283" r:id="rId73"/>
    <sheet name="Qg, Spring, S1" sheetId="284" r:id="rId74"/>
    <sheet name="Qg, Spring, S2" sheetId="285" r:id="rId75"/>
    <sheet name="Qg, Spring, S3" sheetId="286" r:id="rId76"/>
    <sheet name="Qg, Spring, S4" sheetId="287" r:id="rId77"/>
    <sheet name="Qg, Spring, S5" sheetId="288" r:id="rId78"/>
    <sheet name="Qg, Spring, S6" sheetId="289" r:id="rId79"/>
    <sheet name="Qg, Spring, S7" sheetId="290" r:id="rId80"/>
    <sheet name="Qg, Spring, S8" sheetId="291" r:id="rId81"/>
    <sheet name="Qg, Spring, S9" sheetId="292" r:id="rId82"/>
    <sheet name="GenStatus, Spring" sheetId="293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36" r:id="rId104"/>
    <sheet name="Pg, Summer, S2" sheetId="237" r:id="rId105"/>
    <sheet name="Pg, Summer, S3" sheetId="238" r:id="rId106"/>
    <sheet name="Pg, Summer, S4" sheetId="239" r:id="rId107"/>
    <sheet name="Pg, Summer, S5" sheetId="240" r:id="rId108"/>
    <sheet name="Pg, Summer, S6" sheetId="241" r:id="rId109"/>
    <sheet name="Pg, Summer, S7" sheetId="242" r:id="rId110"/>
    <sheet name="Pg, Summer, S8" sheetId="243" r:id="rId111"/>
    <sheet name="Pg, Summer, S9" sheetId="244" r:id="rId112"/>
    <sheet name="Qg, Summer, S1" sheetId="245" r:id="rId113"/>
    <sheet name="Qg, Summer, S2" sheetId="246" r:id="rId114"/>
    <sheet name="Qg, Summer, S3" sheetId="247" r:id="rId115"/>
    <sheet name="Qg, Summer, S4" sheetId="248" r:id="rId116"/>
    <sheet name="Qg, Summer, S5" sheetId="249" r:id="rId117"/>
    <sheet name="Qg, Summer, S6" sheetId="250" r:id="rId118"/>
    <sheet name="Qg, Summer, S7" sheetId="251" r:id="rId119"/>
    <sheet name="Qg, Summer, S8" sheetId="252" r:id="rId120"/>
    <sheet name="Qg, Summer, S9" sheetId="253" r:id="rId121"/>
    <sheet name="GenStatus, Summer" sheetId="254" r:id="rId122"/>
    <sheet name="Pc, Autumn, S1" sheetId="294" r:id="rId123"/>
    <sheet name="Pc, Autumn, S2" sheetId="295" r:id="rId124"/>
    <sheet name="Pc, Autumn, S3" sheetId="296" r:id="rId125"/>
    <sheet name="Pc, Autumn, S4" sheetId="297" r:id="rId126"/>
    <sheet name="Pc, Autumn, S5" sheetId="298" r:id="rId127"/>
    <sheet name="Pc, Autumn, S6" sheetId="299" r:id="rId128"/>
    <sheet name="Pc, Autumn, S7" sheetId="300" r:id="rId129"/>
    <sheet name="Pc, Autumn, S8" sheetId="301" r:id="rId130"/>
    <sheet name="Pc, Autumn, S9" sheetId="302" r:id="rId131"/>
    <sheet name="Qc, Autumn, S1" sheetId="303" r:id="rId132"/>
    <sheet name="Qc, Autumn, S2" sheetId="304" r:id="rId133"/>
    <sheet name="Qc, Autumn, S3" sheetId="305" r:id="rId134"/>
    <sheet name="Qc, Autumn, S4" sheetId="306" r:id="rId135"/>
    <sheet name="Qc, Autumn, S5" sheetId="307" r:id="rId136"/>
    <sheet name="Qc, Autumn, S6" sheetId="308" r:id="rId137"/>
    <sheet name="Qc, Autumn, S7" sheetId="309" r:id="rId138"/>
    <sheet name="Qc, Autumn, S8" sheetId="310" r:id="rId139"/>
    <sheet name="Qc, Autumn, S9" sheetId="311" r:id="rId140"/>
    <sheet name="UpFlex, Autumn" sheetId="312" r:id="rId141"/>
    <sheet name="DownFlex, Autumn" sheetId="313" r:id="rId142"/>
    <sheet name="Pg, Autumn, S1" sheetId="314" r:id="rId143"/>
    <sheet name="Pg, Autumn, S2" sheetId="315" r:id="rId144"/>
    <sheet name="Pg, Autumn, S3" sheetId="316" r:id="rId145"/>
    <sheet name="Pg, Autumn, S4" sheetId="317" r:id="rId146"/>
    <sheet name="Pg, Autumn, S5" sheetId="318" r:id="rId147"/>
    <sheet name="Pg, Autumn, S6" sheetId="319" r:id="rId148"/>
    <sheet name="Pg, Autumn, S7" sheetId="320" r:id="rId149"/>
    <sheet name="Pg, Autumn, S8" sheetId="321" r:id="rId150"/>
    <sheet name="Pg, Autumn, S9" sheetId="322" r:id="rId151"/>
    <sheet name="Qg, Autumn, S1" sheetId="323" r:id="rId152"/>
    <sheet name="Qg, Autumn, S2" sheetId="324" r:id="rId153"/>
    <sheet name="Qg, Autumn, S3" sheetId="325" r:id="rId154"/>
    <sheet name="Qg, Autumn, S4" sheetId="326" r:id="rId155"/>
    <sheet name="Qg, Autumn, S5" sheetId="327" r:id="rId156"/>
    <sheet name="Qg, Autumn, S6" sheetId="328" r:id="rId157"/>
    <sheet name="Qg, Autumn, S7" sheetId="329" r:id="rId158"/>
    <sheet name="Qg, Autumn, S8" sheetId="330" r:id="rId159"/>
    <sheet name="Qg, Autumn, S9" sheetId="331" r:id="rId160"/>
    <sheet name="GenStatus, Autumn" sheetId="332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" i="322" l="1"/>
  <c r="X10" i="322"/>
  <c r="W10" i="322"/>
  <c r="V10" i="322"/>
  <c r="U10" i="322"/>
  <c r="T10" i="322"/>
  <c r="S10" i="322"/>
  <c r="R10" i="322"/>
  <c r="Q10" i="322"/>
  <c r="P10" i="322"/>
  <c r="O10" i="322"/>
  <c r="N10" i="322"/>
  <c r="M10" i="322"/>
  <c r="L10" i="322"/>
  <c r="K10" i="322"/>
  <c r="J10" i="322"/>
  <c r="I10" i="322"/>
  <c r="H10" i="322"/>
  <c r="G10" i="322"/>
  <c r="F10" i="322"/>
  <c r="E10" i="322"/>
  <c r="D10" i="322"/>
  <c r="C10" i="322"/>
  <c r="B10" i="322"/>
  <c r="Y9" i="322"/>
  <c r="X9" i="322"/>
  <c r="W9" i="322"/>
  <c r="V9" i="322"/>
  <c r="U9" i="322"/>
  <c r="T9" i="322"/>
  <c r="S9" i="322"/>
  <c r="R9" i="322"/>
  <c r="Q9" i="322"/>
  <c r="P9" i="322"/>
  <c r="O9" i="322"/>
  <c r="N9" i="322"/>
  <c r="M9" i="322"/>
  <c r="L9" i="322"/>
  <c r="K9" i="322"/>
  <c r="J9" i="322"/>
  <c r="I9" i="322"/>
  <c r="H9" i="322"/>
  <c r="G9" i="322"/>
  <c r="F9" i="322"/>
  <c r="E9" i="322"/>
  <c r="D9" i="322"/>
  <c r="C9" i="322"/>
  <c r="B9" i="322"/>
  <c r="Y8" i="322"/>
  <c r="X8" i="322"/>
  <c r="W8" i="322"/>
  <c r="V8" i="322"/>
  <c r="U8" i="322"/>
  <c r="T8" i="322"/>
  <c r="S8" i="322"/>
  <c r="R8" i="322"/>
  <c r="Q8" i="322"/>
  <c r="P8" i="322"/>
  <c r="O8" i="322"/>
  <c r="N8" i="322"/>
  <c r="M8" i="322"/>
  <c r="L8" i="322"/>
  <c r="K8" i="322"/>
  <c r="J8" i="322"/>
  <c r="I8" i="322"/>
  <c r="H8" i="322"/>
  <c r="G8" i="322"/>
  <c r="F8" i="322"/>
  <c r="E8" i="322"/>
  <c r="D8" i="322"/>
  <c r="C8" i="322"/>
  <c r="B8" i="322"/>
  <c r="Y7" i="322"/>
  <c r="X7" i="322"/>
  <c r="W7" i="322"/>
  <c r="V7" i="322"/>
  <c r="U7" i="322"/>
  <c r="T7" i="322"/>
  <c r="S7" i="322"/>
  <c r="R7" i="322"/>
  <c r="Q7" i="322"/>
  <c r="P7" i="322"/>
  <c r="O7" i="322"/>
  <c r="N7" i="322"/>
  <c r="M7" i="322"/>
  <c r="L7" i="322"/>
  <c r="K7" i="322"/>
  <c r="J7" i="322"/>
  <c r="I7" i="322"/>
  <c r="H7" i="322"/>
  <c r="G7" i="322"/>
  <c r="F7" i="322"/>
  <c r="E7" i="322"/>
  <c r="D7" i="322"/>
  <c r="C7" i="322"/>
  <c r="B7" i="322"/>
  <c r="Y6" i="322"/>
  <c r="X6" i="322"/>
  <c r="W6" i="322"/>
  <c r="V6" i="322"/>
  <c r="U6" i="322"/>
  <c r="T6" i="322"/>
  <c r="S6" i="322"/>
  <c r="R6" i="322"/>
  <c r="Q6" i="322"/>
  <c r="P6" i="322"/>
  <c r="O6" i="322"/>
  <c r="N6" i="322"/>
  <c r="M6" i="322"/>
  <c r="L6" i="322"/>
  <c r="K6" i="322"/>
  <c r="J6" i="322"/>
  <c r="I6" i="322"/>
  <c r="H6" i="322"/>
  <c r="G6" i="322"/>
  <c r="F6" i="322"/>
  <c r="E6" i="322"/>
  <c r="D6" i="322"/>
  <c r="C6" i="322"/>
  <c r="B6" i="322"/>
  <c r="Y5" i="322"/>
  <c r="X5" i="322"/>
  <c r="W5" i="322"/>
  <c r="V5" i="322"/>
  <c r="U5" i="322"/>
  <c r="T5" i="322"/>
  <c r="S5" i="322"/>
  <c r="R5" i="322"/>
  <c r="Q5" i="322"/>
  <c r="P5" i="322"/>
  <c r="O5" i="322"/>
  <c r="N5" i="322"/>
  <c r="M5" i="322"/>
  <c r="L5" i="322"/>
  <c r="K5" i="322"/>
  <c r="J5" i="322"/>
  <c r="I5" i="322"/>
  <c r="H5" i="322"/>
  <c r="G5" i="322"/>
  <c r="F5" i="322"/>
  <c r="E5" i="322"/>
  <c r="D5" i="322"/>
  <c r="C5" i="322"/>
  <c r="B5" i="322"/>
  <c r="Y10" i="321"/>
  <c r="X10" i="321"/>
  <c r="W10" i="321"/>
  <c r="V10" i="321"/>
  <c r="U10" i="321"/>
  <c r="T10" i="321"/>
  <c r="S10" i="321"/>
  <c r="R10" i="321"/>
  <c r="Q10" i="321"/>
  <c r="P10" i="321"/>
  <c r="O10" i="321"/>
  <c r="N10" i="321"/>
  <c r="M10" i="321"/>
  <c r="L10" i="321"/>
  <c r="K10" i="321"/>
  <c r="J10" i="321"/>
  <c r="I10" i="321"/>
  <c r="H10" i="321"/>
  <c r="G10" i="321"/>
  <c r="F10" i="321"/>
  <c r="E10" i="321"/>
  <c r="D10" i="321"/>
  <c r="C10" i="321"/>
  <c r="B10" i="321"/>
  <c r="Y9" i="321"/>
  <c r="X9" i="321"/>
  <c r="W9" i="321"/>
  <c r="V9" i="321"/>
  <c r="U9" i="321"/>
  <c r="T9" i="321"/>
  <c r="S9" i="321"/>
  <c r="R9" i="321"/>
  <c r="Q9" i="321"/>
  <c r="P9" i="321"/>
  <c r="O9" i="321"/>
  <c r="N9" i="321"/>
  <c r="M9" i="321"/>
  <c r="L9" i="321"/>
  <c r="K9" i="321"/>
  <c r="J9" i="321"/>
  <c r="I9" i="321"/>
  <c r="H9" i="321"/>
  <c r="G9" i="321"/>
  <c r="F9" i="321"/>
  <c r="E9" i="321"/>
  <c r="D9" i="321"/>
  <c r="C9" i="321"/>
  <c r="B9" i="321"/>
  <c r="Y8" i="321"/>
  <c r="X8" i="321"/>
  <c r="W8" i="321"/>
  <c r="V8" i="321"/>
  <c r="U8" i="321"/>
  <c r="T8" i="321"/>
  <c r="S8" i="321"/>
  <c r="R8" i="321"/>
  <c r="Q8" i="321"/>
  <c r="P8" i="321"/>
  <c r="O8" i="321"/>
  <c r="N8" i="321"/>
  <c r="M8" i="321"/>
  <c r="L8" i="321"/>
  <c r="K8" i="321"/>
  <c r="J8" i="321"/>
  <c r="I8" i="321"/>
  <c r="H8" i="321"/>
  <c r="G8" i="321"/>
  <c r="F8" i="321"/>
  <c r="E8" i="321"/>
  <c r="D8" i="321"/>
  <c r="C8" i="321"/>
  <c r="B8" i="321"/>
  <c r="Y7" i="321"/>
  <c r="X7" i="321"/>
  <c r="W7" i="321"/>
  <c r="V7" i="321"/>
  <c r="U7" i="321"/>
  <c r="T7" i="321"/>
  <c r="S7" i="321"/>
  <c r="R7" i="321"/>
  <c r="Q7" i="321"/>
  <c r="P7" i="321"/>
  <c r="O7" i="321"/>
  <c r="N7" i="321"/>
  <c r="M7" i="321"/>
  <c r="L7" i="321"/>
  <c r="K7" i="321"/>
  <c r="J7" i="321"/>
  <c r="I7" i="321"/>
  <c r="H7" i="321"/>
  <c r="G7" i="321"/>
  <c r="F7" i="321"/>
  <c r="E7" i="321"/>
  <c r="D7" i="321"/>
  <c r="C7" i="321"/>
  <c r="B7" i="321"/>
  <c r="Y6" i="321"/>
  <c r="X6" i="321"/>
  <c r="W6" i="321"/>
  <c r="V6" i="321"/>
  <c r="U6" i="321"/>
  <c r="T6" i="321"/>
  <c r="S6" i="321"/>
  <c r="R6" i="321"/>
  <c r="Q6" i="321"/>
  <c r="P6" i="321"/>
  <c r="O6" i="321"/>
  <c r="N6" i="321"/>
  <c r="M6" i="321"/>
  <c r="L6" i="321"/>
  <c r="K6" i="321"/>
  <c r="J6" i="321"/>
  <c r="I6" i="321"/>
  <c r="H6" i="321"/>
  <c r="G6" i="321"/>
  <c r="F6" i="321"/>
  <c r="E6" i="321"/>
  <c r="D6" i="321"/>
  <c r="C6" i="321"/>
  <c r="B6" i="321"/>
  <c r="Y5" i="321"/>
  <c r="X5" i="321"/>
  <c r="W5" i="321"/>
  <c r="V5" i="321"/>
  <c r="U5" i="321"/>
  <c r="T5" i="321"/>
  <c r="S5" i="321"/>
  <c r="R5" i="321"/>
  <c r="Q5" i="321"/>
  <c r="P5" i="321"/>
  <c r="O5" i="321"/>
  <c r="N5" i="321"/>
  <c r="M5" i="321"/>
  <c r="L5" i="321"/>
  <c r="K5" i="321"/>
  <c r="J5" i="321"/>
  <c r="I5" i="321"/>
  <c r="H5" i="321"/>
  <c r="G5" i="321"/>
  <c r="F5" i="321"/>
  <c r="E5" i="321"/>
  <c r="D5" i="321"/>
  <c r="C5" i="321"/>
  <c r="B5" i="321"/>
  <c r="Y10" i="320"/>
  <c r="X10" i="320"/>
  <c r="W10" i="320"/>
  <c r="V10" i="320"/>
  <c r="U10" i="320"/>
  <c r="T10" i="320"/>
  <c r="S10" i="320"/>
  <c r="R10" i="320"/>
  <c r="Q10" i="320"/>
  <c r="P10" i="320"/>
  <c r="O10" i="320"/>
  <c r="N10" i="320"/>
  <c r="M10" i="320"/>
  <c r="L10" i="320"/>
  <c r="K10" i="320"/>
  <c r="J10" i="320"/>
  <c r="I10" i="320"/>
  <c r="H10" i="320"/>
  <c r="G10" i="320"/>
  <c r="F10" i="320"/>
  <c r="E10" i="320"/>
  <c r="D10" i="320"/>
  <c r="C10" i="320"/>
  <c r="B10" i="320"/>
  <c r="Y9" i="320"/>
  <c r="X9" i="320"/>
  <c r="W9" i="320"/>
  <c r="V9" i="320"/>
  <c r="U9" i="320"/>
  <c r="T9" i="320"/>
  <c r="S9" i="320"/>
  <c r="R9" i="320"/>
  <c r="Q9" i="320"/>
  <c r="P9" i="320"/>
  <c r="O9" i="320"/>
  <c r="N9" i="320"/>
  <c r="M9" i="320"/>
  <c r="L9" i="320"/>
  <c r="K9" i="320"/>
  <c r="J9" i="320"/>
  <c r="I9" i="320"/>
  <c r="H9" i="320"/>
  <c r="G9" i="320"/>
  <c r="F9" i="320"/>
  <c r="E9" i="320"/>
  <c r="D9" i="320"/>
  <c r="C9" i="320"/>
  <c r="B9" i="320"/>
  <c r="Y8" i="320"/>
  <c r="X8" i="320"/>
  <c r="W8" i="320"/>
  <c r="V8" i="320"/>
  <c r="U8" i="320"/>
  <c r="T8" i="320"/>
  <c r="S8" i="320"/>
  <c r="R8" i="320"/>
  <c r="Q8" i="320"/>
  <c r="P8" i="320"/>
  <c r="O8" i="320"/>
  <c r="N8" i="320"/>
  <c r="M8" i="320"/>
  <c r="L8" i="320"/>
  <c r="K8" i="320"/>
  <c r="J8" i="320"/>
  <c r="I8" i="320"/>
  <c r="H8" i="320"/>
  <c r="G8" i="320"/>
  <c r="F8" i="320"/>
  <c r="E8" i="320"/>
  <c r="D8" i="320"/>
  <c r="C8" i="320"/>
  <c r="B8" i="320"/>
  <c r="Y7" i="320"/>
  <c r="X7" i="320"/>
  <c r="W7" i="320"/>
  <c r="V7" i="320"/>
  <c r="U7" i="320"/>
  <c r="T7" i="320"/>
  <c r="S7" i="320"/>
  <c r="R7" i="320"/>
  <c r="Q7" i="320"/>
  <c r="P7" i="320"/>
  <c r="O7" i="320"/>
  <c r="N7" i="320"/>
  <c r="M7" i="320"/>
  <c r="L7" i="320"/>
  <c r="K7" i="320"/>
  <c r="J7" i="320"/>
  <c r="I7" i="320"/>
  <c r="H7" i="320"/>
  <c r="G7" i="320"/>
  <c r="F7" i="320"/>
  <c r="E7" i="320"/>
  <c r="D7" i="320"/>
  <c r="C7" i="320"/>
  <c r="B7" i="320"/>
  <c r="Y6" i="320"/>
  <c r="X6" i="320"/>
  <c r="W6" i="320"/>
  <c r="V6" i="320"/>
  <c r="U6" i="320"/>
  <c r="T6" i="320"/>
  <c r="S6" i="320"/>
  <c r="R6" i="320"/>
  <c r="Q6" i="320"/>
  <c r="P6" i="320"/>
  <c r="O6" i="320"/>
  <c r="N6" i="320"/>
  <c r="M6" i="320"/>
  <c r="L6" i="320"/>
  <c r="K6" i="320"/>
  <c r="J6" i="320"/>
  <c r="I6" i="320"/>
  <c r="H6" i="320"/>
  <c r="G6" i="320"/>
  <c r="F6" i="320"/>
  <c r="E6" i="320"/>
  <c r="D6" i="320"/>
  <c r="C6" i="320"/>
  <c r="B6" i="320"/>
  <c r="Y5" i="320"/>
  <c r="X5" i="320"/>
  <c r="W5" i="320"/>
  <c r="V5" i="320"/>
  <c r="U5" i="320"/>
  <c r="T5" i="320"/>
  <c r="S5" i="320"/>
  <c r="R5" i="320"/>
  <c r="Q5" i="320"/>
  <c r="P5" i="320"/>
  <c r="O5" i="320"/>
  <c r="N5" i="320"/>
  <c r="M5" i="320"/>
  <c r="L5" i="320"/>
  <c r="K5" i="320"/>
  <c r="J5" i="320"/>
  <c r="I5" i="320"/>
  <c r="H5" i="320"/>
  <c r="G5" i="320"/>
  <c r="F5" i="320"/>
  <c r="E5" i="320"/>
  <c r="D5" i="320"/>
  <c r="C5" i="320"/>
  <c r="B5" i="320"/>
  <c r="Y10" i="319"/>
  <c r="X10" i="319"/>
  <c r="W10" i="319"/>
  <c r="V10" i="319"/>
  <c r="U10" i="319"/>
  <c r="T10" i="319"/>
  <c r="S10" i="319"/>
  <c r="R10" i="319"/>
  <c r="Q10" i="319"/>
  <c r="P10" i="319"/>
  <c r="O10" i="319"/>
  <c r="N10" i="319"/>
  <c r="M10" i="319"/>
  <c r="L10" i="319"/>
  <c r="K10" i="319"/>
  <c r="J10" i="319"/>
  <c r="I10" i="319"/>
  <c r="H10" i="319"/>
  <c r="G10" i="319"/>
  <c r="F10" i="319"/>
  <c r="E10" i="319"/>
  <c r="D10" i="319"/>
  <c r="C10" i="319"/>
  <c r="B10" i="319"/>
  <c r="Y9" i="319"/>
  <c r="X9" i="319"/>
  <c r="W9" i="319"/>
  <c r="V9" i="319"/>
  <c r="U9" i="319"/>
  <c r="T9" i="319"/>
  <c r="S9" i="319"/>
  <c r="R9" i="319"/>
  <c r="Q9" i="319"/>
  <c r="P9" i="319"/>
  <c r="O9" i="319"/>
  <c r="N9" i="319"/>
  <c r="M9" i="319"/>
  <c r="L9" i="319"/>
  <c r="K9" i="319"/>
  <c r="J9" i="319"/>
  <c r="I9" i="319"/>
  <c r="H9" i="319"/>
  <c r="G9" i="319"/>
  <c r="F9" i="319"/>
  <c r="E9" i="319"/>
  <c r="D9" i="319"/>
  <c r="C9" i="319"/>
  <c r="B9" i="319"/>
  <c r="Y8" i="319"/>
  <c r="X8" i="319"/>
  <c r="W8" i="319"/>
  <c r="V8" i="319"/>
  <c r="U8" i="319"/>
  <c r="T8" i="319"/>
  <c r="S8" i="319"/>
  <c r="R8" i="319"/>
  <c r="Q8" i="319"/>
  <c r="P8" i="319"/>
  <c r="O8" i="319"/>
  <c r="N8" i="319"/>
  <c r="M8" i="319"/>
  <c r="L8" i="319"/>
  <c r="K8" i="319"/>
  <c r="J8" i="319"/>
  <c r="I8" i="319"/>
  <c r="H8" i="319"/>
  <c r="G8" i="319"/>
  <c r="F8" i="319"/>
  <c r="E8" i="319"/>
  <c r="D8" i="319"/>
  <c r="C8" i="319"/>
  <c r="B8" i="319"/>
  <c r="Y7" i="319"/>
  <c r="X7" i="319"/>
  <c r="W7" i="319"/>
  <c r="V7" i="319"/>
  <c r="U7" i="319"/>
  <c r="T7" i="319"/>
  <c r="S7" i="319"/>
  <c r="R7" i="319"/>
  <c r="Q7" i="319"/>
  <c r="P7" i="319"/>
  <c r="O7" i="319"/>
  <c r="N7" i="319"/>
  <c r="M7" i="319"/>
  <c r="L7" i="319"/>
  <c r="K7" i="319"/>
  <c r="J7" i="319"/>
  <c r="I7" i="319"/>
  <c r="H7" i="319"/>
  <c r="G7" i="319"/>
  <c r="F7" i="319"/>
  <c r="E7" i="319"/>
  <c r="D7" i="319"/>
  <c r="C7" i="319"/>
  <c r="B7" i="319"/>
  <c r="Y6" i="319"/>
  <c r="X6" i="319"/>
  <c r="W6" i="319"/>
  <c r="V6" i="319"/>
  <c r="U6" i="319"/>
  <c r="T6" i="319"/>
  <c r="S6" i="319"/>
  <c r="R6" i="319"/>
  <c r="Q6" i="319"/>
  <c r="P6" i="319"/>
  <c r="O6" i="319"/>
  <c r="N6" i="319"/>
  <c r="M6" i="319"/>
  <c r="L6" i="319"/>
  <c r="K6" i="319"/>
  <c r="J6" i="319"/>
  <c r="I6" i="319"/>
  <c r="H6" i="319"/>
  <c r="G6" i="319"/>
  <c r="F6" i="319"/>
  <c r="E6" i="319"/>
  <c r="D6" i="319"/>
  <c r="C6" i="319"/>
  <c r="B6" i="319"/>
  <c r="Y5" i="319"/>
  <c r="X5" i="319"/>
  <c r="W5" i="319"/>
  <c r="V5" i="319"/>
  <c r="U5" i="319"/>
  <c r="T5" i="319"/>
  <c r="S5" i="319"/>
  <c r="R5" i="319"/>
  <c r="Q5" i="319"/>
  <c r="P5" i="319"/>
  <c r="O5" i="319"/>
  <c r="N5" i="319"/>
  <c r="M5" i="319"/>
  <c r="L5" i="319"/>
  <c r="K5" i="319"/>
  <c r="J5" i="319"/>
  <c r="I5" i="319"/>
  <c r="H5" i="319"/>
  <c r="G5" i="319"/>
  <c r="F5" i="319"/>
  <c r="E5" i="319"/>
  <c r="D5" i="319"/>
  <c r="C5" i="319"/>
  <c r="B5" i="319"/>
  <c r="Y10" i="318"/>
  <c r="X10" i="318"/>
  <c r="W10" i="318"/>
  <c r="V10" i="318"/>
  <c r="U10" i="318"/>
  <c r="T10" i="318"/>
  <c r="S10" i="318"/>
  <c r="R10" i="318"/>
  <c r="Q10" i="318"/>
  <c r="P10" i="318"/>
  <c r="O10" i="318"/>
  <c r="N10" i="318"/>
  <c r="M10" i="318"/>
  <c r="L10" i="318"/>
  <c r="K10" i="318"/>
  <c r="J10" i="318"/>
  <c r="I10" i="318"/>
  <c r="H10" i="318"/>
  <c r="G10" i="318"/>
  <c r="F10" i="318"/>
  <c r="E10" i="318"/>
  <c r="D10" i="318"/>
  <c r="C10" i="318"/>
  <c r="B10" i="318"/>
  <c r="Y9" i="318"/>
  <c r="X9" i="318"/>
  <c r="W9" i="318"/>
  <c r="V9" i="318"/>
  <c r="U9" i="318"/>
  <c r="T9" i="318"/>
  <c r="S9" i="318"/>
  <c r="R9" i="318"/>
  <c r="Q9" i="318"/>
  <c r="P9" i="318"/>
  <c r="O9" i="318"/>
  <c r="N9" i="318"/>
  <c r="M9" i="318"/>
  <c r="L9" i="318"/>
  <c r="K9" i="318"/>
  <c r="J9" i="318"/>
  <c r="I9" i="318"/>
  <c r="H9" i="318"/>
  <c r="G9" i="318"/>
  <c r="F9" i="318"/>
  <c r="E9" i="318"/>
  <c r="D9" i="318"/>
  <c r="C9" i="318"/>
  <c r="B9" i="318"/>
  <c r="Y8" i="318"/>
  <c r="X8" i="318"/>
  <c r="W8" i="318"/>
  <c r="V8" i="318"/>
  <c r="U8" i="318"/>
  <c r="T8" i="318"/>
  <c r="S8" i="318"/>
  <c r="R8" i="318"/>
  <c r="Q8" i="318"/>
  <c r="P8" i="318"/>
  <c r="O8" i="318"/>
  <c r="N8" i="318"/>
  <c r="M8" i="318"/>
  <c r="L8" i="318"/>
  <c r="K8" i="318"/>
  <c r="J8" i="318"/>
  <c r="I8" i="318"/>
  <c r="H8" i="318"/>
  <c r="G8" i="318"/>
  <c r="F8" i="318"/>
  <c r="E8" i="318"/>
  <c r="D8" i="318"/>
  <c r="C8" i="318"/>
  <c r="B8" i="318"/>
  <c r="Y7" i="318"/>
  <c r="X7" i="318"/>
  <c r="W7" i="318"/>
  <c r="V7" i="318"/>
  <c r="U7" i="318"/>
  <c r="T7" i="318"/>
  <c r="S7" i="318"/>
  <c r="R7" i="318"/>
  <c r="Q7" i="318"/>
  <c r="P7" i="318"/>
  <c r="O7" i="318"/>
  <c r="N7" i="318"/>
  <c r="M7" i="318"/>
  <c r="L7" i="318"/>
  <c r="K7" i="318"/>
  <c r="J7" i="318"/>
  <c r="I7" i="318"/>
  <c r="H7" i="318"/>
  <c r="G7" i="318"/>
  <c r="F7" i="318"/>
  <c r="E7" i="318"/>
  <c r="D7" i="318"/>
  <c r="C7" i="318"/>
  <c r="B7" i="318"/>
  <c r="Y6" i="318"/>
  <c r="X6" i="318"/>
  <c r="W6" i="318"/>
  <c r="V6" i="318"/>
  <c r="U6" i="318"/>
  <c r="T6" i="318"/>
  <c r="S6" i="318"/>
  <c r="R6" i="318"/>
  <c r="Q6" i="318"/>
  <c r="P6" i="318"/>
  <c r="O6" i="318"/>
  <c r="N6" i="318"/>
  <c r="M6" i="318"/>
  <c r="L6" i="318"/>
  <c r="K6" i="318"/>
  <c r="J6" i="318"/>
  <c r="I6" i="318"/>
  <c r="H6" i="318"/>
  <c r="G6" i="318"/>
  <c r="F6" i="318"/>
  <c r="E6" i="318"/>
  <c r="D6" i="318"/>
  <c r="C6" i="318"/>
  <c r="B6" i="318"/>
  <c r="Y5" i="318"/>
  <c r="X5" i="318"/>
  <c r="W5" i="318"/>
  <c r="V5" i="318"/>
  <c r="U5" i="318"/>
  <c r="T5" i="318"/>
  <c r="S5" i="318"/>
  <c r="R5" i="318"/>
  <c r="Q5" i="318"/>
  <c r="P5" i="318"/>
  <c r="O5" i="318"/>
  <c r="N5" i="318"/>
  <c r="M5" i="318"/>
  <c r="L5" i="318"/>
  <c r="K5" i="318"/>
  <c r="J5" i="318"/>
  <c r="I5" i="318"/>
  <c r="H5" i="318"/>
  <c r="G5" i="318"/>
  <c r="F5" i="318"/>
  <c r="E5" i="318"/>
  <c r="D5" i="318"/>
  <c r="C5" i="318"/>
  <c r="B5" i="318"/>
  <c r="Y10" i="317"/>
  <c r="X10" i="317"/>
  <c r="W10" i="317"/>
  <c r="V10" i="317"/>
  <c r="U10" i="317"/>
  <c r="T10" i="317"/>
  <c r="S10" i="317"/>
  <c r="R10" i="317"/>
  <c r="Q10" i="317"/>
  <c r="P10" i="317"/>
  <c r="O10" i="317"/>
  <c r="N10" i="317"/>
  <c r="M10" i="317"/>
  <c r="L10" i="317"/>
  <c r="K10" i="317"/>
  <c r="J10" i="317"/>
  <c r="I10" i="317"/>
  <c r="H10" i="317"/>
  <c r="G10" i="317"/>
  <c r="F10" i="317"/>
  <c r="E10" i="317"/>
  <c r="D10" i="317"/>
  <c r="C10" i="317"/>
  <c r="B10" i="317"/>
  <c r="Y9" i="317"/>
  <c r="X9" i="317"/>
  <c r="W9" i="317"/>
  <c r="V9" i="317"/>
  <c r="U9" i="317"/>
  <c r="T9" i="317"/>
  <c r="S9" i="317"/>
  <c r="R9" i="317"/>
  <c r="Q9" i="317"/>
  <c r="P9" i="317"/>
  <c r="O9" i="317"/>
  <c r="N9" i="317"/>
  <c r="M9" i="317"/>
  <c r="L9" i="317"/>
  <c r="K9" i="317"/>
  <c r="J9" i="317"/>
  <c r="I9" i="317"/>
  <c r="H9" i="317"/>
  <c r="G9" i="317"/>
  <c r="F9" i="317"/>
  <c r="E9" i="317"/>
  <c r="D9" i="317"/>
  <c r="C9" i="317"/>
  <c r="B9" i="317"/>
  <c r="Y8" i="317"/>
  <c r="X8" i="317"/>
  <c r="W8" i="317"/>
  <c r="V8" i="317"/>
  <c r="U8" i="317"/>
  <c r="T8" i="317"/>
  <c r="S8" i="317"/>
  <c r="R8" i="317"/>
  <c r="Q8" i="317"/>
  <c r="P8" i="317"/>
  <c r="O8" i="317"/>
  <c r="N8" i="317"/>
  <c r="M8" i="317"/>
  <c r="L8" i="317"/>
  <c r="K8" i="317"/>
  <c r="J8" i="317"/>
  <c r="I8" i="317"/>
  <c r="H8" i="317"/>
  <c r="G8" i="317"/>
  <c r="F8" i="317"/>
  <c r="E8" i="317"/>
  <c r="D8" i="317"/>
  <c r="C8" i="317"/>
  <c r="B8" i="317"/>
  <c r="Y7" i="317"/>
  <c r="X7" i="317"/>
  <c r="W7" i="317"/>
  <c r="V7" i="317"/>
  <c r="U7" i="317"/>
  <c r="T7" i="317"/>
  <c r="S7" i="317"/>
  <c r="R7" i="317"/>
  <c r="Q7" i="317"/>
  <c r="P7" i="317"/>
  <c r="O7" i="317"/>
  <c r="N7" i="317"/>
  <c r="M7" i="317"/>
  <c r="L7" i="317"/>
  <c r="K7" i="317"/>
  <c r="J7" i="317"/>
  <c r="I7" i="317"/>
  <c r="H7" i="317"/>
  <c r="G7" i="317"/>
  <c r="F7" i="317"/>
  <c r="E7" i="317"/>
  <c r="D7" i="317"/>
  <c r="C7" i="317"/>
  <c r="B7" i="317"/>
  <c r="Y6" i="317"/>
  <c r="X6" i="317"/>
  <c r="W6" i="317"/>
  <c r="V6" i="317"/>
  <c r="U6" i="317"/>
  <c r="T6" i="317"/>
  <c r="S6" i="317"/>
  <c r="R6" i="317"/>
  <c r="Q6" i="317"/>
  <c r="P6" i="317"/>
  <c r="O6" i="317"/>
  <c r="N6" i="317"/>
  <c r="M6" i="317"/>
  <c r="L6" i="317"/>
  <c r="K6" i="317"/>
  <c r="J6" i="317"/>
  <c r="I6" i="317"/>
  <c r="H6" i="317"/>
  <c r="G6" i="317"/>
  <c r="F6" i="317"/>
  <c r="E6" i="317"/>
  <c r="D6" i="317"/>
  <c r="C6" i="317"/>
  <c r="B6" i="317"/>
  <c r="Y5" i="317"/>
  <c r="X5" i="317"/>
  <c r="W5" i="317"/>
  <c r="V5" i="317"/>
  <c r="U5" i="317"/>
  <c r="T5" i="317"/>
  <c r="S5" i="317"/>
  <c r="R5" i="317"/>
  <c r="Q5" i="317"/>
  <c r="P5" i="317"/>
  <c r="O5" i="317"/>
  <c r="N5" i="317"/>
  <c r="M5" i="317"/>
  <c r="L5" i="317"/>
  <c r="K5" i="317"/>
  <c r="J5" i="317"/>
  <c r="I5" i="317"/>
  <c r="H5" i="317"/>
  <c r="G5" i="317"/>
  <c r="F5" i="317"/>
  <c r="E5" i="317"/>
  <c r="D5" i="317"/>
  <c r="C5" i="317"/>
  <c r="B5" i="317"/>
  <c r="Y10" i="316"/>
  <c r="X10" i="316"/>
  <c r="W10" i="316"/>
  <c r="V10" i="316"/>
  <c r="U10" i="316"/>
  <c r="T10" i="316"/>
  <c r="S10" i="316"/>
  <c r="R10" i="316"/>
  <c r="Q10" i="316"/>
  <c r="P10" i="316"/>
  <c r="O10" i="316"/>
  <c r="N10" i="316"/>
  <c r="M10" i="316"/>
  <c r="L10" i="316"/>
  <c r="K10" i="316"/>
  <c r="J10" i="316"/>
  <c r="I10" i="316"/>
  <c r="H10" i="316"/>
  <c r="G10" i="316"/>
  <c r="F10" i="316"/>
  <c r="E10" i="316"/>
  <c r="D10" i="316"/>
  <c r="C10" i="316"/>
  <c r="B10" i="316"/>
  <c r="Y9" i="316"/>
  <c r="X9" i="316"/>
  <c r="W9" i="316"/>
  <c r="V9" i="316"/>
  <c r="U9" i="316"/>
  <c r="T9" i="316"/>
  <c r="S9" i="316"/>
  <c r="R9" i="316"/>
  <c r="Q9" i="316"/>
  <c r="P9" i="316"/>
  <c r="O9" i="316"/>
  <c r="N9" i="316"/>
  <c r="M9" i="316"/>
  <c r="L9" i="316"/>
  <c r="K9" i="316"/>
  <c r="J9" i="316"/>
  <c r="I9" i="316"/>
  <c r="H9" i="316"/>
  <c r="G9" i="316"/>
  <c r="F9" i="316"/>
  <c r="E9" i="316"/>
  <c r="D9" i="316"/>
  <c r="C9" i="316"/>
  <c r="B9" i="316"/>
  <c r="Y8" i="316"/>
  <c r="X8" i="316"/>
  <c r="W8" i="316"/>
  <c r="V8" i="316"/>
  <c r="U8" i="316"/>
  <c r="T8" i="316"/>
  <c r="S8" i="316"/>
  <c r="R8" i="316"/>
  <c r="Q8" i="316"/>
  <c r="P8" i="316"/>
  <c r="O8" i="316"/>
  <c r="N8" i="316"/>
  <c r="M8" i="316"/>
  <c r="L8" i="316"/>
  <c r="K8" i="316"/>
  <c r="J8" i="316"/>
  <c r="I8" i="316"/>
  <c r="H8" i="316"/>
  <c r="G8" i="316"/>
  <c r="F8" i="316"/>
  <c r="E8" i="316"/>
  <c r="D8" i="316"/>
  <c r="C8" i="316"/>
  <c r="B8" i="316"/>
  <c r="Y7" i="316"/>
  <c r="X7" i="316"/>
  <c r="W7" i="316"/>
  <c r="V7" i="316"/>
  <c r="U7" i="316"/>
  <c r="T7" i="316"/>
  <c r="S7" i="316"/>
  <c r="R7" i="316"/>
  <c r="Q7" i="316"/>
  <c r="P7" i="316"/>
  <c r="O7" i="316"/>
  <c r="N7" i="316"/>
  <c r="M7" i="316"/>
  <c r="L7" i="316"/>
  <c r="K7" i="316"/>
  <c r="J7" i="316"/>
  <c r="I7" i="316"/>
  <c r="H7" i="316"/>
  <c r="G7" i="316"/>
  <c r="F7" i="316"/>
  <c r="E7" i="316"/>
  <c r="D7" i="316"/>
  <c r="C7" i="316"/>
  <c r="B7" i="316"/>
  <c r="Y6" i="316"/>
  <c r="X6" i="316"/>
  <c r="W6" i="316"/>
  <c r="V6" i="316"/>
  <c r="U6" i="316"/>
  <c r="T6" i="316"/>
  <c r="S6" i="316"/>
  <c r="R6" i="316"/>
  <c r="Q6" i="316"/>
  <c r="P6" i="316"/>
  <c r="O6" i="316"/>
  <c r="N6" i="316"/>
  <c r="M6" i="316"/>
  <c r="L6" i="316"/>
  <c r="K6" i="316"/>
  <c r="J6" i="316"/>
  <c r="I6" i="316"/>
  <c r="H6" i="316"/>
  <c r="G6" i="316"/>
  <c r="F6" i="316"/>
  <c r="E6" i="316"/>
  <c r="D6" i="316"/>
  <c r="C6" i="316"/>
  <c r="B6" i="316"/>
  <c r="Y5" i="316"/>
  <c r="X5" i="316"/>
  <c r="W5" i="316"/>
  <c r="V5" i="316"/>
  <c r="U5" i="316"/>
  <c r="T5" i="316"/>
  <c r="S5" i="316"/>
  <c r="R5" i="316"/>
  <c r="Q5" i="316"/>
  <c r="P5" i="316"/>
  <c r="O5" i="316"/>
  <c r="N5" i="316"/>
  <c r="M5" i="316"/>
  <c r="L5" i="316"/>
  <c r="K5" i="316"/>
  <c r="J5" i="316"/>
  <c r="I5" i="316"/>
  <c r="H5" i="316"/>
  <c r="G5" i="316"/>
  <c r="F5" i="316"/>
  <c r="E5" i="316"/>
  <c r="D5" i="316"/>
  <c r="C5" i="316"/>
  <c r="B5" i="316"/>
  <c r="Y10" i="315"/>
  <c r="X10" i="315"/>
  <c r="W10" i="315"/>
  <c r="V10" i="315"/>
  <c r="U10" i="315"/>
  <c r="T10" i="315"/>
  <c r="S10" i="315"/>
  <c r="R10" i="315"/>
  <c r="Q10" i="315"/>
  <c r="P10" i="315"/>
  <c r="O10" i="315"/>
  <c r="N10" i="315"/>
  <c r="M10" i="315"/>
  <c r="L10" i="315"/>
  <c r="K10" i="315"/>
  <c r="J10" i="315"/>
  <c r="I10" i="315"/>
  <c r="H10" i="315"/>
  <c r="G10" i="315"/>
  <c r="F10" i="315"/>
  <c r="E10" i="315"/>
  <c r="D10" i="315"/>
  <c r="C10" i="315"/>
  <c r="B10" i="315"/>
  <c r="Y9" i="315"/>
  <c r="X9" i="315"/>
  <c r="W9" i="315"/>
  <c r="V9" i="315"/>
  <c r="U9" i="315"/>
  <c r="T9" i="315"/>
  <c r="S9" i="315"/>
  <c r="R9" i="315"/>
  <c r="Q9" i="315"/>
  <c r="P9" i="315"/>
  <c r="O9" i="315"/>
  <c r="N9" i="315"/>
  <c r="M9" i="315"/>
  <c r="L9" i="315"/>
  <c r="K9" i="315"/>
  <c r="J9" i="315"/>
  <c r="I9" i="315"/>
  <c r="H9" i="315"/>
  <c r="G9" i="315"/>
  <c r="F9" i="315"/>
  <c r="E9" i="315"/>
  <c r="D9" i="315"/>
  <c r="C9" i="315"/>
  <c r="B9" i="315"/>
  <c r="Y8" i="315"/>
  <c r="X8" i="315"/>
  <c r="W8" i="315"/>
  <c r="V8" i="315"/>
  <c r="U8" i="315"/>
  <c r="T8" i="315"/>
  <c r="S8" i="315"/>
  <c r="R8" i="315"/>
  <c r="Q8" i="315"/>
  <c r="P8" i="315"/>
  <c r="O8" i="315"/>
  <c r="N8" i="315"/>
  <c r="M8" i="315"/>
  <c r="L8" i="315"/>
  <c r="K8" i="315"/>
  <c r="J8" i="315"/>
  <c r="I8" i="315"/>
  <c r="H8" i="315"/>
  <c r="G8" i="315"/>
  <c r="F8" i="315"/>
  <c r="E8" i="315"/>
  <c r="D8" i="315"/>
  <c r="C8" i="315"/>
  <c r="B8" i="315"/>
  <c r="Y7" i="315"/>
  <c r="X7" i="315"/>
  <c r="W7" i="315"/>
  <c r="V7" i="315"/>
  <c r="U7" i="315"/>
  <c r="T7" i="315"/>
  <c r="S7" i="315"/>
  <c r="R7" i="315"/>
  <c r="Q7" i="315"/>
  <c r="P7" i="315"/>
  <c r="O7" i="315"/>
  <c r="N7" i="315"/>
  <c r="M7" i="315"/>
  <c r="L7" i="315"/>
  <c r="K7" i="315"/>
  <c r="J7" i="315"/>
  <c r="I7" i="315"/>
  <c r="H7" i="315"/>
  <c r="G7" i="315"/>
  <c r="F7" i="315"/>
  <c r="E7" i="315"/>
  <c r="D7" i="315"/>
  <c r="C7" i="315"/>
  <c r="B7" i="315"/>
  <c r="Y6" i="315"/>
  <c r="X6" i="315"/>
  <c r="W6" i="315"/>
  <c r="V6" i="315"/>
  <c r="U6" i="315"/>
  <c r="T6" i="315"/>
  <c r="S6" i="315"/>
  <c r="R6" i="315"/>
  <c r="Q6" i="315"/>
  <c r="P6" i="315"/>
  <c r="O6" i="315"/>
  <c r="N6" i="315"/>
  <c r="M6" i="315"/>
  <c r="L6" i="315"/>
  <c r="K6" i="315"/>
  <c r="J6" i="315"/>
  <c r="I6" i="315"/>
  <c r="H6" i="315"/>
  <c r="G6" i="315"/>
  <c r="F6" i="315"/>
  <c r="E6" i="315"/>
  <c r="D6" i="315"/>
  <c r="C6" i="315"/>
  <c r="B6" i="315"/>
  <c r="Y5" i="315"/>
  <c r="X5" i="315"/>
  <c r="W5" i="315"/>
  <c r="V5" i="315"/>
  <c r="U5" i="315"/>
  <c r="T5" i="315"/>
  <c r="S5" i="315"/>
  <c r="R5" i="315"/>
  <c r="Q5" i="315"/>
  <c r="P5" i="315"/>
  <c r="O5" i="315"/>
  <c r="N5" i="315"/>
  <c r="M5" i="315"/>
  <c r="L5" i="315"/>
  <c r="K5" i="315"/>
  <c r="J5" i="315"/>
  <c r="I5" i="315"/>
  <c r="H5" i="315"/>
  <c r="G5" i="315"/>
  <c r="F5" i="315"/>
  <c r="E5" i="315"/>
  <c r="D5" i="315"/>
  <c r="C5" i="315"/>
  <c r="B5" i="315"/>
  <c r="Y10" i="314"/>
  <c r="X10" i="314"/>
  <c r="W10" i="314"/>
  <c r="V10" i="314"/>
  <c r="U10" i="314"/>
  <c r="T10" i="314"/>
  <c r="S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D10" i="314"/>
  <c r="C10" i="314"/>
  <c r="B10" i="314"/>
  <c r="Y9" i="314"/>
  <c r="X9" i="314"/>
  <c r="W9" i="314"/>
  <c r="V9" i="314"/>
  <c r="U9" i="314"/>
  <c r="T9" i="314"/>
  <c r="S9" i="314"/>
  <c r="R9" i="314"/>
  <c r="Q9" i="314"/>
  <c r="P9" i="314"/>
  <c r="O9" i="314"/>
  <c r="N9" i="314"/>
  <c r="M9" i="314"/>
  <c r="L9" i="314"/>
  <c r="K9" i="314"/>
  <c r="J9" i="314"/>
  <c r="I9" i="314"/>
  <c r="H9" i="314"/>
  <c r="G9" i="314"/>
  <c r="F9" i="314"/>
  <c r="E9" i="314"/>
  <c r="D9" i="314"/>
  <c r="C9" i="314"/>
  <c r="B9" i="314"/>
  <c r="Y8" i="314"/>
  <c r="X8" i="314"/>
  <c r="W8" i="314"/>
  <c r="V8" i="314"/>
  <c r="U8" i="314"/>
  <c r="T8" i="314"/>
  <c r="S8" i="314"/>
  <c r="R8" i="314"/>
  <c r="Q8" i="314"/>
  <c r="P8" i="314"/>
  <c r="O8" i="314"/>
  <c r="N8" i="314"/>
  <c r="M8" i="314"/>
  <c r="L8" i="314"/>
  <c r="K8" i="314"/>
  <c r="J8" i="314"/>
  <c r="I8" i="314"/>
  <c r="H8" i="314"/>
  <c r="G8" i="314"/>
  <c r="F8" i="314"/>
  <c r="E8" i="314"/>
  <c r="D8" i="314"/>
  <c r="C8" i="314"/>
  <c r="B8" i="314"/>
  <c r="Y7" i="314"/>
  <c r="X7" i="314"/>
  <c r="W7" i="314"/>
  <c r="V7" i="314"/>
  <c r="U7" i="314"/>
  <c r="T7" i="314"/>
  <c r="S7" i="314"/>
  <c r="R7" i="314"/>
  <c r="Q7" i="314"/>
  <c r="P7" i="314"/>
  <c r="O7" i="314"/>
  <c r="N7" i="314"/>
  <c r="M7" i="314"/>
  <c r="L7" i="314"/>
  <c r="K7" i="314"/>
  <c r="J7" i="314"/>
  <c r="I7" i="314"/>
  <c r="H7" i="314"/>
  <c r="G7" i="314"/>
  <c r="F7" i="314"/>
  <c r="E7" i="314"/>
  <c r="D7" i="314"/>
  <c r="C7" i="314"/>
  <c r="B7" i="314"/>
  <c r="Y6" i="314"/>
  <c r="X6" i="314"/>
  <c r="W6" i="314"/>
  <c r="V6" i="314"/>
  <c r="U6" i="314"/>
  <c r="T6" i="314"/>
  <c r="S6" i="314"/>
  <c r="R6" i="314"/>
  <c r="Q6" i="314"/>
  <c r="P6" i="314"/>
  <c r="O6" i="314"/>
  <c r="N6" i="314"/>
  <c r="M6" i="314"/>
  <c r="L6" i="314"/>
  <c r="K6" i="314"/>
  <c r="J6" i="314"/>
  <c r="I6" i="314"/>
  <c r="H6" i="314"/>
  <c r="G6" i="314"/>
  <c r="F6" i="314"/>
  <c r="E6" i="314"/>
  <c r="D6" i="314"/>
  <c r="C6" i="314"/>
  <c r="B6" i="314"/>
  <c r="Y5" i="314"/>
  <c r="X5" i="314"/>
  <c r="W5" i="314"/>
  <c r="V5" i="314"/>
  <c r="U5" i="314"/>
  <c r="T5" i="314"/>
  <c r="S5" i="314"/>
  <c r="R5" i="314"/>
  <c r="Q5" i="314"/>
  <c r="P5" i="314"/>
  <c r="O5" i="314"/>
  <c r="N5" i="314"/>
  <c r="M5" i="314"/>
  <c r="L5" i="314"/>
  <c r="K5" i="314"/>
  <c r="J5" i="314"/>
  <c r="I5" i="314"/>
  <c r="H5" i="314"/>
  <c r="G5" i="314"/>
  <c r="F5" i="314"/>
  <c r="E5" i="314"/>
  <c r="D5" i="314"/>
  <c r="C5" i="314"/>
  <c r="B5" i="314"/>
  <c r="Y10" i="283"/>
  <c r="X10" i="283"/>
  <c r="W10" i="283"/>
  <c r="V10" i="283"/>
  <c r="U10" i="283"/>
  <c r="T10" i="283"/>
  <c r="S10" i="283"/>
  <c r="R10" i="283"/>
  <c r="Q10" i="283"/>
  <c r="P10" i="283"/>
  <c r="O10" i="283"/>
  <c r="N10" i="283"/>
  <c r="M10" i="283"/>
  <c r="L10" i="283"/>
  <c r="K10" i="283"/>
  <c r="J10" i="283"/>
  <c r="I10" i="283"/>
  <c r="H10" i="283"/>
  <c r="G10" i="283"/>
  <c r="F10" i="283"/>
  <c r="E10" i="283"/>
  <c r="D10" i="283"/>
  <c r="C10" i="283"/>
  <c r="B10" i="283"/>
  <c r="Y9" i="283"/>
  <c r="X9" i="283"/>
  <c r="W9" i="283"/>
  <c r="V9" i="283"/>
  <c r="U9" i="283"/>
  <c r="T9" i="283"/>
  <c r="S9" i="283"/>
  <c r="R9" i="283"/>
  <c r="Q9" i="283"/>
  <c r="P9" i="283"/>
  <c r="O9" i="283"/>
  <c r="N9" i="283"/>
  <c r="M9" i="283"/>
  <c r="L9" i="283"/>
  <c r="K9" i="283"/>
  <c r="J9" i="283"/>
  <c r="I9" i="283"/>
  <c r="H9" i="283"/>
  <c r="G9" i="283"/>
  <c r="F9" i="283"/>
  <c r="E9" i="283"/>
  <c r="D9" i="283"/>
  <c r="C9" i="283"/>
  <c r="B9" i="283"/>
  <c r="Y8" i="283"/>
  <c r="X8" i="283"/>
  <c r="W8" i="283"/>
  <c r="V8" i="283"/>
  <c r="U8" i="283"/>
  <c r="T8" i="283"/>
  <c r="S8" i="283"/>
  <c r="R8" i="283"/>
  <c r="Q8" i="283"/>
  <c r="P8" i="283"/>
  <c r="O8" i="283"/>
  <c r="N8" i="283"/>
  <c r="M8" i="283"/>
  <c r="L8" i="283"/>
  <c r="K8" i="283"/>
  <c r="J8" i="283"/>
  <c r="I8" i="283"/>
  <c r="H8" i="283"/>
  <c r="G8" i="283"/>
  <c r="F8" i="283"/>
  <c r="E8" i="283"/>
  <c r="D8" i="283"/>
  <c r="C8" i="283"/>
  <c r="B8" i="283"/>
  <c r="Y7" i="283"/>
  <c r="X7" i="283"/>
  <c r="W7" i="283"/>
  <c r="V7" i="283"/>
  <c r="U7" i="283"/>
  <c r="T7" i="283"/>
  <c r="S7" i="283"/>
  <c r="R7" i="283"/>
  <c r="Q7" i="283"/>
  <c r="P7" i="283"/>
  <c r="O7" i="283"/>
  <c r="N7" i="283"/>
  <c r="M7" i="283"/>
  <c r="L7" i="283"/>
  <c r="K7" i="283"/>
  <c r="J7" i="283"/>
  <c r="I7" i="283"/>
  <c r="H7" i="283"/>
  <c r="G7" i="283"/>
  <c r="F7" i="283"/>
  <c r="E7" i="283"/>
  <c r="D7" i="283"/>
  <c r="C7" i="283"/>
  <c r="B7" i="283"/>
  <c r="Y6" i="283"/>
  <c r="X6" i="283"/>
  <c r="W6" i="283"/>
  <c r="V6" i="283"/>
  <c r="U6" i="283"/>
  <c r="T6" i="283"/>
  <c r="S6" i="283"/>
  <c r="R6" i="283"/>
  <c r="Q6" i="283"/>
  <c r="P6" i="283"/>
  <c r="O6" i="283"/>
  <c r="N6" i="283"/>
  <c r="M6" i="283"/>
  <c r="L6" i="283"/>
  <c r="K6" i="283"/>
  <c r="J6" i="283"/>
  <c r="I6" i="283"/>
  <c r="H6" i="283"/>
  <c r="G6" i="283"/>
  <c r="F6" i="283"/>
  <c r="E6" i="283"/>
  <c r="D6" i="283"/>
  <c r="C6" i="283"/>
  <c r="B6" i="283"/>
  <c r="Y5" i="283"/>
  <c r="X5" i="283"/>
  <c r="W5" i="283"/>
  <c r="V5" i="283"/>
  <c r="U5" i="283"/>
  <c r="T5" i="283"/>
  <c r="S5" i="283"/>
  <c r="R5" i="283"/>
  <c r="Q5" i="283"/>
  <c r="P5" i="283"/>
  <c r="O5" i="283"/>
  <c r="N5" i="283"/>
  <c r="M5" i="283"/>
  <c r="L5" i="283"/>
  <c r="K5" i="283"/>
  <c r="J5" i="283"/>
  <c r="I5" i="283"/>
  <c r="H5" i="283"/>
  <c r="G5" i="283"/>
  <c r="F5" i="283"/>
  <c r="E5" i="283"/>
  <c r="D5" i="283"/>
  <c r="C5" i="283"/>
  <c r="B5" i="283"/>
  <c r="Y10" i="282"/>
  <c r="X10" i="282"/>
  <c r="W10" i="282"/>
  <c r="V10" i="282"/>
  <c r="U10" i="282"/>
  <c r="T10" i="282"/>
  <c r="S10" i="282"/>
  <c r="R10" i="282"/>
  <c r="Q10" i="282"/>
  <c r="P10" i="282"/>
  <c r="O10" i="282"/>
  <c r="N10" i="282"/>
  <c r="M10" i="282"/>
  <c r="L10" i="282"/>
  <c r="K10" i="282"/>
  <c r="J10" i="282"/>
  <c r="I10" i="282"/>
  <c r="H10" i="282"/>
  <c r="G10" i="282"/>
  <c r="F10" i="282"/>
  <c r="E10" i="282"/>
  <c r="D10" i="282"/>
  <c r="C10" i="282"/>
  <c r="B10" i="282"/>
  <c r="Y9" i="282"/>
  <c r="X9" i="282"/>
  <c r="W9" i="282"/>
  <c r="V9" i="282"/>
  <c r="U9" i="282"/>
  <c r="T9" i="282"/>
  <c r="S9" i="282"/>
  <c r="R9" i="282"/>
  <c r="Q9" i="282"/>
  <c r="P9" i="282"/>
  <c r="O9" i="282"/>
  <c r="N9" i="282"/>
  <c r="M9" i="282"/>
  <c r="L9" i="282"/>
  <c r="K9" i="282"/>
  <c r="J9" i="282"/>
  <c r="I9" i="282"/>
  <c r="H9" i="282"/>
  <c r="G9" i="282"/>
  <c r="F9" i="282"/>
  <c r="E9" i="282"/>
  <c r="D9" i="282"/>
  <c r="C9" i="282"/>
  <c r="B9" i="282"/>
  <c r="Y8" i="282"/>
  <c r="X8" i="282"/>
  <c r="W8" i="282"/>
  <c r="V8" i="282"/>
  <c r="U8" i="282"/>
  <c r="T8" i="282"/>
  <c r="S8" i="282"/>
  <c r="R8" i="282"/>
  <c r="Q8" i="282"/>
  <c r="P8" i="282"/>
  <c r="O8" i="282"/>
  <c r="N8" i="282"/>
  <c r="M8" i="282"/>
  <c r="L8" i="282"/>
  <c r="K8" i="282"/>
  <c r="J8" i="282"/>
  <c r="I8" i="282"/>
  <c r="H8" i="282"/>
  <c r="G8" i="282"/>
  <c r="F8" i="282"/>
  <c r="E8" i="282"/>
  <c r="D8" i="282"/>
  <c r="C8" i="282"/>
  <c r="B8" i="282"/>
  <c r="Y7" i="282"/>
  <c r="X7" i="282"/>
  <c r="W7" i="282"/>
  <c r="V7" i="282"/>
  <c r="U7" i="282"/>
  <c r="T7" i="282"/>
  <c r="S7" i="282"/>
  <c r="R7" i="282"/>
  <c r="Q7" i="282"/>
  <c r="P7" i="282"/>
  <c r="O7" i="282"/>
  <c r="N7" i="282"/>
  <c r="M7" i="282"/>
  <c r="L7" i="282"/>
  <c r="K7" i="282"/>
  <c r="J7" i="282"/>
  <c r="I7" i="282"/>
  <c r="H7" i="282"/>
  <c r="G7" i="282"/>
  <c r="F7" i="282"/>
  <c r="E7" i="282"/>
  <c r="D7" i="282"/>
  <c r="C7" i="282"/>
  <c r="B7" i="282"/>
  <c r="Y6" i="282"/>
  <c r="X6" i="282"/>
  <c r="W6" i="282"/>
  <c r="V6" i="282"/>
  <c r="U6" i="282"/>
  <c r="T6" i="282"/>
  <c r="S6" i="282"/>
  <c r="R6" i="282"/>
  <c r="Q6" i="282"/>
  <c r="P6" i="282"/>
  <c r="O6" i="282"/>
  <c r="N6" i="282"/>
  <c r="M6" i="282"/>
  <c r="L6" i="282"/>
  <c r="K6" i="282"/>
  <c r="J6" i="282"/>
  <c r="I6" i="282"/>
  <c r="H6" i="282"/>
  <c r="G6" i="282"/>
  <c r="F6" i="282"/>
  <c r="E6" i="282"/>
  <c r="D6" i="282"/>
  <c r="C6" i="282"/>
  <c r="B6" i="282"/>
  <c r="Y5" i="282"/>
  <c r="X5" i="282"/>
  <c r="W5" i="282"/>
  <c r="V5" i="282"/>
  <c r="U5" i="282"/>
  <c r="T5" i="282"/>
  <c r="S5" i="282"/>
  <c r="R5" i="282"/>
  <c r="Q5" i="282"/>
  <c r="P5" i="282"/>
  <c r="O5" i="282"/>
  <c r="N5" i="282"/>
  <c r="M5" i="282"/>
  <c r="L5" i="282"/>
  <c r="K5" i="282"/>
  <c r="J5" i="282"/>
  <c r="I5" i="282"/>
  <c r="H5" i="282"/>
  <c r="G5" i="282"/>
  <c r="F5" i="282"/>
  <c r="E5" i="282"/>
  <c r="D5" i="282"/>
  <c r="C5" i="282"/>
  <c r="B5" i="282"/>
  <c r="Y10" i="281"/>
  <c r="X10" i="281"/>
  <c r="W10" i="281"/>
  <c r="V10" i="281"/>
  <c r="U10" i="281"/>
  <c r="T10" i="281"/>
  <c r="S10" i="281"/>
  <c r="R10" i="281"/>
  <c r="Q10" i="281"/>
  <c r="P10" i="281"/>
  <c r="O10" i="281"/>
  <c r="N10" i="281"/>
  <c r="M10" i="281"/>
  <c r="L10" i="281"/>
  <c r="K10" i="281"/>
  <c r="J10" i="281"/>
  <c r="I10" i="281"/>
  <c r="H10" i="281"/>
  <c r="G10" i="281"/>
  <c r="F10" i="281"/>
  <c r="E10" i="281"/>
  <c r="D10" i="281"/>
  <c r="C10" i="281"/>
  <c r="B10" i="281"/>
  <c r="Y9" i="281"/>
  <c r="X9" i="281"/>
  <c r="W9" i="281"/>
  <c r="V9" i="281"/>
  <c r="U9" i="281"/>
  <c r="T9" i="281"/>
  <c r="S9" i="281"/>
  <c r="R9" i="281"/>
  <c r="Q9" i="281"/>
  <c r="P9" i="281"/>
  <c r="O9" i="281"/>
  <c r="N9" i="281"/>
  <c r="M9" i="281"/>
  <c r="L9" i="281"/>
  <c r="K9" i="281"/>
  <c r="J9" i="281"/>
  <c r="I9" i="281"/>
  <c r="H9" i="281"/>
  <c r="G9" i="281"/>
  <c r="F9" i="281"/>
  <c r="E9" i="281"/>
  <c r="D9" i="281"/>
  <c r="C9" i="281"/>
  <c r="B9" i="281"/>
  <c r="Y8" i="281"/>
  <c r="X8" i="281"/>
  <c r="W8" i="281"/>
  <c r="V8" i="281"/>
  <c r="U8" i="281"/>
  <c r="T8" i="281"/>
  <c r="S8" i="281"/>
  <c r="R8" i="281"/>
  <c r="Q8" i="281"/>
  <c r="P8" i="281"/>
  <c r="O8" i="281"/>
  <c r="N8" i="281"/>
  <c r="M8" i="281"/>
  <c r="L8" i="281"/>
  <c r="K8" i="281"/>
  <c r="J8" i="281"/>
  <c r="I8" i="281"/>
  <c r="H8" i="281"/>
  <c r="G8" i="281"/>
  <c r="F8" i="281"/>
  <c r="E8" i="281"/>
  <c r="D8" i="281"/>
  <c r="C8" i="281"/>
  <c r="B8" i="281"/>
  <c r="Y7" i="281"/>
  <c r="X7" i="281"/>
  <c r="W7" i="281"/>
  <c r="V7" i="281"/>
  <c r="U7" i="281"/>
  <c r="T7" i="281"/>
  <c r="S7" i="281"/>
  <c r="R7" i="281"/>
  <c r="Q7" i="281"/>
  <c r="P7" i="281"/>
  <c r="O7" i="281"/>
  <c r="N7" i="281"/>
  <c r="M7" i="281"/>
  <c r="L7" i="281"/>
  <c r="K7" i="281"/>
  <c r="J7" i="281"/>
  <c r="I7" i="281"/>
  <c r="H7" i="281"/>
  <c r="G7" i="281"/>
  <c r="F7" i="281"/>
  <c r="E7" i="281"/>
  <c r="D7" i="281"/>
  <c r="C7" i="281"/>
  <c r="B7" i="281"/>
  <c r="Y6" i="281"/>
  <c r="X6" i="281"/>
  <c r="W6" i="281"/>
  <c r="V6" i="281"/>
  <c r="U6" i="281"/>
  <c r="T6" i="281"/>
  <c r="S6" i="281"/>
  <c r="R6" i="281"/>
  <c r="Q6" i="281"/>
  <c r="P6" i="281"/>
  <c r="O6" i="281"/>
  <c r="N6" i="281"/>
  <c r="M6" i="281"/>
  <c r="L6" i="281"/>
  <c r="K6" i="281"/>
  <c r="J6" i="281"/>
  <c r="I6" i="281"/>
  <c r="H6" i="281"/>
  <c r="G6" i="281"/>
  <c r="F6" i="281"/>
  <c r="E6" i="281"/>
  <c r="D6" i="281"/>
  <c r="C6" i="281"/>
  <c r="B6" i="281"/>
  <c r="Y5" i="281"/>
  <c r="X5" i="281"/>
  <c r="W5" i="281"/>
  <c r="V5" i="281"/>
  <c r="U5" i="281"/>
  <c r="T5" i="281"/>
  <c r="S5" i="281"/>
  <c r="R5" i="281"/>
  <c r="Q5" i="281"/>
  <c r="P5" i="281"/>
  <c r="O5" i="281"/>
  <c r="N5" i="281"/>
  <c r="M5" i="281"/>
  <c r="L5" i="281"/>
  <c r="K5" i="281"/>
  <c r="J5" i="281"/>
  <c r="I5" i="281"/>
  <c r="H5" i="281"/>
  <c r="G5" i="281"/>
  <c r="F5" i="281"/>
  <c r="E5" i="281"/>
  <c r="D5" i="281"/>
  <c r="C5" i="281"/>
  <c r="B5" i="281"/>
  <c r="Y10" i="280"/>
  <c r="X10" i="280"/>
  <c r="W10" i="280"/>
  <c r="V10" i="280"/>
  <c r="U10" i="280"/>
  <c r="T10" i="280"/>
  <c r="S10" i="280"/>
  <c r="R10" i="280"/>
  <c r="Q10" i="280"/>
  <c r="P10" i="280"/>
  <c r="O10" i="280"/>
  <c r="N10" i="280"/>
  <c r="M10" i="280"/>
  <c r="L10" i="280"/>
  <c r="K10" i="280"/>
  <c r="J10" i="280"/>
  <c r="I10" i="280"/>
  <c r="H10" i="280"/>
  <c r="G10" i="280"/>
  <c r="F10" i="280"/>
  <c r="E10" i="280"/>
  <c r="D10" i="280"/>
  <c r="C10" i="280"/>
  <c r="B10" i="280"/>
  <c r="Y9" i="280"/>
  <c r="X9" i="280"/>
  <c r="W9" i="280"/>
  <c r="V9" i="280"/>
  <c r="U9" i="280"/>
  <c r="T9" i="280"/>
  <c r="S9" i="280"/>
  <c r="R9" i="280"/>
  <c r="Q9" i="280"/>
  <c r="P9" i="280"/>
  <c r="O9" i="280"/>
  <c r="N9" i="280"/>
  <c r="M9" i="280"/>
  <c r="L9" i="280"/>
  <c r="K9" i="280"/>
  <c r="J9" i="280"/>
  <c r="I9" i="280"/>
  <c r="H9" i="280"/>
  <c r="G9" i="280"/>
  <c r="F9" i="280"/>
  <c r="E9" i="280"/>
  <c r="D9" i="280"/>
  <c r="C9" i="280"/>
  <c r="B9" i="280"/>
  <c r="Y8" i="280"/>
  <c r="X8" i="280"/>
  <c r="W8" i="280"/>
  <c r="V8" i="280"/>
  <c r="U8" i="280"/>
  <c r="T8" i="280"/>
  <c r="S8" i="280"/>
  <c r="R8" i="280"/>
  <c r="Q8" i="280"/>
  <c r="P8" i="280"/>
  <c r="O8" i="280"/>
  <c r="N8" i="280"/>
  <c r="M8" i="280"/>
  <c r="L8" i="280"/>
  <c r="K8" i="280"/>
  <c r="J8" i="280"/>
  <c r="I8" i="280"/>
  <c r="H8" i="280"/>
  <c r="G8" i="280"/>
  <c r="F8" i="280"/>
  <c r="E8" i="280"/>
  <c r="D8" i="280"/>
  <c r="C8" i="280"/>
  <c r="B8" i="280"/>
  <c r="Y7" i="280"/>
  <c r="X7" i="280"/>
  <c r="W7" i="280"/>
  <c r="V7" i="280"/>
  <c r="U7" i="280"/>
  <c r="T7" i="280"/>
  <c r="S7" i="280"/>
  <c r="R7" i="280"/>
  <c r="Q7" i="280"/>
  <c r="P7" i="280"/>
  <c r="O7" i="280"/>
  <c r="N7" i="280"/>
  <c r="M7" i="280"/>
  <c r="L7" i="280"/>
  <c r="K7" i="280"/>
  <c r="J7" i="280"/>
  <c r="I7" i="280"/>
  <c r="H7" i="280"/>
  <c r="G7" i="280"/>
  <c r="F7" i="280"/>
  <c r="E7" i="280"/>
  <c r="D7" i="280"/>
  <c r="C7" i="280"/>
  <c r="B7" i="280"/>
  <c r="Y6" i="280"/>
  <c r="X6" i="280"/>
  <c r="W6" i="280"/>
  <c r="V6" i="280"/>
  <c r="U6" i="280"/>
  <c r="T6" i="280"/>
  <c r="S6" i="280"/>
  <c r="R6" i="280"/>
  <c r="Q6" i="280"/>
  <c r="P6" i="280"/>
  <c r="O6" i="280"/>
  <c r="N6" i="280"/>
  <c r="M6" i="280"/>
  <c r="L6" i="280"/>
  <c r="K6" i="280"/>
  <c r="J6" i="280"/>
  <c r="I6" i="280"/>
  <c r="H6" i="280"/>
  <c r="G6" i="280"/>
  <c r="F6" i="280"/>
  <c r="E6" i="280"/>
  <c r="D6" i="280"/>
  <c r="C6" i="280"/>
  <c r="B6" i="280"/>
  <c r="Y5" i="280"/>
  <c r="X5" i="280"/>
  <c r="W5" i="280"/>
  <c r="V5" i="280"/>
  <c r="U5" i="280"/>
  <c r="T5" i="280"/>
  <c r="S5" i="280"/>
  <c r="R5" i="280"/>
  <c r="Q5" i="280"/>
  <c r="P5" i="280"/>
  <c r="O5" i="280"/>
  <c r="N5" i="280"/>
  <c r="M5" i="280"/>
  <c r="L5" i="280"/>
  <c r="K5" i="280"/>
  <c r="J5" i="280"/>
  <c r="I5" i="280"/>
  <c r="H5" i="280"/>
  <c r="G5" i="280"/>
  <c r="F5" i="280"/>
  <c r="E5" i="280"/>
  <c r="D5" i="280"/>
  <c r="C5" i="280"/>
  <c r="B5" i="280"/>
  <c r="Y10" i="279"/>
  <c r="X10" i="279"/>
  <c r="W10" i="279"/>
  <c r="V10" i="279"/>
  <c r="U10" i="279"/>
  <c r="T10" i="279"/>
  <c r="S10" i="279"/>
  <c r="R10" i="279"/>
  <c r="Q10" i="279"/>
  <c r="P10" i="279"/>
  <c r="O10" i="279"/>
  <c r="N10" i="279"/>
  <c r="M10" i="279"/>
  <c r="L10" i="279"/>
  <c r="K10" i="279"/>
  <c r="J10" i="279"/>
  <c r="I10" i="279"/>
  <c r="H10" i="279"/>
  <c r="G10" i="279"/>
  <c r="F10" i="279"/>
  <c r="E10" i="279"/>
  <c r="D10" i="279"/>
  <c r="C10" i="279"/>
  <c r="B10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D9" i="279"/>
  <c r="C9" i="279"/>
  <c r="B9" i="279"/>
  <c r="Y8" i="279"/>
  <c r="X8" i="279"/>
  <c r="W8" i="279"/>
  <c r="V8" i="279"/>
  <c r="U8" i="279"/>
  <c r="T8" i="279"/>
  <c r="S8" i="279"/>
  <c r="R8" i="279"/>
  <c r="Q8" i="279"/>
  <c r="P8" i="279"/>
  <c r="O8" i="279"/>
  <c r="N8" i="279"/>
  <c r="M8" i="279"/>
  <c r="L8" i="279"/>
  <c r="K8" i="279"/>
  <c r="J8" i="279"/>
  <c r="I8" i="279"/>
  <c r="H8" i="279"/>
  <c r="G8" i="279"/>
  <c r="F8" i="279"/>
  <c r="E8" i="279"/>
  <c r="D8" i="279"/>
  <c r="C8" i="279"/>
  <c r="B8" i="279"/>
  <c r="Y7" i="279"/>
  <c r="X7" i="279"/>
  <c r="W7" i="279"/>
  <c r="V7" i="279"/>
  <c r="U7" i="279"/>
  <c r="T7" i="279"/>
  <c r="S7" i="279"/>
  <c r="R7" i="279"/>
  <c r="Q7" i="279"/>
  <c r="P7" i="279"/>
  <c r="O7" i="279"/>
  <c r="N7" i="279"/>
  <c r="M7" i="279"/>
  <c r="L7" i="279"/>
  <c r="K7" i="279"/>
  <c r="J7" i="279"/>
  <c r="I7" i="279"/>
  <c r="H7" i="279"/>
  <c r="G7" i="279"/>
  <c r="F7" i="279"/>
  <c r="E7" i="279"/>
  <c r="D7" i="279"/>
  <c r="C7" i="279"/>
  <c r="B7" i="279"/>
  <c r="Y6" i="279"/>
  <c r="X6" i="279"/>
  <c r="W6" i="279"/>
  <c r="V6" i="279"/>
  <c r="U6" i="279"/>
  <c r="T6" i="279"/>
  <c r="S6" i="279"/>
  <c r="R6" i="279"/>
  <c r="Q6" i="279"/>
  <c r="P6" i="279"/>
  <c r="O6" i="279"/>
  <c r="N6" i="279"/>
  <c r="M6" i="279"/>
  <c r="L6" i="279"/>
  <c r="K6" i="279"/>
  <c r="J6" i="279"/>
  <c r="I6" i="279"/>
  <c r="H6" i="279"/>
  <c r="G6" i="279"/>
  <c r="F6" i="279"/>
  <c r="E6" i="279"/>
  <c r="D6" i="279"/>
  <c r="C6" i="279"/>
  <c r="B6" i="279"/>
  <c r="Y5" i="279"/>
  <c r="X5" i="279"/>
  <c r="W5" i="279"/>
  <c r="V5" i="279"/>
  <c r="U5" i="279"/>
  <c r="T5" i="279"/>
  <c r="S5" i="279"/>
  <c r="R5" i="279"/>
  <c r="Q5" i="279"/>
  <c r="P5" i="279"/>
  <c r="O5" i="279"/>
  <c r="N5" i="279"/>
  <c r="M5" i="279"/>
  <c r="L5" i="279"/>
  <c r="K5" i="279"/>
  <c r="J5" i="279"/>
  <c r="I5" i="279"/>
  <c r="H5" i="279"/>
  <c r="G5" i="279"/>
  <c r="F5" i="279"/>
  <c r="E5" i="279"/>
  <c r="D5" i="279"/>
  <c r="C5" i="279"/>
  <c r="B5" i="279"/>
  <c r="Y10" i="278"/>
  <c r="X10" i="278"/>
  <c r="W10" i="278"/>
  <c r="V10" i="278"/>
  <c r="U10" i="278"/>
  <c r="T10" i="278"/>
  <c r="S10" i="278"/>
  <c r="R10" i="278"/>
  <c r="Q10" i="278"/>
  <c r="P10" i="278"/>
  <c r="O10" i="278"/>
  <c r="N10" i="278"/>
  <c r="M10" i="278"/>
  <c r="L10" i="278"/>
  <c r="K10" i="278"/>
  <c r="J10" i="278"/>
  <c r="I10" i="278"/>
  <c r="H10" i="278"/>
  <c r="G10" i="278"/>
  <c r="F10" i="278"/>
  <c r="E10" i="278"/>
  <c r="D10" i="278"/>
  <c r="C10" i="278"/>
  <c r="B10" i="278"/>
  <c r="Y9" i="278"/>
  <c r="X9" i="278"/>
  <c r="W9" i="278"/>
  <c r="V9" i="278"/>
  <c r="U9" i="278"/>
  <c r="T9" i="278"/>
  <c r="S9" i="278"/>
  <c r="R9" i="278"/>
  <c r="Q9" i="278"/>
  <c r="P9" i="278"/>
  <c r="O9" i="278"/>
  <c r="N9" i="278"/>
  <c r="M9" i="278"/>
  <c r="L9" i="278"/>
  <c r="K9" i="278"/>
  <c r="J9" i="278"/>
  <c r="I9" i="278"/>
  <c r="H9" i="278"/>
  <c r="G9" i="278"/>
  <c r="F9" i="278"/>
  <c r="E9" i="278"/>
  <c r="D9" i="278"/>
  <c r="C9" i="278"/>
  <c r="B9" i="278"/>
  <c r="Y8" i="278"/>
  <c r="X8" i="278"/>
  <c r="W8" i="278"/>
  <c r="V8" i="278"/>
  <c r="U8" i="278"/>
  <c r="T8" i="278"/>
  <c r="S8" i="278"/>
  <c r="R8" i="278"/>
  <c r="Q8" i="278"/>
  <c r="P8" i="278"/>
  <c r="O8" i="278"/>
  <c r="N8" i="278"/>
  <c r="M8" i="278"/>
  <c r="L8" i="278"/>
  <c r="K8" i="278"/>
  <c r="J8" i="278"/>
  <c r="I8" i="278"/>
  <c r="H8" i="278"/>
  <c r="G8" i="278"/>
  <c r="F8" i="278"/>
  <c r="E8" i="278"/>
  <c r="D8" i="278"/>
  <c r="C8" i="278"/>
  <c r="B8" i="278"/>
  <c r="Y7" i="278"/>
  <c r="X7" i="278"/>
  <c r="W7" i="278"/>
  <c r="V7" i="278"/>
  <c r="U7" i="278"/>
  <c r="T7" i="278"/>
  <c r="S7" i="278"/>
  <c r="R7" i="278"/>
  <c r="Q7" i="278"/>
  <c r="P7" i="278"/>
  <c r="O7" i="278"/>
  <c r="N7" i="278"/>
  <c r="M7" i="278"/>
  <c r="L7" i="278"/>
  <c r="K7" i="278"/>
  <c r="J7" i="278"/>
  <c r="I7" i="278"/>
  <c r="H7" i="278"/>
  <c r="G7" i="278"/>
  <c r="F7" i="278"/>
  <c r="E7" i="278"/>
  <c r="D7" i="278"/>
  <c r="C7" i="278"/>
  <c r="B7" i="278"/>
  <c r="Y6" i="278"/>
  <c r="X6" i="278"/>
  <c r="W6" i="278"/>
  <c r="V6" i="278"/>
  <c r="U6" i="278"/>
  <c r="T6" i="278"/>
  <c r="S6" i="278"/>
  <c r="R6" i="278"/>
  <c r="Q6" i="278"/>
  <c r="P6" i="278"/>
  <c r="O6" i="278"/>
  <c r="N6" i="278"/>
  <c r="M6" i="278"/>
  <c r="L6" i="278"/>
  <c r="K6" i="278"/>
  <c r="J6" i="278"/>
  <c r="I6" i="278"/>
  <c r="H6" i="278"/>
  <c r="G6" i="278"/>
  <c r="F6" i="278"/>
  <c r="E6" i="278"/>
  <c r="D6" i="278"/>
  <c r="C6" i="278"/>
  <c r="B6" i="278"/>
  <c r="Y5" i="278"/>
  <c r="X5" i="278"/>
  <c r="W5" i="278"/>
  <c r="V5" i="278"/>
  <c r="U5" i="278"/>
  <c r="T5" i="278"/>
  <c r="S5" i="278"/>
  <c r="R5" i="278"/>
  <c r="Q5" i="278"/>
  <c r="P5" i="278"/>
  <c r="O5" i="278"/>
  <c r="N5" i="278"/>
  <c r="M5" i="278"/>
  <c r="L5" i="278"/>
  <c r="K5" i="278"/>
  <c r="J5" i="278"/>
  <c r="I5" i="278"/>
  <c r="H5" i="278"/>
  <c r="G5" i="278"/>
  <c r="F5" i="278"/>
  <c r="E5" i="278"/>
  <c r="D5" i="278"/>
  <c r="C5" i="278"/>
  <c r="B5" i="278"/>
  <c r="Y10" i="277"/>
  <c r="X10" i="277"/>
  <c r="W10" i="277"/>
  <c r="V10" i="277"/>
  <c r="U10" i="277"/>
  <c r="T10" i="277"/>
  <c r="S10" i="277"/>
  <c r="R10" i="277"/>
  <c r="Q10" i="277"/>
  <c r="P10" i="277"/>
  <c r="O10" i="277"/>
  <c r="N10" i="277"/>
  <c r="M10" i="277"/>
  <c r="L10" i="277"/>
  <c r="K10" i="277"/>
  <c r="J10" i="277"/>
  <c r="I10" i="277"/>
  <c r="H10" i="277"/>
  <c r="G10" i="277"/>
  <c r="F10" i="277"/>
  <c r="E10" i="277"/>
  <c r="D10" i="277"/>
  <c r="C10" i="277"/>
  <c r="B10" i="277"/>
  <c r="Y9" i="277"/>
  <c r="X9" i="277"/>
  <c r="W9" i="277"/>
  <c r="V9" i="277"/>
  <c r="U9" i="277"/>
  <c r="T9" i="277"/>
  <c r="S9" i="277"/>
  <c r="R9" i="277"/>
  <c r="Q9" i="277"/>
  <c r="P9" i="277"/>
  <c r="O9" i="277"/>
  <c r="N9" i="277"/>
  <c r="M9" i="277"/>
  <c r="L9" i="277"/>
  <c r="K9" i="277"/>
  <c r="J9" i="277"/>
  <c r="I9" i="277"/>
  <c r="H9" i="277"/>
  <c r="G9" i="277"/>
  <c r="F9" i="277"/>
  <c r="E9" i="277"/>
  <c r="D9" i="277"/>
  <c r="C9" i="277"/>
  <c r="B9" i="277"/>
  <c r="Y8" i="277"/>
  <c r="X8" i="277"/>
  <c r="W8" i="277"/>
  <c r="V8" i="277"/>
  <c r="U8" i="277"/>
  <c r="T8" i="277"/>
  <c r="S8" i="277"/>
  <c r="R8" i="277"/>
  <c r="Q8" i="277"/>
  <c r="P8" i="277"/>
  <c r="O8" i="277"/>
  <c r="N8" i="277"/>
  <c r="M8" i="277"/>
  <c r="L8" i="277"/>
  <c r="K8" i="277"/>
  <c r="J8" i="277"/>
  <c r="I8" i="277"/>
  <c r="H8" i="277"/>
  <c r="G8" i="277"/>
  <c r="F8" i="277"/>
  <c r="E8" i="277"/>
  <c r="D8" i="277"/>
  <c r="C8" i="277"/>
  <c r="B8" i="277"/>
  <c r="Y7" i="277"/>
  <c r="X7" i="277"/>
  <c r="W7" i="277"/>
  <c r="V7" i="277"/>
  <c r="U7" i="277"/>
  <c r="T7" i="277"/>
  <c r="S7" i="277"/>
  <c r="R7" i="277"/>
  <c r="Q7" i="277"/>
  <c r="P7" i="277"/>
  <c r="O7" i="277"/>
  <c r="N7" i="277"/>
  <c r="M7" i="277"/>
  <c r="L7" i="277"/>
  <c r="K7" i="277"/>
  <c r="J7" i="277"/>
  <c r="I7" i="277"/>
  <c r="H7" i="277"/>
  <c r="G7" i="277"/>
  <c r="F7" i="277"/>
  <c r="E7" i="277"/>
  <c r="D7" i="277"/>
  <c r="C7" i="277"/>
  <c r="B7" i="277"/>
  <c r="Y6" i="277"/>
  <c r="X6" i="277"/>
  <c r="W6" i="277"/>
  <c r="V6" i="277"/>
  <c r="U6" i="277"/>
  <c r="T6" i="277"/>
  <c r="S6" i="277"/>
  <c r="R6" i="277"/>
  <c r="Q6" i="277"/>
  <c r="P6" i="277"/>
  <c r="O6" i="277"/>
  <c r="N6" i="277"/>
  <c r="M6" i="277"/>
  <c r="L6" i="277"/>
  <c r="K6" i="277"/>
  <c r="J6" i="277"/>
  <c r="I6" i="277"/>
  <c r="H6" i="277"/>
  <c r="G6" i="277"/>
  <c r="F6" i="277"/>
  <c r="E6" i="277"/>
  <c r="D6" i="277"/>
  <c r="C6" i="277"/>
  <c r="B6" i="277"/>
  <c r="Y5" i="277"/>
  <c r="X5" i="277"/>
  <c r="W5" i="277"/>
  <c r="V5" i="277"/>
  <c r="U5" i="277"/>
  <c r="T5" i="277"/>
  <c r="S5" i="277"/>
  <c r="R5" i="277"/>
  <c r="Q5" i="277"/>
  <c r="P5" i="277"/>
  <c r="O5" i="277"/>
  <c r="N5" i="277"/>
  <c r="M5" i="277"/>
  <c r="L5" i="277"/>
  <c r="K5" i="277"/>
  <c r="J5" i="277"/>
  <c r="I5" i="277"/>
  <c r="H5" i="277"/>
  <c r="G5" i="277"/>
  <c r="F5" i="277"/>
  <c r="E5" i="277"/>
  <c r="D5" i="277"/>
  <c r="C5" i="277"/>
  <c r="B5" i="277"/>
  <c r="Y10" i="276"/>
  <c r="X10" i="276"/>
  <c r="W10" i="276"/>
  <c r="V10" i="276"/>
  <c r="U10" i="276"/>
  <c r="T10" i="276"/>
  <c r="S10" i="276"/>
  <c r="R10" i="276"/>
  <c r="Q10" i="276"/>
  <c r="P10" i="276"/>
  <c r="O10" i="276"/>
  <c r="N10" i="276"/>
  <c r="M10" i="276"/>
  <c r="L10" i="276"/>
  <c r="K10" i="276"/>
  <c r="J10" i="276"/>
  <c r="I10" i="276"/>
  <c r="H10" i="276"/>
  <c r="G10" i="276"/>
  <c r="F10" i="276"/>
  <c r="E10" i="276"/>
  <c r="D10" i="276"/>
  <c r="C10" i="276"/>
  <c r="B10" i="276"/>
  <c r="Y9" i="276"/>
  <c r="X9" i="276"/>
  <c r="W9" i="276"/>
  <c r="V9" i="276"/>
  <c r="U9" i="276"/>
  <c r="T9" i="276"/>
  <c r="S9" i="276"/>
  <c r="R9" i="276"/>
  <c r="Q9" i="276"/>
  <c r="P9" i="276"/>
  <c r="O9" i="276"/>
  <c r="N9" i="276"/>
  <c r="M9" i="276"/>
  <c r="L9" i="276"/>
  <c r="K9" i="276"/>
  <c r="J9" i="276"/>
  <c r="I9" i="276"/>
  <c r="H9" i="276"/>
  <c r="G9" i="276"/>
  <c r="F9" i="276"/>
  <c r="E9" i="276"/>
  <c r="D9" i="276"/>
  <c r="C9" i="276"/>
  <c r="B9" i="276"/>
  <c r="Y8" i="276"/>
  <c r="X8" i="276"/>
  <c r="W8" i="276"/>
  <c r="V8" i="276"/>
  <c r="U8" i="276"/>
  <c r="T8" i="276"/>
  <c r="S8" i="276"/>
  <c r="R8" i="276"/>
  <c r="Q8" i="276"/>
  <c r="P8" i="276"/>
  <c r="O8" i="276"/>
  <c r="N8" i="276"/>
  <c r="M8" i="276"/>
  <c r="L8" i="276"/>
  <c r="K8" i="276"/>
  <c r="J8" i="276"/>
  <c r="I8" i="276"/>
  <c r="H8" i="276"/>
  <c r="G8" i="276"/>
  <c r="F8" i="276"/>
  <c r="E8" i="276"/>
  <c r="D8" i="276"/>
  <c r="C8" i="276"/>
  <c r="B8" i="276"/>
  <c r="Y7" i="276"/>
  <c r="X7" i="276"/>
  <c r="W7" i="276"/>
  <c r="V7" i="276"/>
  <c r="U7" i="276"/>
  <c r="T7" i="276"/>
  <c r="S7" i="276"/>
  <c r="R7" i="276"/>
  <c r="Q7" i="276"/>
  <c r="P7" i="276"/>
  <c r="O7" i="276"/>
  <c r="N7" i="276"/>
  <c r="M7" i="276"/>
  <c r="L7" i="276"/>
  <c r="K7" i="276"/>
  <c r="J7" i="276"/>
  <c r="I7" i="276"/>
  <c r="H7" i="276"/>
  <c r="G7" i="276"/>
  <c r="F7" i="276"/>
  <c r="E7" i="276"/>
  <c r="D7" i="276"/>
  <c r="C7" i="276"/>
  <c r="B7" i="276"/>
  <c r="Y6" i="276"/>
  <c r="X6" i="276"/>
  <c r="W6" i="276"/>
  <c r="V6" i="276"/>
  <c r="U6" i="276"/>
  <c r="T6" i="276"/>
  <c r="S6" i="276"/>
  <c r="R6" i="276"/>
  <c r="Q6" i="276"/>
  <c r="P6" i="276"/>
  <c r="O6" i="276"/>
  <c r="N6" i="276"/>
  <c r="M6" i="276"/>
  <c r="L6" i="276"/>
  <c r="K6" i="276"/>
  <c r="J6" i="276"/>
  <c r="I6" i="276"/>
  <c r="H6" i="276"/>
  <c r="G6" i="276"/>
  <c r="F6" i="276"/>
  <c r="E6" i="276"/>
  <c r="D6" i="276"/>
  <c r="C6" i="276"/>
  <c r="B6" i="276"/>
  <c r="Y5" i="276"/>
  <c r="X5" i="276"/>
  <c r="W5" i="276"/>
  <c r="V5" i="276"/>
  <c r="U5" i="276"/>
  <c r="T5" i="276"/>
  <c r="S5" i="276"/>
  <c r="R5" i="276"/>
  <c r="Q5" i="276"/>
  <c r="P5" i="276"/>
  <c r="O5" i="276"/>
  <c r="N5" i="276"/>
  <c r="M5" i="276"/>
  <c r="L5" i="276"/>
  <c r="K5" i="276"/>
  <c r="J5" i="276"/>
  <c r="I5" i="276"/>
  <c r="H5" i="276"/>
  <c r="G5" i="276"/>
  <c r="F5" i="276"/>
  <c r="E5" i="276"/>
  <c r="D5" i="276"/>
  <c r="C5" i="276"/>
  <c r="B5" i="276"/>
  <c r="Y10" i="275"/>
  <c r="X10" i="275"/>
  <c r="W10" i="275"/>
  <c r="V10" i="275"/>
  <c r="U10" i="275"/>
  <c r="T10" i="275"/>
  <c r="S10" i="275"/>
  <c r="R10" i="275"/>
  <c r="Q10" i="275"/>
  <c r="P10" i="275"/>
  <c r="O10" i="275"/>
  <c r="N10" i="275"/>
  <c r="M10" i="275"/>
  <c r="L10" i="275"/>
  <c r="K10" i="275"/>
  <c r="J10" i="275"/>
  <c r="I10" i="275"/>
  <c r="H10" i="275"/>
  <c r="G10" i="275"/>
  <c r="F10" i="275"/>
  <c r="E10" i="275"/>
  <c r="D10" i="275"/>
  <c r="C10" i="275"/>
  <c r="B10" i="275"/>
  <c r="Y9" i="275"/>
  <c r="X9" i="275"/>
  <c r="W9" i="275"/>
  <c r="V9" i="275"/>
  <c r="U9" i="275"/>
  <c r="T9" i="275"/>
  <c r="S9" i="275"/>
  <c r="R9" i="275"/>
  <c r="Q9" i="275"/>
  <c r="P9" i="275"/>
  <c r="O9" i="275"/>
  <c r="N9" i="275"/>
  <c r="M9" i="275"/>
  <c r="L9" i="275"/>
  <c r="K9" i="275"/>
  <c r="J9" i="275"/>
  <c r="I9" i="275"/>
  <c r="H9" i="275"/>
  <c r="G9" i="275"/>
  <c r="F9" i="275"/>
  <c r="E9" i="275"/>
  <c r="D9" i="275"/>
  <c r="C9" i="275"/>
  <c r="B9" i="275"/>
  <c r="Y8" i="275"/>
  <c r="X8" i="275"/>
  <c r="W8" i="275"/>
  <c r="V8" i="275"/>
  <c r="U8" i="275"/>
  <c r="T8" i="275"/>
  <c r="S8" i="275"/>
  <c r="R8" i="275"/>
  <c r="Q8" i="275"/>
  <c r="P8" i="275"/>
  <c r="O8" i="275"/>
  <c r="N8" i="275"/>
  <c r="M8" i="275"/>
  <c r="L8" i="275"/>
  <c r="K8" i="275"/>
  <c r="J8" i="275"/>
  <c r="I8" i="275"/>
  <c r="H8" i="275"/>
  <c r="G8" i="275"/>
  <c r="F8" i="275"/>
  <c r="E8" i="275"/>
  <c r="D8" i="275"/>
  <c r="C8" i="275"/>
  <c r="B8" i="275"/>
  <c r="Y7" i="275"/>
  <c r="X7" i="275"/>
  <c r="W7" i="275"/>
  <c r="V7" i="275"/>
  <c r="U7" i="275"/>
  <c r="T7" i="275"/>
  <c r="S7" i="275"/>
  <c r="R7" i="275"/>
  <c r="Q7" i="275"/>
  <c r="P7" i="275"/>
  <c r="O7" i="275"/>
  <c r="N7" i="275"/>
  <c r="M7" i="275"/>
  <c r="L7" i="275"/>
  <c r="K7" i="275"/>
  <c r="J7" i="275"/>
  <c r="I7" i="275"/>
  <c r="H7" i="275"/>
  <c r="G7" i="275"/>
  <c r="F7" i="275"/>
  <c r="E7" i="275"/>
  <c r="D7" i="275"/>
  <c r="C7" i="275"/>
  <c r="B7" i="275"/>
  <c r="Y6" i="275"/>
  <c r="X6" i="275"/>
  <c r="W6" i="275"/>
  <c r="V6" i="275"/>
  <c r="U6" i="275"/>
  <c r="T6" i="275"/>
  <c r="S6" i="275"/>
  <c r="R6" i="275"/>
  <c r="Q6" i="275"/>
  <c r="P6" i="275"/>
  <c r="O6" i="275"/>
  <c r="N6" i="275"/>
  <c r="M6" i="275"/>
  <c r="L6" i="275"/>
  <c r="K6" i="275"/>
  <c r="J6" i="275"/>
  <c r="I6" i="275"/>
  <c r="H6" i="275"/>
  <c r="G6" i="275"/>
  <c r="F6" i="275"/>
  <c r="E6" i="275"/>
  <c r="D6" i="275"/>
  <c r="C6" i="275"/>
  <c r="B6" i="275"/>
  <c r="Y5" i="275"/>
  <c r="X5" i="275"/>
  <c r="W5" i="275"/>
  <c r="V5" i="275"/>
  <c r="U5" i="275"/>
  <c r="T5" i="275"/>
  <c r="S5" i="275"/>
  <c r="R5" i="275"/>
  <c r="Q5" i="275"/>
  <c r="P5" i="275"/>
  <c r="O5" i="275"/>
  <c r="N5" i="275"/>
  <c r="M5" i="275"/>
  <c r="L5" i="275"/>
  <c r="K5" i="275"/>
  <c r="J5" i="275"/>
  <c r="I5" i="275"/>
  <c r="H5" i="275"/>
  <c r="G5" i="275"/>
  <c r="F5" i="275"/>
  <c r="E5" i="275"/>
  <c r="D5" i="275"/>
  <c r="C5" i="275"/>
  <c r="B5" i="275"/>
  <c r="D1" i="1"/>
  <c r="E1" i="1"/>
  <c r="F1" i="1"/>
  <c r="G1" i="1"/>
  <c r="H1" i="1"/>
  <c r="I1" i="1"/>
  <c r="J1" i="1"/>
  <c r="K1" i="1"/>
  <c r="C1" i="1"/>
  <c r="B7" i="1" l="1"/>
  <c r="B6" i="1" l="1"/>
  <c r="B5" i="1"/>
  <c r="Y10" i="244"/>
  <c r="X10" i="244"/>
  <c r="W10" i="244"/>
  <c r="V10" i="244"/>
  <c r="U10" i="244"/>
  <c r="T10" i="244"/>
  <c r="S10" i="244"/>
  <c r="R10" i="244"/>
  <c r="Q10" i="244"/>
  <c r="P10" i="244"/>
  <c r="O10" i="244"/>
  <c r="N10" i="244"/>
  <c r="M10" i="244"/>
  <c r="L10" i="244"/>
  <c r="K10" i="244"/>
  <c r="J10" i="244"/>
  <c r="I10" i="244"/>
  <c r="H10" i="244"/>
  <c r="G10" i="244"/>
  <c r="F10" i="244"/>
  <c r="E10" i="244"/>
  <c r="D10" i="244"/>
  <c r="C10" i="244"/>
  <c r="B10" i="244"/>
  <c r="Y9" i="244"/>
  <c r="X9" i="244"/>
  <c r="W9" i="244"/>
  <c r="V9" i="244"/>
  <c r="U9" i="244"/>
  <c r="T9" i="244"/>
  <c r="S9" i="244"/>
  <c r="R9" i="244"/>
  <c r="Q9" i="244"/>
  <c r="P9" i="244"/>
  <c r="O9" i="244"/>
  <c r="N9" i="244"/>
  <c r="M9" i="244"/>
  <c r="L9" i="244"/>
  <c r="K9" i="244"/>
  <c r="J9" i="244"/>
  <c r="I9" i="244"/>
  <c r="H9" i="244"/>
  <c r="G9" i="244"/>
  <c r="F9" i="244"/>
  <c r="E9" i="244"/>
  <c r="D9" i="244"/>
  <c r="C9" i="244"/>
  <c r="B9" i="244"/>
  <c r="Y8" i="244"/>
  <c r="X8" i="244"/>
  <c r="W8" i="244"/>
  <c r="V8" i="244"/>
  <c r="U8" i="244"/>
  <c r="T8" i="244"/>
  <c r="S8" i="244"/>
  <c r="R8" i="244"/>
  <c r="Q8" i="244"/>
  <c r="P8" i="244"/>
  <c r="O8" i="244"/>
  <c r="N8" i="244"/>
  <c r="M8" i="244"/>
  <c r="L8" i="244"/>
  <c r="K8" i="244"/>
  <c r="J8" i="244"/>
  <c r="I8" i="244"/>
  <c r="H8" i="244"/>
  <c r="G8" i="244"/>
  <c r="F8" i="244"/>
  <c r="E8" i="244"/>
  <c r="D8" i="244"/>
  <c r="C8" i="244"/>
  <c r="B8" i="244"/>
  <c r="Y7" i="244"/>
  <c r="X7" i="244"/>
  <c r="W7" i="244"/>
  <c r="V7" i="244"/>
  <c r="U7" i="244"/>
  <c r="T7" i="244"/>
  <c r="S7" i="244"/>
  <c r="R7" i="244"/>
  <c r="Q7" i="244"/>
  <c r="P7" i="244"/>
  <c r="O7" i="244"/>
  <c r="N7" i="244"/>
  <c r="M7" i="244"/>
  <c r="L7" i="244"/>
  <c r="K7" i="244"/>
  <c r="J7" i="244"/>
  <c r="I7" i="244"/>
  <c r="H7" i="244"/>
  <c r="G7" i="244"/>
  <c r="F7" i="244"/>
  <c r="E7" i="244"/>
  <c r="D7" i="244"/>
  <c r="C7" i="244"/>
  <c r="B7" i="244"/>
  <c r="Y6" i="244"/>
  <c r="X6" i="244"/>
  <c r="W6" i="244"/>
  <c r="V6" i="244"/>
  <c r="U6" i="244"/>
  <c r="T6" i="244"/>
  <c r="S6" i="244"/>
  <c r="R6" i="244"/>
  <c r="Q6" i="244"/>
  <c r="P6" i="244"/>
  <c r="O6" i="244"/>
  <c r="N6" i="244"/>
  <c r="M6" i="244"/>
  <c r="L6" i="244"/>
  <c r="K6" i="244"/>
  <c r="J6" i="244"/>
  <c r="I6" i="244"/>
  <c r="H6" i="244"/>
  <c r="G6" i="244"/>
  <c r="F6" i="244"/>
  <c r="E6" i="244"/>
  <c r="D6" i="244"/>
  <c r="C6" i="244"/>
  <c r="B6" i="244"/>
  <c r="Y5" i="244"/>
  <c r="X5" i="244"/>
  <c r="W5" i="244"/>
  <c r="V5" i="244"/>
  <c r="U5" i="244"/>
  <c r="T5" i="244"/>
  <c r="S5" i="244"/>
  <c r="R5" i="244"/>
  <c r="Q5" i="244"/>
  <c r="P5" i="244"/>
  <c r="O5" i="244"/>
  <c r="N5" i="244"/>
  <c r="M5" i="244"/>
  <c r="L5" i="244"/>
  <c r="K5" i="244"/>
  <c r="J5" i="244"/>
  <c r="I5" i="244"/>
  <c r="H5" i="244"/>
  <c r="G5" i="244"/>
  <c r="F5" i="244"/>
  <c r="E5" i="244"/>
  <c r="D5" i="244"/>
  <c r="C5" i="244"/>
  <c r="B5" i="244"/>
  <c r="Y10" i="243"/>
  <c r="X10" i="243"/>
  <c r="W10" i="243"/>
  <c r="V10" i="243"/>
  <c r="U10" i="243"/>
  <c r="T10" i="243"/>
  <c r="S10" i="243"/>
  <c r="R10" i="243"/>
  <c r="Q10" i="243"/>
  <c r="P10" i="243"/>
  <c r="O10" i="243"/>
  <c r="N10" i="243"/>
  <c r="M10" i="243"/>
  <c r="L10" i="243"/>
  <c r="K10" i="243"/>
  <c r="J10" i="243"/>
  <c r="I10" i="243"/>
  <c r="H10" i="243"/>
  <c r="G10" i="243"/>
  <c r="F10" i="243"/>
  <c r="E10" i="243"/>
  <c r="D10" i="243"/>
  <c r="C10" i="243"/>
  <c r="B10" i="243"/>
  <c r="Y9" i="243"/>
  <c r="X9" i="243"/>
  <c r="W9" i="243"/>
  <c r="V9" i="243"/>
  <c r="U9" i="243"/>
  <c r="T9" i="243"/>
  <c r="S9" i="243"/>
  <c r="R9" i="243"/>
  <c r="Q9" i="243"/>
  <c r="P9" i="243"/>
  <c r="O9" i="243"/>
  <c r="N9" i="243"/>
  <c r="M9" i="243"/>
  <c r="L9" i="243"/>
  <c r="K9" i="243"/>
  <c r="J9" i="243"/>
  <c r="I9" i="243"/>
  <c r="H9" i="243"/>
  <c r="G9" i="243"/>
  <c r="F9" i="243"/>
  <c r="E9" i="243"/>
  <c r="D9" i="243"/>
  <c r="C9" i="243"/>
  <c r="B9" i="243"/>
  <c r="Y8" i="243"/>
  <c r="X8" i="243"/>
  <c r="W8" i="243"/>
  <c r="V8" i="243"/>
  <c r="U8" i="243"/>
  <c r="T8" i="243"/>
  <c r="S8" i="243"/>
  <c r="R8" i="243"/>
  <c r="Q8" i="243"/>
  <c r="P8" i="243"/>
  <c r="O8" i="243"/>
  <c r="N8" i="243"/>
  <c r="M8" i="243"/>
  <c r="L8" i="243"/>
  <c r="K8" i="243"/>
  <c r="J8" i="243"/>
  <c r="I8" i="243"/>
  <c r="H8" i="243"/>
  <c r="G8" i="243"/>
  <c r="F8" i="243"/>
  <c r="E8" i="243"/>
  <c r="D8" i="243"/>
  <c r="C8" i="243"/>
  <c r="B8" i="243"/>
  <c r="Y7" i="243"/>
  <c r="X7" i="243"/>
  <c r="W7" i="243"/>
  <c r="V7" i="243"/>
  <c r="U7" i="243"/>
  <c r="T7" i="243"/>
  <c r="S7" i="243"/>
  <c r="R7" i="243"/>
  <c r="Q7" i="243"/>
  <c r="P7" i="243"/>
  <c r="O7" i="243"/>
  <c r="N7" i="243"/>
  <c r="M7" i="243"/>
  <c r="L7" i="243"/>
  <c r="K7" i="243"/>
  <c r="J7" i="243"/>
  <c r="I7" i="243"/>
  <c r="H7" i="243"/>
  <c r="G7" i="243"/>
  <c r="F7" i="243"/>
  <c r="E7" i="243"/>
  <c r="D7" i="243"/>
  <c r="C7" i="243"/>
  <c r="B7" i="243"/>
  <c r="Y6" i="243"/>
  <c r="X6" i="243"/>
  <c r="W6" i="243"/>
  <c r="V6" i="243"/>
  <c r="U6" i="243"/>
  <c r="T6" i="243"/>
  <c r="S6" i="243"/>
  <c r="R6" i="243"/>
  <c r="Q6" i="243"/>
  <c r="P6" i="243"/>
  <c r="O6" i="243"/>
  <c r="N6" i="243"/>
  <c r="M6" i="243"/>
  <c r="L6" i="243"/>
  <c r="K6" i="243"/>
  <c r="J6" i="243"/>
  <c r="I6" i="243"/>
  <c r="H6" i="243"/>
  <c r="G6" i="243"/>
  <c r="F6" i="243"/>
  <c r="E6" i="243"/>
  <c r="D6" i="243"/>
  <c r="C6" i="243"/>
  <c r="B6" i="243"/>
  <c r="Y5" i="243"/>
  <c r="X5" i="243"/>
  <c r="W5" i="243"/>
  <c r="V5" i="243"/>
  <c r="U5" i="243"/>
  <c r="T5" i="243"/>
  <c r="S5" i="243"/>
  <c r="R5" i="243"/>
  <c r="Q5" i="243"/>
  <c r="P5" i="243"/>
  <c r="O5" i="243"/>
  <c r="N5" i="243"/>
  <c r="M5" i="243"/>
  <c r="L5" i="243"/>
  <c r="K5" i="243"/>
  <c r="J5" i="243"/>
  <c r="I5" i="243"/>
  <c r="H5" i="243"/>
  <c r="G5" i="243"/>
  <c r="F5" i="243"/>
  <c r="E5" i="243"/>
  <c r="D5" i="243"/>
  <c r="C5" i="243"/>
  <c r="B5" i="243"/>
  <c r="Y10" i="242"/>
  <c r="X10" i="242"/>
  <c r="W10" i="242"/>
  <c r="V10" i="242"/>
  <c r="U10" i="242"/>
  <c r="T10" i="242"/>
  <c r="S10" i="242"/>
  <c r="R10" i="242"/>
  <c r="Q10" i="242"/>
  <c r="P10" i="242"/>
  <c r="O10" i="242"/>
  <c r="N10" i="242"/>
  <c r="M10" i="242"/>
  <c r="L10" i="242"/>
  <c r="K10" i="242"/>
  <c r="J10" i="242"/>
  <c r="I10" i="242"/>
  <c r="H10" i="242"/>
  <c r="G10" i="242"/>
  <c r="F10" i="242"/>
  <c r="E10" i="242"/>
  <c r="D10" i="242"/>
  <c r="C10" i="242"/>
  <c r="B10" i="242"/>
  <c r="Y9" i="242"/>
  <c r="X9" i="242"/>
  <c r="W9" i="242"/>
  <c r="V9" i="242"/>
  <c r="U9" i="242"/>
  <c r="T9" i="242"/>
  <c r="S9" i="242"/>
  <c r="R9" i="242"/>
  <c r="Q9" i="242"/>
  <c r="P9" i="242"/>
  <c r="O9" i="242"/>
  <c r="N9" i="242"/>
  <c r="M9" i="242"/>
  <c r="L9" i="242"/>
  <c r="K9" i="242"/>
  <c r="J9" i="242"/>
  <c r="I9" i="242"/>
  <c r="H9" i="242"/>
  <c r="G9" i="242"/>
  <c r="F9" i="242"/>
  <c r="E9" i="242"/>
  <c r="D9" i="242"/>
  <c r="C9" i="242"/>
  <c r="B9" i="242"/>
  <c r="Y8" i="242"/>
  <c r="X8" i="242"/>
  <c r="W8" i="242"/>
  <c r="V8" i="242"/>
  <c r="U8" i="242"/>
  <c r="T8" i="242"/>
  <c r="S8" i="242"/>
  <c r="R8" i="242"/>
  <c r="Q8" i="242"/>
  <c r="P8" i="242"/>
  <c r="O8" i="242"/>
  <c r="N8" i="242"/>
  <c r="M8" i="242"/>
  <c r="L8" i="242"/>
  <c r="K8" i="242"/>
  <c r="J8" i="242"/>
  <c r="I8" i="242"/>
  <c r="H8" i="242"/>
  <c r="G8" i="242"/>
  <c r="F8" i="242"/>
  <c r="E8" i="242"/>
  <c r="D8" i="242"/>
  <c r="C8" i="242"/>
  <c r="B8" i="242"/>
  <c r="Y7" i="242"/>
  <c r="X7" i="242"/>
  <c r="W7" i="242"/>
  <c r="V7" i="242"/>
  <c r="U7" i="242"/>
  <c r="T7" i="242"/>
  <c r="S7" i="242"/>
  <c r="R7" i="242"/>
  <c r="Q7" i="242"/>
  <c r="P7" i="242"/>
  <c r="O7" i="242"/>
  <c r="N7" i="242"/>
  <c r="M7" i="242"/>
  <c r="L7" i="242"/>
  <c r="K7" i="242"/>
  <c r="J7" i="242"/>
  <c r="I7" i="242"/>
  <c r="H7" i="242"/>
  <c r="G7" i="242"/>
  <c r="F7" i="242"/>
  <c r="E7" i="242"/>
  <c r="D7" i="242"/>
  <c r="C7" i="242"/>
  <c r="B7" i="242"/>
  <c r="Y6" i="242"/>
  <c r="X6" i="242"/>
  <c r="W6" i="242"/>
  <c r="V6" i="242"/>
  <c r="U6" i="242"/>
  <c r="T6" i="242"/>
  <c r="S6" i="242"/>
  <c r="R6" i="242"/>
  <c r="Q6" i="242"/>
  <c r="P6" i="242"/>
  <c r="O6" i="242"/>
  <c r="N6" i="242"/>
  <c r="M6" i="242"/>
  <c r="L6" i="242"/>
  <c r="K6" i="242"/>
  <c r="J6" i="242"/>
  <c r="I6" i="242"/>
  <c r="H6" i="242"/>
  <c r="G6" i="242"/>
  <c r="F6" i="242"/>
  <c r="E6" i="242"/>
  <c r="D6" i="242"/>
  <c r="C6" i="242"/>
  <c r="B6" i="242"/>
  <c r="Y5" i="242"/>
  <c r="X5" i="242"/>
  <c r="W5" i="242"/>
  <c r="V5" i="242"/>
  <c r="U5" i="242"/>
  <c r="T5" i="242"/>
  <c r="S5" i="242"/>
  <c r="R5" i="242"/>
  <c r="Q5" i="242"/>
  <c r="P5" i="242"/>
  <c r="O5" i="242"/>
  <c r="N5" i="242"/>
  <c r="M5" i="242"/>
  <c r="L5" i="242"/>
  <c r="K5" i="242"/>
  <c r="J5" i="242"/>
  <c r="I5" i="242"/>
  <c r="H5" i="242"/>
  <c r="G5" i="242"/>
  <c r="F5" i="242"/>
  <c r="E5" i="242"/>
  <c r="D5" i="242"/>
  <c r="C5" i="242"/>
  <c r="B5" i="242"/>
  <c r="Y10" i="241"/>
  <c r="X10" i="241"/>
  <c r="W10" i="241"/>
  <c r="V10" i="241"/>
  <c r="U10" i="241"/>
  <c r="T10" i="241"/>
  <c r="S10" i="241"/>
  <c r="R10" i="241"/>
  <c r="Q10" i="241"/>
  <c r="P10" i="241"/>
  <c r="O10" i="241"/>
  <c r="N10" i="241"/>
  <c r="M10" i="241"/>
  <c r="L10" i="241"/>
  <c r="K10" i="241"/>
  <c r="J10" i="241"/>
  <c r="I10" i="241"/>
  <c r="H10" i="241"/>
  <c r="G10" i="241"/>
  <c r="F10" i="241"/>
  <c r="E10" i="241"/>
  <c r="D10" i="241"/>
  <c r="C10" i="241"/>
  <c r="B10" i="241"/>
  <c r="Y9" i="241"/>
  <c r="X9" i="241"/>
  <c r="W9" i="241"/>
  <c r="V9" i="241"/>
  <c r="U9" i="241"/>
  <c r="T9" i="241"/>
  <c r="S9" i="241"/>
  <c r="R9" i="241"/>
  <c r="Q9" i="241"/>
  <c r="P9" i="241"/>
  <c r="O9" i="241"/>
  <c r="N9" i="241"/>
  <c r="M9" i="241"/>
  <c r="L9" i="241"/>
  <c r="K9" i="241"/>
  <c r="J9" i="241"/>
  <c r="I9" i="241"/>
  <c r="H9" i="241"/>
  <c r="G9" i="241"/>
  <c r="F9" i="241"/>
  <c r="E9" i="241"/>
  <c r="D9" i="241"/>
  <c r="C9" i="241"/>
  <c r="B9" i="241"/>
  <c r="Y8" i="241"/>
  <c r="X8" i="241"/>
  <c r="W8" i="241"/>
  <c r="V8" i="241"/>
  <c r="U8" i="241"/>
  <c r="T8" i="241"/>
  <c r="S8" i="241"/>
  <c r="R8" i="241"/>
  <c r="Q8" i="241"/>
  <c r="P8" i="241"/>
  <c r="O8" i="241"/>
  <c r="N8" i="241"/>
  <c r="M8" i="241"/>
  <c r="L8" i="241"/>
  <c r="K8" i="241"/>
  <c r="J8" i="241"/>
  <c r="I8" i="241"/>
  <c r="H8" i="241"/>
  <c r="G8" i="241"/>
  <c r="F8" i="241"/>
  <c r="E8" i="241"/>
  <c r="D8" i="241"/>
  <c r="C8" i="241"/>
  <c r="B8" i="241"/>
  <c r="Y7" i="241"/>
  <c r="X7" i="241"/>
  <c r="W7" i="241"/>
  <c r="V7" i="241"/>
  <c r="U7" i="241"/>
  <c r="T7" i="241"/>
  <c r="S7" i="241"/>
  <c r="R7" i="241"/>
  <c r="Q7" i="241"/>
  <c r="P7" i="241"/>
  <c r="O7" i="241"/>
  <c r="N7" i="241"/>
  <c r="M7" i="241"/>
  <c r="L7" i="241"/>
  <c r="K7" i="241"/>
  <c r="J7" i="241"/>
  <c r="I7" i="241"/>
  <c r="H7" i="241"/>
  <c r="G7" i="241"/>
  <c r="F7" i="241"/>
  <c r="E7" i="241"/>
  <c r="D7" i="241"/>
  <c r="C7" i="241"/>
  <c r="B7" i="241"/>
  <c r="Y6" i="241"/>
  <c r="X6" i="241"/>
  <c r="W6" i="241"/>
  <c r="V6" i="241"/>
  <c r="U6" i="241"/>
  <c r="T6" i="241"/>
  <c r="S6" i="241"/>
  <c r="R6" i="241"/>
  <c r="Q6" i="241"/>
  <c r="P6" i="241"/>
  <c r="O6" i="241"/>
  <c r="N6" i="241"/>
  <c r="M6" i="241"/>
  <c r="L6" i="241"/>
  <c r="K6" i="241"/>
  <c r="J6" i="241"/>
  <c r="I6" i="241"/>
  <c r="H6" i="241"/>
  <c r="G6" i="241"/>
  <c r="F6" i="241"/>
  <c r="E6" i="241"/>
  <c r="D6" i="241"/>
  <c r="C6" i="241"/>
  <c r="B6" i="241"/>
  <c r="Y5" i="241"/>
  <c r="X5" i="241"/>
  <c r="W5" i="241"/>
  <c r="V5" i="241"/>
  <c r="U5" i="241"/>
  <c r="T5" i="241"/>
  <c r="S5" i="241"/>
  <c r="R5" i="241"/>
  <c r="Q5" i="241"/>
  <c r="P5" i="241"/>
  <c r="O5" i="241"/>
  <c r="N5" i="241"/>
  <c r="M5" i="241"/>
  <c r="L5" i="241"/>
  <c r="K5" i="241"/>
  <c r="J5" i="241"/>
  <c r="I5" i="241"/>
  <c r="H5" i="241"/>
  <c r="G5" i="241"/>
  <c r="F5" i="241"/>
  <c r="E5" i="241"/>
  <c r="D5" i="241"/>
  <c r="C5" i="241"/>
  <c r="B5" i="241"/>
  <c r="Y10" i="240"/>
  <c r="X10" i="240"/>
  <c r="W10" i="240"/>
  <c r="V10" i="240"/>
  <c r="U10" i="240"/>
  <c r="T10" i="240"/>
  <c r="S10" i="240"/>
  <c r="R10" i="240"/>
  <c r="Q10" i="240"/>
  <c r="P10" i="240"/>
  <c r="O10" i="240"/>
  <c r="N10" i="240"/>
  <c r="M10" i="240"/>
  <c r="L10" i="240"/>
  <c r="K10" i="240"/>
  <c r="J10" i="240"/>
  <c r="I10" i="240"/>
  <c r="H10" i="240"/>
  <c r="G10" i="240"/>
  <c r="F10" i="240"/>
  <c r="E10" i="240"/>
  <c r="D10" i="240"/>
  <c r="C10" i="240"/>
  <c r="B10" i="240"/>
  <c r="Y9" i="240"/>
  <c r="X9" i="240"/>
  <c r="W9" i="240"/>
  <c r="V9" i="240"/>
  <c r="U9" i="240"/>
  <c r="T9" i="240"/>
  <c r="S9" i="240"/>
  <c r="R9" i="240"/>
  <c r="Q9" i="240"/>
  <c r="P9" i="240"/>
  <c r="O9" i="240"/>
  <c r="N9" i="240"/>
  <c r="M9" i="240"/>
  <c r="L9" i="240"/>
  <c r="K9" i="240"/>
  <c r="J9" i="240"/>
  <c r="I9" i="240"/>
  <c r="H9" i="240"/>
  <c r="G9" i="240"/>
  <c r="F9" i="240"/>
  <c r="E9" i="240"/>
  <c r="D9" i="240"/>
  <c r="C9" i="240"/>
  <c r="B9" i="240"/>
  <c r="Y8" i="240"/>
  <c r="X8" i="240"/>
  <c r="W8" i="240"/>
  <c r="V8" i="240"/>
  <c r="U8" i="240"/>
  <c r="T8" i="240"/>
  <c r="S8" i="240"/>
  <c r="R8" i="240"/>
  <c r="Q8" i="240"/>
  <c r="P8" i="240"/>
  <c r="O8" i="240"/>
  <c r="N8" i="240"/>
  <c r="M8" i="240"/>
  <c r="L8" i="240"/>
  <c r="K8" i="240"/>
  <c r="J8" i="240"/>
  <c r="I8" i="240"/>
  <c r="H8" i="240"/>
  <c r="G8" i="240"/>
  <c r="F8" i="240"/>
  <c r="E8" i="240"/>
  <c r="D8" i="240"/>
  <c r="C8" i="240"/>
  <c r="B8" i="240"/>
  <c r="Y7" i="240"/>
  <c r="X7" i="240"/>
  <c r="W7" i="240"/>
  <c r="V7" i="240"/>
  <c r="U7" i="240"/>
  <c r="T7" i="240"/>
  <c r="S7" i="240"/>
  <c r="R7" i="240"/>
  <c r="Q7" i="240"/>
  <c r="P7" i="240"/>
  <c r="O7" i="240"/>
  <c r="N7" i="240"/>
  <c r="M7" i="240"/>
  <c r="L7" i="240"/>
  <c r="K7" i="240"/>
  <c r="J7" i="240"/>
  <c r="I7" i="240"/>
  <c r="H7" i="240"/>
  <c r="G7" i="240"/>
  <c r="F7" i="240"/>
  <c r="E7" i="240"/>
  <c r="D7" i="240"/>
  <c r="C7" i="240"/>
  <c r="B7" i="240"/>
  <c r="Y6" i="240"/>
  <c r="X6" i="240"/>
  <c r="W6" i="240"/>
  <c r="V6" i="240"/>
  <c r="U6" i="240"/>
  <c r="T6" i="240"/>
  <c r="S6" i="240"/>
  <c r="R6" i="240"/>
  <c r="Q6" i="240"/>
  <c r="P6" i="240"/>
  <c r="O6" i="240"/>
  <c r="N6" i="240"/>
  <c r="M6" i="240"/>
  <c r="L6" i="240"/>
  <c r="K6" i="240"/>
  <c r="J6" i="240"/>
  <c r="I6" i="240"/>
  <c r="H6" i="240"/>
  <c r="G6" i="240"/>
  <c r="F6" i="240"/>
  <c r="E6" i="240"/>
  <c r="D6" i="240"/>
  <c r="C6" i="240"/>
  <c r="B6" i="240"/>
  <c r="Y5" i="240"/>
  <c r="X5" i="240"/>
  <c r="W5" i="240"/>
  <c r="V5" i="240"/>
  <c r="U5" i="240"/>
  <c r="T5" i="240"/>
  <c r="S5" i="240"/>
  <c r="R5" i="240"/>
  <c r="Q5" i="240"/>
  <c r="P5" i="240"/>
  <c r="O5" i="240"/>
  <c r="N5" i="240"/>
  <c r="M5" i="240"/>
  <c r="L5" i="240"/>
  <c r="K5" i="240"/>
  <c r="J5" i="240"/>
  <c r="I5" i="240"/>
  <c r="H5" i="240"/>
  <c r="G5" i="240"/>
  <c r="F5" i="240"/>
  <c r="E5" i="240"/>
  <c r="D5" i="240"/>
  <c r="C5" i="240"/>
  <c r="B5" i="240"/>
  <c r="Y10" i="239"/>
  <c r="X10" i="239"/>
  <c r="W10" i="239"/>
  <c r="V10" i="239"/>
  <c r="U10" i="239"/>
  <c r="T10" i="239"/>
  <c r="S10" i="239"/>
  <c r="R10" i="239"/>
  <c r="Q10" i="239"/>
  <c r="P10" i="239"/>
  <c r="O10" i="239"/>
  <c r="N10" i="239"/>
  <c r="M10" i="239"/>
  <c r="L10" i="239"/>
  <c r="K10" i="239"/>
  <c r="J10" i="239"/>
  <c r="I10" i="239"/>
  <c r="H10" i="239"/>
  <c r="G10" i="239"/>
  <c r="F10" i="239"/>
  <c r="E10" i="239"/>
  <c r="D10" i="239"/>
  <c r="C10" i="239"/>
  <c r="B10" i="239"/>
  <c r="Y9" i="239"/>
  <c r="X9" i="239"/>
  <c r="W9" i="239"/>
  <c r="V9" i="239"/>
  <c r="U9" i="239"/>
  <c r="T9" i="239"/>
  <c r="S9" i="239"/>
  <c r="R9" i="239"/>
  <c r="Q9" i="239"/>
  <c r="P9" i="239"/>
  <c r="O9" i="239"/>
  <c r="N9" i="239"/>
  <c r="M9" i="239"/>
  <c r="L9" i="239"/>
  <c r="K9" i="239"/>
  <c r="J9" i="239"/>
  <c r="I9" i="239"/>
  <c r="H9" i="239"/>
  <c r="G9" i="239"/>
  <c r="F9" i="239"/>
  <c r="E9" i="239"/>
  <c r="D9" i="239"/>
  <c r="C9" i="239"/>
  <c r="B9" i="239"/>
  <c r="Y8" i="239"/>
  <c r="X8" i="239"/>
  <c r="W8" i="239"/>
  <c r="V8" i="239"/>
  <c r="U8" i="239"/>
  <c r="T8" i="239"/>
  <c r="S8" i="239"/>
  <c r="R8" i="239"/>
  <c r="Q8" i="239"/>
  <c r="P8" i="239"/>
  <c r="O8" i="239"/>
  <c r="N8" i="239"/>
  <c r="M8" i="239"/>
  <c r="L8" i="239"/>
  <c r="K8" i="239"/>
  <c r="J8" i="239"/>
  <c r="I8" i="239"/>
  <c r="H8" i="239"/>
  <c r="G8" i="239"/>
  <c r="F8" i="239"/>
  <c r="E8" i="239"/>
  <c r="D8" i="239"/>
  <c r="C8" i="239"/>
  <c r="B8" i="239"/>
  <c r="Y7" i="239"/>
  <c r="X7" i="239"/>
  <c r="W7" i="239"/>
  <c r="V7" i="239"/>
  <c r="U7" i="239"/>
  <c r="T7" i="239"/>
  <c r="S7" i="239"/>
  <c r="R7" i="239"/>
  <c r="Q7" i="239"/>
  <c r="P7" i="239"/>
  <c r="O7" i="239"/>
  <c r="N7" i="239"/>
  <c r="M7" i="239"/>
  <c r="L7" i="239"/>
  <c r="K7" i="239"/>
  <c r="J7" i="239"/>
  <c r="I7" i="239"/>
  <c r="H7" i="239"/>
  <c r="G7" i="239"/>
  <c r="F7" i="239"/>
  <c r="E7" i="239"/>
  <c r="D7" i="239"/>
  <c r="C7" i="239"/>
  <c r="B7" i="239"/>
  <c r="Y6" i="239"/>
  <c r="X6" i="239"/>
  <c r="W6" i="239"/>
  <c r="V6" i="239"/>
  <c r="U6" i="239"/>
  <c r="T6" i="239"/>
  <c r="S6" i="239"/>
  <c r="R6" i="239"/>
  <c r="Q6" i="239"/>
  <c r="P6" i="239"/>
  <c r="O6" i="239"/>
  <c r="N6" i="239"/>
  <c r="M6" i="239"/>
  <c r="L6" i="239"/>
  <c r="K6" i="239"/>
  <c r="J6" i="239"/>
  <c r="I6" i="239"/>
  <c r="H6" i="239"/>
  <c r="G6" i="239"/>
  <c r="F6" i="239"/>
  <c r="E6" i="239"/>
  <c r="D6" i="239"/>
  <c r="C6" i="239"/>
  <c r="B6" i="239"/>
  <c r="Y5" i="239"/>
  <c r="X5" i="239"/>
  <c r="W5" i="239"/>
  <c r="V5" i="239"/>
  <c r="U5" i="239"/>
  <c r="T5" i="239"/>
  <c r="S5" i="239"/>
  <c r="R5" i="239"/>
  <c r="Q5" i="239"/>
  <c r="P5" i="239"/>
  <c r="O5" i="239"/>
  <c r="N5" i="239"/>
  <c r="M5" i="239"/>
  <c r="L5" i="239"/>
  <c r="K5" i="239"/>
  <c r="J5" i="239"/>
  <c r="I5" i="239"/>
  <c r="H5" i="239"/>
  <c r="G5" i="239"/>
  <c r="F5" i="239"/>
  <c r="E5" i="239"/>
  <c r="D5" i="239"/>
  <c r="C5" i="239"/>
  <c r="B5" i="239"/>
  <c r="Y10" i="238"/>
  <c r="X10" i="238"/>
  <c r="W10" i="238"/>
  <c r="V10" i="238"/>
  <c r="U10" i="238"/>
  <c r="T10" i="238"/>
  <c r="S10" i="238"/>
  <c r="R10" i="238"/>
  <c r="Q10" i="238"/>
  <c r="P10" i="238"/>
  <c r="O10" i="238"/>
  <c r="N10" i="238"/>
  <c r="M10" i="238"/>
  <c r="L10" i="238"/>
  <c r="K10" i="238"/>
  <c r="J10" i="238"/>
  <c r="I10" i="238"/>
  <c r="H10" i="238"/>
  <c r="G10" i="238"/>
  <c r="F10" i="238"/>
  <c r="E10" i="238"/>
  <c r="D10" i="238"/>
  <c r="C10" i="238"/>
  <c r="B10" i="238"/>
  <c r="Y9" i="238"/>
  <c r="X9" i="238"/>
  <c r="W9" i="238"/>
  <c r="V9" i="238"/>
  <c r="U9" i="238"/>
  <c r="T9" i="238"/>
  <c r="S9" i="238"/>
  <c r="R9" i="238"/>
  <c r="Q9" i="238"/>
  <c r="P9" i="238"/>
  <c r="O9" i="238"/>
  <c r="N9" i="238"/>
  <c r="M9" i="238"/>
  <c r="L9" i="238"/>
  <c r="K9" i="238"/>
  <c r="J9" i="238"/>
  <c r="I9" i="238"/>
  <c r="H9" i="238"/>
  <c r="G9" i="238"/>
  <c r="F9" i="238"/>
  <c r="E9" i="238"/>
  <c r="D9" i="238"/>
  <c r="C9" i="238"/>
  <c r="B9" i="238"/>
  <c r="Y8" i="238"/>
  <c r="X8" i="238"/>
  <c r="W8" i="238"/>
  <c r="V8" i="238"/>
  <c r="U8" i="238"/>
  <c r="T8" i="238"/>
  <c r="S8" i="238"/>
  <c r="R8" i="238"/>
  <c r="Q8" i="238"/>
  <c r="P8" i="238"/>
  <c r="O8" i="238"/>
  <c r="N8" i="238"/>
  <c r="M8" i="238"/>
  <c r="L8" i="238"/>
  <c r="K8" i="238"/>
  <c r="J8" i="238"/>
  <c r="I8" i="238"/>
  <c r="H8" i="238"/>
  <c r="G8" i="238"/>
  <c r="F8" i="238"/>
  <c r="E8" i="238"/>
  <c r="D8" i="238"/>
  <c r="C8" i="238"/>
  <c r="B8" i="238"/>
  <c r="Y7" i="238"/>
  <c r="X7" i="238"/>
  <c r="W7" i="238"/>
  <c r="V7" i="238"/>
  <c r="U7" i="238"/>
  <c r="T7" i="238"/>
  <c r="S7" i="238"/>
  <c r="R7" i="238"/>
  <c r="Q7" i="238"/>
  <c r="P7" i="238"/>
  <c r="O7" i="238"/>
  <c r="N7" i="238"/>
  <c r="M7" i="238"/>
  <c r="L7" i="238"/>
  <c r="K7" i="238"/>
  <c r="J7" i="238"/>
  <c r="I7" i="238"/>
  <c r="H7" i="238"/>
  <c r="G7" i="238"/>
  <c r="F7" i="238"/>
  <c r="E7" i="238"/>
  <c r="D7" i="238"/>
  <c r="C7" i="238"/>
  <c r="B7" i="238"/>
  <c r="Y6" i="238"/>
  <c r="X6" i="238"/>
  <c r="W6" i="238"/>
  <c r="V6" i="238"/>
  <c r="U6" i="238"/>
  <c r="T6" i="238"/>
  <c r="S6" i="238"/>
  <c r="R6" i="238"/>
  <c r="Q6" i="238"/>
  <c r="P6" i="238"/>
  <c r="O6" i="238"/>
  <c r="N6" i="238"/>
  <c r="M6" i="238"/>
  <c r="L6" i="238"/>
  <c r="K6" i="238"/>
  <c r="J6" i="238"/>
  <c r="I6" i="238"/>
  <c r="H6" i="238"/>
  <c r="G6" i="238"/>
  <c r="F6" i="238"/>
  <c r="E6" i="238"/>
  <c r="D6" i="238"/>
  <c r="C6" i="238"/>
  <c r="B6" i="238"/>
  <c r="Y5" i="238"/>
  <c r="X5" i="238"/>
  <c r="W5" i="238"/>
  <c r="V5" i="238"/>
  <c r="U5" i="238"/>
  <c r="T5" i="238"/>
  <c r="S5" i="238"/>
  <c r="R5" i="238"/>
  <c r="Q5" i="238"/>
  <c r="P5" i="238"/>
  <c r="O5" i="238"/>
  <c r="N5" i="238"/>
  <c r="M5" i="238"/>
  <c r="L5" i="238"/>
  <c r="K5" i="238"/>
  <c r="J5" i="238"/>
  <c r="I5" i="238"/>
  <c r="H5" i="238"/>
  <c r="G5" i="238"/>
  <c r="F5" i="238"/>
  <c r="E5" i="238"/>
  <c r="D5" i="238"/>
  <c r="C5" i="238"/>
  <c r="B5" i="238"/>
  <c r="Y10" i="237"/>
  <c r="X10" i="237"/>
  <c r="W10" i="237"/>
  <c r="V10" i="237"/>
  <c r="U10" i="237"/>
  <c r="T10" i="237"/>
  <c r="S10" i="237"/>
  <c r="R10" i="237"/>
  <c r="Q10" i="237"/>
  <c r="P10" i="237"/>
  <c r="O10" i="237"/>
  <c r="N10" i="237"/>
  <c r="M10" i="237"/>
  <c r="L10" i="237"/>
  <c r="K10" i="237"/>
  <c r="J10" i="237"/>
  <c r="I10" i="237"/>
  <c r="H10" i="237"/>
  <c r="G10" i="237"/>
  <c r="F10" i="237"/>
  <c r="E10" i="237"/>
  <c r="D10" i="237"/>
  <c r="C10" i="237"/>
  <c r="B10" i="237"/>
  <c r="Y9" i="237"/>
  <c r="X9" i="237"/>
  <c r="W9" i="237"/>
  <c r="V9" i="237"/>
  <c r="U9" i="237"/>
  <c r="T9" i="237"/>
  <c r="S9" i="237"/>
  <c r="R9" i="237"/>
  <c r="Q9" i="237"/>
  <c r="P9" i="237"/>
  <c r="O9" i="237"/>
  <c r="N9" i="237"/>
  <c r="M9" i="237"/>
  <c r="L9" i="237"/>
  <c r="K9" i="237"/>
  <c r="J9" i="237"/>
  <c r="I9" i="237"/>
  <c r="H9" i="237"/>
  <c r="G9" i="237"/>
  <c r="F9" i="237"/>
  <c r="E9" i="237"/>
  <c r="D9" i="237"/>
  <c r="C9" i="237"/>
  <c r="B9" i="237"/>
  <c r="Y8" i="237"/>
  <c r="X8" i="237"/>
  <c r="W8" i="237"/>
  <c r="V8" i="237"/>
  <c r="U8" i="237"/>
  <c r="T8" i="237"/>
  <c r="S8" i="237"/>
  <c r="R8" i="237"/>
  <c r="Q8" i="237"/>
  <c r="P8" i="237"/>
  <c r="O8" i="237"/>
  <c r="N8" i="237"/>
  <c r="M8" i="237"/>
  <c r="L8" i="237"/>
  <c r="K8" i="237"/>
  <c r="J8" i="237"/>
  <c r="I8" i="237"/>
  <c r="H8" i="237"/>
  <c r="G8" i="237"/>
  <c r="F8" i="237"/>
  <c r="E8" i="237"/>
  <c r="D8" i="237"/>
  <c r="C8" i="237"/>
  <c r="B8" i="237"/>
  <c r="Y7" i="237"/>
  <c r="X7" i="237"/>
  <c r="W7" i="237"/>
  <c r="V7" i="237"/>
  <c r="U7" i="237"/>
  <c r="T7" i="237"/>
  <c r="S7" i="237"/>
  <c r="R7" i="237"/>
  <c r="Q7" i="237"/>
  <c r="P7" i="237"/>
  <c r="O7" i="237"/>
  <c r="N7" i="237"/>
  <c r="M7" i="237"/>
  <c r="L7" i="237"/>
  <c r="K7" i="237"/>
  <c r="J7" i="237"/>
  <c r="I7" i="237"/>
  <c r="H7" i="237"/>
  <c r="G7" i="237"/>
  <c r="F7" i="237"/>
  <c r="E7" i="237"/>
  <c r="D7" i="237"/>
  <c r="C7" i="237"/>
  <c r="B7" i="237"/>
  <c r="Y6" i="237"/>
  <c r="X6" i="237"/>
  <c r="W6" i="237"/>
  <c r="V6" i="237"/>
  <c r="U6" i="237"/>
  <c r="T6" i="237"/>
  <c r="S6" i="237"/>
  <c r="R6" i="237"/>
  <c r="Q6" i="237"/>
  <c r="P6" i="237"/>
  <c r="O6" i="237"/>
  <c r="N6" i="237"/>
  <c r="M6" i="237"/>
  <c r="L6" i="237"/>
  <c r="K6" i="237"/>
  <c r="J6" i="237"/>
  <c r="I6" i="237"/>
  <c r="H6" i="237"/>
  <c r="G6" i="237"/>
  <c r="F6" i="237"/>
  <c r="E6" i="237"/>
  <c r="D6" i="237"/>
  <c r="C6" i="237"/>
  <c r="B6" i="237"/>
  <c r="Y5" i="237"/>
  <c r="X5" i="237"/>
  <c r="W5" i="237"/>
  <c r="V5" i="237"/>
  <c r="U5" i="237"/>
  <c r="T5" i="237"/>
  <c r="S5" i="237"/>
  <c r="R5" i="237"/>
  <c r="Q5" i="237"/>
  <c r="P5" i="237"/>
  <c r="O5" i="237"/>
  <c r="N5" i="237"/>
  <c r="M5" i="237"/>
  <c r="L5" i="237"/>
  <c r="K5" i="237"/>
  <c r="J5" i="237"/>
  <c r="I5" i="237"/>
  <c r="H5" i="237"/>
  <c r="G5" i="237"/>
  <c r="F5" i="237"/>
  <c r="E5" i="237"/>
  <c r="D5" i="237"/>
  <c r="C5" i="237"/>
  <c r="B5" i="237"/>
  <c r="Y10" i="236"/>
  <c r="X10" i="236"/>
  <c r="W10" i="236"/>
  <c r="V10" i="236"/>
  <c r="U10" i="236"/>
  <c r="T10" i="236"/>
  <c r="S10" i="236"/>
  <c r="R10" i="236"/>
  <c r="Q10" i="236"/>
  <c r="P10" i="236"/>
  <c r="O10" i="236"/>
  <c r="N10" i="236"/>
  <c r="M10" i="236"/>
  <c r="L10" i="236"/>
  <c r="K10" i="236"/>
  <c r="J10" i="236"/>
  <c r="I10" i="236"/>
  <c r="H10" i="236"/>
  <c r="G10" i="236"/>
  <c r="F10" i="236"/>
  <c r="E10" i="236"/>
  <c r="D10" i="236"/>
  <c r="C10" i="236"/>
  <c r="B10" i="236"/>
  <c r="Y9" i="236"/>
  <c r="X9" i="236"/>
  <c r="W9" i="236"/>
  <c r="V9" i="236"/>
  <c r="U9" i="236"/>
  <c r="T9" i="236"/>
  <c r="S9" i="236"/>
  <c r="R9" i="236"/>
  <c r="Q9" i="236"/>
  <c r="P9" i="236"/>
  <c r="O9" i="236"/>
  <c r="N9" i="236"/>
  <c r="M9" i="236"/>
  <c r="L9" i="236"/>
  <c r="K9" i="236"/>
  <c r="J9" i="236"/>
  <c r="I9" i="236"/>
  <c r="H9" i="236"/>
  <c r="G9" i="236"/>
  <c r="F9" i="236"/>
  <c r="E9" i="236"/>
  <c r="D9" i="236"/>
  <c r="C9" i="236"/>
  <c r="B9" i="236"/>
  <c r="Y8" i="236"/>
  <c r="X8" i="236"/>
  <c r="W8" i="236"/>
  <c r="V8" i="236"/>
  <c r="U8" i="236"/>
  <c r="T8" i="236"/>
  <c r="S8" i="236"/>
  <c r="R8" i="236"/>
  <c r="Q8" i="236"/>
  <c r="P8" i="236"/>
  <c r="O8" i="236"/>
  <c r="N8" i="236"/>
  <c r="M8" i="236"/>
  <c r="L8" i="236"/>
  <c r="K8" i="236"/>
  <c r="J8" i="236"/>
  <c r="I8" i="236"/>
  <c r="H8" i="236"/>
  <c r="G8" i="236"/>
  <c r="F8" i="236"/>
  <c r="E8" i="236"/>
  <c r="D8" i="236"/>
  <c r="C8" i="236"/>
  <c r="B8" i="236"/>
  <c r="Y7" i="236"/>
  <c r="X7" i="236"/>
  <c r="W7" i="236"/>
  <c r="V7" i="236"/>
  <c r="U7" i="236"/>
  <c r="T7" i="236"/>
  <c r="S7" i="236"/>
  <c r="R7" i="236"/>
  <c r="Q7" i="236"/>
  <c r="P7" i="236"/>
  <c r="O7" i="236"/>
  <c r="N7" i="236"/>
  <c r="M7" i="236"/>
  <c r="L7" i="236"/>
  <c r="K7" i="236"/>
  <c r="J7" i="236"/>
  <c r="I7" i="236"/>
  <c r="H7" i="236"/>
  <c r="G7" i="236"/>
  <c r="F7" i="236"/>
  <c r="E7" i="236"/>
  <c r="D7" i="236"/>
  <c r="C7" i="236"/>
  <c r="B7" i="236"/>
  <c r="Y6" i="236"/>
  <c r="X6" i="236"/>
  <c r="W6" i="236"/>
  <c r="V6" i="236"/>
  <c r="U6" i="236"/>
  <c r="T6" i="236"/>
  <c r="S6" i="236"/>
  <c r="R6" i="236"/>
  <c r="Q6" i="236"/>
  <c r="P6" i="236"/>
  <c r="O6" i="236"/>
  <c r="N6" i="236"/>
  <c r="M6" i="236"/>
  <c r="L6" i="236"/>
  <c r="K6" i="236"/>
  <c r="J6" i="236"/>
  <c r="I6" i="236"/>
  <c r="H6" i="236"/>
  <c r="G6" i="236"/>
  <c r="F6" i="236"/>
  <c r="E6" i="236"/>
  <c r="D6" i="236"/>
  <c r="C6" i="236"/>
  <c r="B6" i="236"/>
  <c r="Y5" i="236"/>
  <c r="X5" i="236"/>
  <c r="W5" i="236"/>
  <c r="V5" i="236"/>
  <c r="U5" i="236"/>
  <c r="T5" i="236"/>
  <c r="S5" i="236"/>
  <c r="R5" i="236"/>
  <c r="Q5" i="236"/>
  <c r="P5" i="236"/>
  <c r="O5" i="236"/>
  <c r="N5" i="236"/>
  <c r="M5" i="236"/>
  <c r="L5" i="236"/>
  <c r="K5" i="236"/>
  <c r="J5" i="236"/>
  <c r="I5" i="236"/>
  <c r="H5" i="236"/>
  <c r="G5" i="236"/>
  <c r="F5" i="236"/>
  <c r="E5" i="236"/>
  <c r="D5" i="236"/>
  <c r="C5" i="236"/>
  <c r="B5" i="236"/>
  <c r="Y10" i="209"/>
  <c r="X10" i="209"/>
  <c r="W10" i="209"/>
  <c r="V10" i="209"/>
  <c r="U10" i="209"/>
  <c r="T10" i="209"/>
  <c r="S10" i="209"/>
  <c r="R10" i="209"/>
  <c r="Q10" i="209"/>
  <c r="P10" i="209"/>
  <c r="O10" i="209"/>
  <c r="N10" i="209"/>
  <c r="M10" i="209"/>
  <c r="L10" i="209"/>
  <c r="K10" i="209"/>
  <c r="J10" i="209"/>
  <c r="I10" i="209"/>
  <c r="H10" i="209"/>
  <c r="G10" i="209"/>
  <c r="F10" i="209"/>
  <c r="E10" i="209"/>
  <c r="D10" i="209"/>
  <c r="C10" i="209"/>
  <c r="B10" i="209"/>
  <c r="Y9" i="209"/>
  <c r="X9" i="209"/>
  <c r="W9" i="209"/>
  <c r="V9" i="209"/>
  <c r="U9" i="209"/>
  <c r="T9" i="209"/>
  <c r="S9" i="209"/>
  <c r="R9" i="209"/>
  <c r="Q9" i="209"/>
  <c r="P9" i="209"/>
  <c r="O9" i="209"/>
  <c r="N9" i="209"/>
  <c r="M9" i="209"/>
  <c r="L9" i="209"/>
  <c r="K9" i="209"/>
  <c r="J9" i="209"/>
  <c r="I9" i="209"/>
  <c r="H9" i="209"/>
  <c r="G9" i="209"/>
  <c r="F9" i="209"/>
  <c r="E9" i="209"/>
  <c r="D9" i="209"/>
  <c r="C9" i="209"/>
  <c r="B9" i="209"/>
  <c r="Y8" i="209"/>
  <c r="X8" i="209"/>
  <c r="W8" i="209"/>
  <c r="V8" i="209"/>
  <c r="U8" i="209"/>
  <c r="T8" i="209"/>
  <c r="S8" i="209"/>
  <c r="R8" i="209"/>
  <c r="Q8" i="209"/>
  <c r="P8" i="209"/>
  <c r="O8" i="209"/>
  <c r="N8" i="209"/>
  <c r="M8" i="209"/>
  <c r="L8" i="209"/>
  <c r="K8" i="209"/>
  <c r="J8" i="209"/>
  <c r="I8" i="209"/>
  <c r="H8" i="209"/>
  <c r="G8" i="209"/>
  <c r="F8" i="209"/>
  <c r="E8" i="209"/>
  <c r="D8" i="209"/>
  <c r="C8" i="209"/>
  <c r="B8" i="209"/>
  <c r="Y7" i="209"/>
  <c r="X7" i="209"/>
  <c r="W7" i="209"/>
  <c r="V7" i="209"/>
  <c r="U7" i="209"/>
  <c r="T7" i="209"/>
  <c r="S7" i="209"/>
  <c r="R7" i="209"/>
  <c r="Q7" i="209"/>
  <c r="P7" i="209"/>
  <c r="O7" i="209"/>
  <c r="N7" i="209"/>
  <c r="M7" i="209"/>
  <c r="L7" i="209"/>
  <c r="K7" i="209"/>
  <c r="J7" i="209"/>
  <c r="I7" i="209"/>
  <c r="H7" i="209"/>
  <c r="G7" i="209"/>
  <c r="F7" i="209"/>
  <c r="E7" i="209"/>
  <c r="D7" i="209"/>
  <c r="C7" i="209"/>
  <c r="B7" i="209"/>
  <c r="Y6" i="209"/>
  <c r="X6" i="209"/>
  <c r="W6" i="209"/>
  <c r="V6" i="209"/>
  <c r="U6" i="209"/>
  <c r="T6" i="209"/>
  <c r="S6" i="209"/>
  <c r="R6" i="209"/>
  <c r="Q6" i="209"/>
  <c r="P6" i="209"/>
  <c r="O6" i="209"/>
  <c r="N6" i="209"/>
  <c r="M6" i="209"/>
  <c r="L6" i="209"/>
  <c r="K6" i="209"/>
  <c r="J6" i="209"/>
  <c r="I6" i="209"/>
  <c r="H6" i="209"/>
  <c r="G6" i="209"/>
  <c r="F6" i="209"/>
  <c r="E6" i="209"/>
  <c r="D6" i="209"/>
  <c r="C6" i="209"/>
  <c r="B6" i="209"/>
  <c r="Y5" i="209"/>
  <c r="X5" i="209"/>
  <c r="W5" i="209"/>
  <c r="V5" i="209"/>
  <c r="U5" i="209"/>
  <c r="T5" i="209"/>
  <c r="S5" i="209"/>
  <c r="R5" i="209"/>
  <c r="Q5" i="209"/>
  <c r="P5" i="209"/>
  <c r="O5" i="209"/>
  <c r="N5" i="209"/>
  <c r="M5" i="209"/>
  <c r="L5" i="209"/>
  <c r="K5" i="209"/>
  <c r="J5" i="209"/>
  <c r="I5" i="209"/>
  <c r="H5" i="209"/>
  <c r="G5" i="209"/>
  <c r="F5" i="209"/>
  <c r="E5" i="209"/>
  <c r="D5" i="209"/>
  <c r="C5" i="209"/>
  <c r="B5" i="209"/>
  <c r="Y10" i="208"/>
  <c r="X10" i="208"/>
  <c r="W10" i="208"/>
  <c r="V10" i="208"/>
  <c r="U10" i="208"/>
  <c r="T10" i="208"/>
  <c r="S10" i="208"/>
  <c r="R10" i="208"/>
  <c r="Q10" i="208"/>
  <c r="P10" i="208"/>
  <c r="O10" i="208"/>
  <c r="N10" i="208"/>
  <c r="M10" i="208"/>
  <c r="L10" i="208"/>
  <c r="K10" i="208"/>
  <c r="J10" i="208"/>
  <c r="I10" i="208"/>
  <c r="H10" i="208"/>
  <c r="G10" i="208"/>
  <c r="F10" i="208"/>
  <c r="E10" i="208"/>
  <c r="D10" i="208"/>
  <c r="C10" i="208"/>
  <c r="B10" i="208"/>
  <c r="Y9" i="208"/>
  <c r="X9" i="208"/>
  <c r="W9" i="208"/>
  <c r="V9" i="208"/>
  <c r="U9" i="208"/>
  <c r="T9" i="208"/>
  <c r="S9" i="208"/>
  <c r="R9" i="208"/>
  <c r="Q9" i="208"/>
  <c r="P9" i="208"/>
  <c r="O9" i="208"/>
  <c r="N9" i="208"/>
  <c r="M9" i="208"/>
  <c r="L9" i="208"/>
  <c r="K9" i="208"/>
  <c r="J9" i="208"/>
  <c r="I9" i="208"/>
  <c r="H9" i="208"/>
  <c r="G9" i="208"/>
  <c r="F9" i="208"/>
  <c r="E9" i="208"/>
  <c r="D9" i="208"/>
  <c r="C9" i="208"/>
  <c r="B9" i="208"/>
  <c r="Y8" i="208"/>
  <c r="X8" i="208"/>
  <c r="W8" i="208"/>
  <c r="V8" i="208"/>
  <c r="U8" i="208"/>
  <c r="T8" i="208"/>
  <c r="S8" i="208"/>
  <c r="R8" i="208"/>
  <c r="Q8" i="208"/>
  <c r="P8" i="208"/>
  <c r="O8" i="208"/>
  <c r="N8" i="208"/>
  <c r="M8" i="208"/>
  <c r="L8" i="208"/>
  <c r="K8" i="208"/>
  <c r="J8" i="208"/>
  <c r="I8" i="208"/>
  <c r="H8" i="208"/>
  <c r="G8" i="208"/>
  <c r="F8" i="208"/>
  <c r="E8" i="208"/>
  <c r="D8" i="208"/>
  <c r="C8" i="208"/>
  <c r="B8" i="208"/>
  <c r="Y7" i="208"/>
  <c r="X7" i="208"/>
  <c r="W7" i="208"/>
  <c r="V7" i="208"/>
  <c r="U7" i="208"/>
  <c r="T7" i="208"/>
  <c r="S7" i="208"/>
  <c r="R7" i="208"/>
  <c r="Q7" i="208"/>
  <c r="P7" i="208"/>
  <c r="O7" i="208"/>
  <c r="N7" i="208"/>
  <c r="M7" i="208"/>
  <c r="L7" i="208"/>
  <c r="K7" i="208"/>
  <c r="J7" i="208"/>
  <c r="I7" i="208"/>
  <c r="H7" i="208"/>
  <c r="G7" i="208"/>
  <c r="F7" i="208"/>
  <c r="E7" i="208"/>
  <c r="D7" i="208"/>
  <c r="C7" i="208"/>
  <c r="B7" i="208"/>
  <c r="Y6" i="208"/>
  <c r="X6" i="208"/>
  <c r="W6" i="208"/>
  <c r="V6" i="208"/>
  <c r="U6" i="208"/>
  <c r="T6" i="208"/>
  <c r="S6" i="208"/>
  <c r="R6" i="208"/>
  <c r="Q6" i="208"/>
  <c r="P6" i="208"/>
  <c r="O6" i="208"/>
  <c r="N6" i="208"/>
  <c r="M6" i="208"/>
  <c r="L6" i="208"/>
  <c r="K6" i="208"/>
  <c r="J6" i="208"/>
  <c r="I6" i="208"/>
  <c r="H6" i="208"/>
  <c r="G6" i="208"/>
  <c r="F6" i="208"/>
  <c r="E6" i="208"/>
  <c r="D6" i="208"/>
  <c r="C6" i="208"/>
  <c r="B6" i="208"/>
  <c r="Y5" i="208"/>
  <c r="X5" i="208"/>
  <c r="W5" i="208"/>
  <c r="V5" i="208"/>
  <c r="U5" i="208"/>
  <c r="T5" i="208"/>
  <c r="S5" i="208"/>
  <c r="R5" i="208"/>
  <c r="Q5" i="208"/>
  <c r="P5" i="208"/>
  <c r="O5" i="208"/>
  <c r="N5" i="208"/>
  <c r="M5" i="208"/>
  <c r="L5" i="208"/>
  <c r="K5" i="208"/>
  <c r="J5" i="208"/>
  <c r="I5" i="208"/>
  <c r="H5" i="208"/>
  <c r="G5" i="208"/>
  <c r="F5" i="208"/>
  <c r="E5" i="208"/>
  <c r="D5" i="208"/>
  <c r="C5" i="208"/>
  <c r="B5" i="208"/>
  <c r="Y10" i="207"/>
  <c r="X10" i="207"/>
  <c r="W10" i="207"/>
  <c r="V10" i="207"/>
  <c r="U10" i="207"/>
  <c r="T10" i="207"/>
  <c r="S10" i="207"/>
  <c r="R10" i="207"/>
  <c r="Q10" i="207"/>
  <c r="P10" i="207"/>
  <c r="O10" i="207"/>
  <c r="N10" i="207"/>
  <c r="M10" i="207"/>
  <c r="L10" i="207"/>
  <c r="K10" i="207"/>
  <c r="J10" i="207"/>
  <c r="I10" i="207"/>
  <c r="H10" i="207"/>
  <c r="G10" i="207"/>
  <c r="F10" i="207"/>
  <c r="E10" i="207"/>
  <c r="D10" i="207"/>
  <c r="C10" i="207"/>
  <c r="B10" i="207"/>
  <c r="Y9" i="207"/>
  <c r="X9" i="207"/>
  <c r="W9" i="207"/>
  <c r="V9" i="207"/>
  <c r="U9" i="207"/>
  <c r="T9" i="207"/>
  <c r="S9" i="207"/>
  <c r="R9" i="207"/>
  <c r="Q9" i="207"/>
  <c r="P9" i="207"/>
  <c r="O9" i="207"/>
  <c r="N9" i="207"/>
  <c r="M9" i="207"/>
  <c r="L9" i="207"/>
  <c r="K9" i="207"/>
  <c r="J9" i="207"/>
  <c r="I9" i="207"/>
  <c r="H9" i="207"/>
  <c r="G9" i="207"/>
  <c r="F9" i="207"/>
  <c r="E9" i="207"/>
  <c r="D9" i="207"/>
  <c r="C9" i="207"/>
  <c r="B9" i="207"/>
  <c r="Y8" i="207"/>
  <c r="X8" i="207"/>
  <c r="W8" i="207"/>
  <c r="V8" i="207"/>
  <c r="U8" i="207"/>
  <c r="T8" i="207"/>
  <c r="S8" i="207"/>
  <c r="R8" i="207"/>
  <c r="Q8" i="207"/>
  <c r="P8" i="207"/>
  <c r="O8" i="207"/>
  <c r="N8" i="207"/>
  <c r="M8" i="207"/>
  <c r="L8" i="207"/>
  <c r="K8" i="207"/>
  <c r="J8" i="207"/>
  <c r="I8" i="207"/>
  <c r="H8" i="207"/>
  <c r="G8" i="207"/>
  <c r="F8" i="207"/>
  <c r="E8" i="207"/>
  <c r="D8" i="207"/>
  <c r="C8" i="207"/>
  <c r="B8" i="207"/>
  <c r="Y7" i="207"/>
  <c r="X7" i="207"/>
  <c r="W7" i="207"/>
  <c r="V7" i="207"/>
  <c r="U7" i="207"/>
  <c r="T7" i="207"/>
  <c r="S7" i="207"/>
  <c r="R7" i="207"/>
  <c r="Q7" i="207"/>
  <c r="P7" i="207"/>
  <c r="O7" i="207"/>
  <c r="N7" i="207"/>
  <c r="M7" i="207"/>
  <c r="L7" i="207"/>
  <c r="K7" i="207"/>
  <c r="J7" i="207"/>
  <c r="I7" i="207"/>
  <c r="H7" i="207"/>
  <c r="G7" i="207"/>
  <c r="F7" i="207"/>
  <c r="E7" i="207"/>
  <c r="D7" i="207"/>
  <c r="C7" i="207"/>
  <c r="B7" i="207"/>
  <c r="Y6" i="207"/>
  <c r="X6" i="207"/>
  <c r="W6" i="207"/>
  <c r="V6" i="207"/>
  <c r="U6" i="207"/>
  <c r="T6" i="207"/>
  <c r="S6" i="207"/>
  <c r="R6" i="207"/>
  <c r="Q6" i="207"/>
  <c r="P6" i="207"/>
  <c r="O6" i="207"/>
  <c r="N6" i="207"/>
  <c r="M6" i="207"/>
  <c r="L6" i="207"/>
  <c r="K6" i="207"/>
  <c r="J6" i="207"/>
  <c r="I6" i="207"/>
  <c r="H6" i="207"/>
  <c r="G6" i="207"/>
  <c r="F6" i="207"/>
  <c r="E6" i="207"/>
  <c r="D6" i="207"/>
  <c r="C6" i="207"/>
  <c r="B6" i="207"/>
  <c r="Y5" i="207"/>
  <c r="X5" i="207"/>
  <c r="W5" i="207"/>
  <c r="V5" i="207"/>
  <c r="U5" i="207"/>
  <c r="T5" i="207"/>
  <c r="S5" i="207"/>
  <c r="R5" i="207"/>
  <c r="Q5" i="207"/>
  <c r="P5" i="207"/>
  <c r="O5" i="207"/>
  <c r="N5" i="207"/>
  <c r="M5" i="207"/>
  <c r="L5" i="207"/>
  <c r="K5" i="207"/>
  <c r="J5" i="207"/>
  <c r="I5" i="207"/>
  <c r="H5" i="207"/>
  <c r="G5" i="207"/>
  <c r="F5" i="207"/>
  <c r="E5" i="207"/>
  <c r="D5" i="207"/>
  <c r="C5" i="207"/>
  <c r="B5" i="207"/>
  <c r="Y10" i="206"/>
  <c r="X10" i="206"/>
  <c r="W10" i="206"/>
  <c r="V10" i="206"/>
  <c r="U10" i="206"/>
  <c r="T10" i="206"/>
  <c r="S10" i="206"/>
  <c r="R10" i="206"/>
  <c r="Q10" i="206"/>
  <c r="P10" i="206"/>
  <c r="O10" i="206"/>
  <c r="N10" i="206"/>
  <c r="M10" i="206"/>
  <c r="L10" i="206"/>
  <c r="K10" i="206"/>
  <c r="J10" i="206"/>
  <c r="I10" i="206"/>
  <c r="H10" i="206"/>
  <c r="G10" i="206"/>
  <c r="F10" i="206"/>
  <c r="E10" i="206"/>
  <c r="D10" i="206"/>
  <c r="C10" i="206"/>
  <c r="B10" i="206"/>
  <c r="Y9" i="206"/>
  <c r="X9" i="206"/>
  <c r="W9" i="206"/>
  <c r="V9" i="206"/>
  <c r="U9" i="206"/>
  <c r="T9" i="206"/>
  <c r="S9" i="206"/>
  <c r="R9" i="206"/>
  <c r="Q9" i="206"/>
  <c r="P9" i="206"/>
  <c r="O9" i="206"/>
  <c r="N9" i="206"/>
  <c r="M9" i="206"/>
  <c r="L9" i="206"/>
  <c r="K9" i="206"/>
  <c r="J9" i="206"/>
  <c r="I9" i="206"/>
  <c r="H9" i="206"/>
  <c r="G9" i="206"/>
  <c r="F9" i="206"/>
  <c r="E9" i="206"/>
  <c r="D9" i="206"/>
  <c r="C9" i="206"/>
  <c r="B9" i="206"/>
  <c r="Y8" i="206"/>
  <c r="X8" i="206"/>
  <c r="W8" i="206"/>
  <c r="V8" i="206"/>
  <c r="U8" i="206"/>
  <c r="T8" i="206"/>
  <c r="S8" i="206"/>
  <c r="R8" i="206"/>
  <c r="Q8" i="206"/>
  <c r="P8" i="206"/>
  <c r="O8" i="206"/>
  <c r="N8" i="206"/>
  <c r="M8" i="206"/>
  <c r="L8" i="206"/>
  <c r="K8" i="206"/>
  <c r="J8" i="206"/>
  <c r="I8" i="206"/>
  <c r="H8" i="206"/>
  <c r="G8" i="206"/>
  <c r="F8" i="206"/>
  <c r="E8" i="206"/>
  <c r="D8" i="206"/>
  <c r="C8" i="206"/>
  <c r="B8" i="206"/>
  <c r="Y7" i="206"/>
  <c r="X7" i="206"/>
  <c r="W7" i="206"/>
  <c r="V7" i="206"/>
  <c r="U7" i="206"/>
  <c r="T7" i="206"/>
  <c r="S7" i="206"/>
  <c r="R7" i="206"/>
  <c r="Q7" i="206"/>
  <c r="P7" i="206"/>
  <c r="O7" i="206"/>
  <c r="N7" i="206"/>
  <c r="M7" i="206"/>
  <c r="L7" i="206"/>
  <c r="K7" i="206"/>
  <c r="J7" i="206"/>
  <c r="I7" i="206"/>
  <c r="H7" i="206"/>
  <c r="G7" i="206"/>
  <c r="F7" i="206"/>
  <c r="E7" i="206"/>
  <c r="D7" i="206"/>
  <c r="C7" i="206"/>
  <c r="B7" i="206"/>
  <c r="Y6" i="206"/>
  <c r="X6" i="206"/>
  <c r="W6" i="206"/>
  <c r="V6" i="206"/>
  <c r="U6" i="206"/>
  <c r="T6" i="206"/>
  <c r="S6" i="206"/>
  <c r="R6" i="206"/>
  <c r="Q6" i="206"/>
  <c r="P6" i="206"/>
  <c r="O6" i="206"/>
  <c r="N6" i="206"/>
  <c r="M6" i="206"/>
  <c r="L6" i="206"/>
  <c r="K6" i="206"/>
  <c r="J6" i="206"/>
  <c r="I6" i="206"/>
  <c r="H6" i="206"/>
  <c r="G6" i="206"/>
  <c r="F6" i="206"/>
  <c r="E6" i="206"/>
  <c r="D6" i="206"/>
  <c r="C6" i="206"/>
  <c r="B6" i="206"/>
  <c r="Y5" i="206"/>
  <c r="X5" i="206"/>
  <c r="W5" i="206"/>
  <c r="V5" i="206"/>
  <c r="U5" i="206"/>
  <c r="T5" i="206"/>
  <c r="S5" i="206"/>
  <c r="R5" i="206"/>
  <c r="Q5" i="206"/>
  <c r="P5" i="206"/>
  <c r="O5" i="206"/>
  <c r="N5" i="206"/>
  <c r="M5" i="206"/>
  <c r="L5" i="206"/>
  <c r="K5" i="206"/>
  <c r="J5" i="206"/>
  <c r="I5" i="206"/>
  <c r="H5" i="206"/>
  <c r="G5" i="206"/>
  <c r="F5" i="206"/>
  <c r="E5" i="206"/>
  <c r="D5" i="206"/>
  <c r="C5" i="206"/>
  <c r="B5" i="206"/>
  <c r="Y10" i="205"/>
  <c r="X10" i="205"/>
  <c r="W10" i="205"/>
  <c r="V10" i="205"/>
  <c r="U10" i="205"/>
  <c r="T10" i="205"/>
  <c r="S10" i="205"/>
  <c r="R10" i="205"/>
  <c r="Q10" i="205"/>
  <c r="P10" i="205"/>
  <c r="O10" i="205"/>
  <c r="N10" i="205"/>
  <c r="M10" i="205"/>
  <c r="L10" i="205"/>
  <c r="K10" i="205"/>
  <c r="J10" i="205"/>
  <c r="I10" i="205"/>
  <c r="H10" i="205"/>
  <c r="G10" i="205"/>
  <c r="F10" i="205"/>
  <c r="E10" i="205"/>
  <c r="D10" i="205"/>
  <c r="C10" i="205"/>
  <c r="B10" i="205"/>
  <c r="Y9" i="205"/>
  <c r="X9" i="205"/>
  <c r="W9" i="205"/>
  <c r="V9" i="205"/>
  <c r="U9" i="205"/>
  <c r="T9" i="205"/>
  <c r="S9" i="205"/>
  <c r="R9" i="205"/>
  <c r="Q9" i="205"/>
  <c r="P9" i="205"/>
  <c r="O9" i="205"/>
  <c r="N9" i="205"/>
  <c r="M9" i="205"/>
  <c r="L9" i="205"/>
  <c r="K9" i="205"/>
  <c r="J9" i="205"/>
  <c r="I9" i="205"/>
  <c r="H9" i="205"/>
  <c r="G9" i="205"/>
  <c r="F9" i="205"/>
  <c r="E9" i="205"/>
  <c r="D9" i="205"/>
  <c r="C9" i="205"/>
  <c r="B9" i="205"/>
  <c r="Y8" i="205"/>
  <c r="X8" i="205"/>
  <c r="W8" i="205"/>
  <c r="V8" i="205"/>
  <c r="U8" i="205"/>
  <c r="T8" i="205"/>
  <c r="S8" i="205"/>
  <c r="R8" i="205"/>
  <c r="Q8" i="205"/>
  <c r="P8" i="205"/>
  <c r="O8" i="205"/>
  <c r="N8" i="205"/>
  <c r="M8" i="205"/>
  <c r="L8" i="205"/>
  <c r="K8" i="205"/>
  <c r="J8" i="205"/>
  <c r="I8" i="205"/>
  <c r="H8" i="205"/>
  <c r="G8" i="205"/>
  <c r="F8" i="205"/>
  <c r="E8" i="205"/>
  <c r="D8" i="205"/>
  <c r="C8" i="205"/>
  <c r="B8" i="205"/>
  <c r="Y7" i="205"/>
  <c r="X7" i="205"/>
  <c r="W7" i="205"/>
  <c r="V7" i="205"/>
  <c r="U7" i="205"/>
  <c r="T7" i="205"/>
  <c r="S7" i="205"/>
  <c r="R7" i="205"/>
  <c r="Q7" i="205"/>
  <c r="P7" i="205"/>
  <c r="O7" i="205"/>
  <c r="N7" i="205"/>
  <c r="M7" i="205"/>
  <c r="L7" i="205"/>
  <c r="K7" i="205"/>
  <c r="J7" i="205"/>
  <c r="I7" i="205"/>
  <c r="H7" i="205"/>
  <c r="G7" i="205"/>
  <c r="F7" i="205"/>
  <c r="E7" i="205"/>
  <c r="D7" i="205"/>
  <c r="C7" i="205"/>
  <c r="B7" i="205"/>
  <c r="Y6" i="205"/>
  <c r="X6" i="205"/>
  <c r="W6" i="205"/>
  <c r="V6" i="205"/>
  <c r="U6" i="205"/>
  <c r="T6" i="205"/>
  <c r="S6" i="205"/>
  <c r="R6" i="205"/>
  <c r="Q6" i="205"/>
  <c r="P6" i="205"/>
  <c r="O6" i="205"/>
  <c r="N6" i="205"/>
  <c r="M6" i="205"/>
  <c r="L6" i="205"/>
  <c r="K6" i="205"/>
  <c r="J6" i="205"/>
  <c r="I6" i="205"/>
  <c r="H6" i="205"/>
  <c r="G6" i="205"/>
  <c r="F6" i="205"/>
  <c r="E6" i="205"/>
  <c r="D6" i="205"/>
  <c r="C6" i="205"/>
  <c r="B6" i="205"/>
  <c r="Y5" i="205"/>
  <c r="X5" i="205"/>
  <c r="W5" i="205"/>
  <c r="V5" i="205"/>
  <c r="U5" i="205"/>
  <c r="T5" i="205"/>
  <c r="S5" i="205"/>
  <c r="R5" i="205"/>
  <c r="Q5" i="205"/>
  <c r="P5" i="205"/>
  <c r="O5" i="205"/>
  <c r="N5" i="205"/>
  <c r="M5" i="205"/>
  <c r="L5" i="205"/>
  <c r="K5" i="205"/>
  <c r="J5" i="205"/>
  <c r="I5" i="205"/>
  <c r="H5" i="205"/>
  <c r="G5" i="205"/>
  <c r="F5" i="205"/>
  <c r="E5" i="205"/>
  <c r="D5" i="205"/>
  <c r="C5" i="205"/>
  <c r="B5" i="205"/>
  <c r="Y10" i="204"/>
  <c r="X10" i="204"/>
  <c r="W10" i="204"/>
  <c r="V10" i="204"/>
  <c r="U10" i="204"/>
  <c r="T10" i="204"/>
  <c r="S10" i="204"/>
  <c r="R10" i="204"/>
  <c r="Q10" i="204"/>
  <c r="P10" i="204"/>
  <c r="O10" i="204"/>
  <c r="N10" i="204"/>
  <c r="M10" i="204"/>
  <c r="L10" i="204"/>
  <c r="K10" i="204"/>
  <c r="J10" i="204"/>
  <c r="I10" i="204"/>
  <c r="H10" i="204"/>
  <c r="G10" i="204"/>
  <c r="F10" i="204"/>
  <c r="E10" i="204"/>
  <c r="D10" i="204"/>
  <c r="C10" i="204"/>
  <c r="B10" i="204"/>
  <c r="Y9" i="204"/>
  <c r="X9" i="204"/>
  <c r="W9" i="204"/>
  <c r="V9" i="204"/>
  <c r="U9" i="204"/>
  <c r="T9" i="204"/>
  <c r="S9" i="204"/>
  <c r="R9" i="204"/>
  <c r="Q9" i="204"/>
  <c r="P9" i="204"/>
  <c r="O9" i="204"/>
  <c r="N9" i="204"/>
  <c r="M9" i="204"/>
  <c r="L9" i="204"/>
  <c r="K9" i="204"/>
  <c r="J9" i="204"/>
  <c r="I9" i="204"/>
  <c r="H9" i="204"/>
  <c r="G9" i="204"/>
  <c r="F9" i="204"/>
  <c r="E9" i="204"/>
  <c r="D9" i="204"/>
  <c r="C9" i="204"/>
  <c r="B9" i="204"/>
  <c r="Y8" i="204"/>
  <c r="X8" i="204"/>
  <c r="W8" i="204"/>
  <c r="V8" i="204"/>
  <c r="U8" i="204"/>
  <c r="T8" i="204"/>
  <c r="S8" i="204"/>
  <c r="R8" i="204"/>
  <c r="Q8" i="204"/>
  <c r="P8" i="204"/>
  <c r="O8" i="204"/>
  <c r="N8" i="204"/>
  <c r="M8" i="204"/>
  <c r="L8" i="204"/>
  <c r="K8" i="204"/>
  <c r="J8" i="204"/>
  <c r="I8" i="204"/>
  <c r="H8" i="204"/>
  <c r="G8" i="204"/>
  <c r="F8" i="204"/>
  <c r="E8" i="204"/>
  <c r="D8" i="204"/>
  <c r="C8" i="204"/>
  <c r="B8" i="204"/>
  <c r="Y7" i="204"/>
  <c r="X7" i="204"/>
  <c r="W7" i="204"/>
  <c r="V7" i="204"/>
  <c r="U7" i="204"/>
  <c r="T7" i="204"/>
  <c r="S7" i="204"/>
  <c r="R7" i="204"/>
  <c r="Q7" i="204"/>
  <c r="P7" i="204"/>
  <c r="O7" i="204"/>
  <c r="N7" i="204"/>
  <c r="M7" i="204"/>
  <c r="L7" i="204"/>
  <c r="K7" i="204"/>
  <c r="J7" i="204"/>
  <c r="I7" i="204"/>
  <c r="H7" i="204"/>
  <c r="G7" i="204"/>
  <c r="F7" i="204"/>
  <c r="E7" i="204"/>
  <c r="D7" i="204"/>
  <c r="C7" i="204"/>
  <c r="B7" i="204"/>
  <c r="Y6" i="204"/>
  <c r="X6" i="204"/>
  <c r="W6" i="204"/>
  <c r="V6" i="204"/>
  <c r="U6" i="204"/>
  <c r="T6" i="204"/>
  <c r="S6" i="204"/>
  <c r="R6" i="204"/>
  <c r="Q6" i="204"/>
  <c r="P6" i="204"/>
  <c r="O6" i="204"/>
  <c r="N6" i="204"/>
  <c r="M6" i="204"/>
  <c r="L6" i="204"/>
  <c r="K6" i="204"/>
  <c r="J6" i="204"/>
  <c r="I6" i="204"/>
  <c r="H6" i="204"/>
  <c r="G6" i="204"/>
  <c r="F6" i="204"/>
  <c r="E6" i="204"/>
  <c r="D6" i="204"/>
  <c r="C6" i="204"/>
  <c r="B6" i="204"/>
  <c r="Y5" i="204"/>
  <c r="X5" i="204"/>
  <c r="W5" i="204"/>
  <c r="V5" i="204"/>
  <c r="U5" i="204"/>
  <c r="T5" i="204"/>
  <c r="S5" i="204"/>
  <c r="R5" i="204"/>
  <c r="Q5" i="204"/>
  <c r="P5" i="204"/>
  <c r="O5" i="204"/>
  <c r="N5" i="204"/>
  <c r="M5" i="204"/>
  <c r="L5" i="204"/>
  <c r="K5" i="204"/>
  <c r="J5" i="204"/>
  <c r="I5" i="204"/>
  <c r="H5" i="204"/>
  <c r="G5" i="204"/>
  <c r="F5" i="204"/>
  <c r="E5" i="204"/>
  <c r="D5" i="204"/>
  <c r="C5" i="204"/>
  <c r="B5" i="204"/>
  <c r="C5" i="189"/>
  <c r="D5" i="189"/>
  <c r="E5" i="189"/>
  <c r="F5" i="189"/>
  <c r="G5" i="189"/>
  <c r="H5" i="189"/>
  <c r="I5" i="189"/>
  <c r="J5" i="189"/>
  <c r="K5" i="189"/>
  <c r="L5" i="189"/>
  <c r="M5" i="189"/>
  <c r="N5" i="189"/>
  <c r="O5" i="189"/>
  <c r="P5" i="189"/>
  <c r="Q5" i="189"/>
  <c r="R5" i="189"/>
  <c r="S5" i="189"/>
  <c r="T5" i="189"/>
  <c r="U5" i="189"/>
  <c r="V5" i="189"/>
  <c r="W5" i="189"/>
  <c r="X5" i="189"/>
  <c r="Y5" i="189"/>
  <c r="C6" i="189"/>
  <c r="D6" i="189"/>
  <c r="E6" i="189"/>
  <c r="F6" i="189"/>
  <c r="G6" i="189"/>
  <c r="H6" i="189"/>
  <c r="I6" i="189"/>
  <c r="J6" i="189"/>
  <c r="K6" i="189"/>
  <c r="L6" i="189"/>
  <c r="M6" i="189"/>
  <c r="N6" i="189"/>
  <c r="O6" i="189"/>
  <c r="P6" i="189"/>
  <c r="Q6" i="189"/>
  <c r="R6" i="189"/>
  <c r="S6" i="189"/>
  <c r="T6" i="189"/>
  <c r="U6" i="189"/>
  <c r="V6" i="189"/>
  <c r="W6" i="189"/>
  <c r="X6" i="189"/>
  <c r="Y6" i="189"/>
  <c r="C7" i="189"/>
  <c r="D7" i="189"/>
  <c r="E7" i="189"/>
  <c r="F7" i="189"/>
  <c r="G7" i="189"/>
  <c r="H7" i="189"/>
  <c r="I7" i="189"/>
  <c r="J7" i="189"/>
  <c r="K7" i="189"/>
  <c r="L7" i="189"/>
  <c r="M7" i="189"/>
  <c r="N7" i="189"/>
  <c r="O7" i="189"/>
  <c r="P7" i="189"/>
  <c r="Q7" i="189"/>
  <c r="R7" i="189"/>
  <c r="S7" i="189"/>
  <c r="T7" i="189"/>
  <c r="U7" i="189"/>
  <c r="V7" i="189"/>
  <c r="W7" i="189"/>
  <c r="X7" i="189"/>
  <c r="Y7" i="189"/>
  <c r="C8" i="189"/>
  <c r="D8" i="189"/>
  <c r="E8" i="189"/>
  <c r="F8" i="189"/>
  <c r="G8" i="189"/>
  <c r="H8" i="189"/>
  <c r="I8" i="189"/>
  <c r="J8" i="189"/>
  <c r="K8" i="189"/>
  <c r="L8" i="189"/>
  <c r="M8" i="189"/>
  <c r="N8" i="189"/>
  <c r="O8" i="189"/>
  <c r="P8" i="189"/>
  <c r="Q8" i="189"/>
  <c r="R8" i="189"/>
  <c r="S8" i="189"/>
  <c r="T8" i="189"/>
  <c r="U8" i="189"/>
  <c r="V8" i="189"/>
  <c r="W8" i="189"/>
  <c r="X8" i="189"/>
  <c r="Y8" i="189"/>
  <c r="C9" i="189"/>
  <c r="D9" i="189"/>
  <c r="E9" i="189"/>
  <c r="F9" i="189"/>
  <c r="G9" i="189"/>
  <c r="H9" i="189"/>
  <c r="I9" i="189"/>
  <c r="J9" i="189"/>
  <c r="K9" i="189"/>
  <c r="L9" i="189"/>
  <c r="M9" i="189"/>
  <c r="N9" i="189"/>
  <c r="O9" i="189"/>
  <c r="P9" i="189"/>
  <c r="Q9" i="189"/>
  <c r="R9" i="189"/>
  <c r="S9" i="189"/>
  <c r="T9" i="189"/>
  <c r="U9" i="189"/>
  <c r="V9" i="189"/>
  <c r="W9" i="189"/>
  <c r="X9" i="189"/>
  <c r="Y9" i="189"/>
  <c r="C10" i="189"/>
  <c r="D10" i="189"/>
  <c r="E10" i="189"/>
  <c r="F10" i="189"/>
  <c r="G10" i="189"/>
  <c r="H10" i="189"/>
  <c r="I10" i="189"/>
  <c r="J10" i="189"/>
  <c r="K10" i="189"/>
  <c r="L10" i="189"/>
  <c r="M10" i="189"/>
  <c r="N10" i="189"/>
  <c r="O10" i="189"/>
  <c r="P10" i="189"/>
  <c r="Q10" i="189"/>
  <c r="R10" i="189"/>
  <c r="S10" i="189"/>
  <c r="T10" i="189"/>
  <c r="U10" i="189"/>
  <c r="V10" i="189"/>
  <c r="W10" i="189"/>
  <c r="X10" i="189"/>
  <c r="Y10" i="189"/>
  <c r="B9" i="189"/>
  <c r="B10" i="189"/>
  <c r="B8" i="189"/>
  <c r="B6" i="189"/>
  <c r="B7" i="189"/>
  <c r="B5" i="189"/>
  <c r="C5" i="188"/>
  <c r="D5" i="188"/>
  <c r="E5" i="188"/>
  <c r="F5" i="188"/>
  <c r="G5" i="188"/>
  <c r="H5" i="188"/>
  <c r="I5" i="188"/>
  <c r="J5" i="188"/>
  <c r="K5" i="188"/>
  <c r="L5" i="188"/>
  <c r="M5" i="188"/>
  <c r="N5" i="188"/>
  <c r="O5" i="188"/>
  <c r="P5" i="188"/>
  <c r="Q5" i="188"/>
  <c r="R5" i="188"/>
  <c r="S5" i="188"/>
  <c r="T5" i="188"/>
  <c r="U5" i="188"/>
  <c r="V5" i="188"/>
  <c r="W5" i="188"/>
  <c r="X5" i="188"/>
  <c r="Y5" i="188"/>
  <c r="C6" i="188"/>
  <c r="D6" i="188"/>
  <c r="E6" i="188"/>
  <c r="F6" i="188"/>
  <c r="G6" i="188"/>
  <c r="H6" i="188"/>
  <c r="I6" i="188"/>
  <c r="J6" i="188"/>
  <c r="K6" i="188"/>
  <c r="L6" i="188"/>
  <c r="M6" i="188"/>
  <c r="N6" i="188"/>
  <c r="O6" i="188"/>
  <c r="P6" i="188"/>
  <c r="Q6" i="188"/>
  <c r="R6" i="188"/>
  <c r="S6" i="188"/>
  <c r="T6" i="188"/>
  <c r="U6" i="188"/>
  <c r="V6" i="188"/>
  <c r="W6" i="188"/>
  <c r="X6" i="188"/>
  <c r="Y6" i="188"/>
  <c r="C7" i="188"/>
  <c r="D7" i="188"/>
  <c r="E7" i="188"/>
  <c r="F7" i="188"/>
  <c r="G7" i="188"/>
  <c r="H7" i="188"/>
  <c r="I7" i="188"/>
  <c r="J7" i="188"/>
  <c r="K7" i="188"/>
  <c r="L7" i="188"/>
  <c r="M7" i="188"/>
  <c r="N7" i="188"/>
  <c r="O7" i="188"/>
  <c r="P7" i="188"/>
  <c r="Q7" i="188"/>
  <c r="R7" i="188"/>
  <c r="S7" i="188"/>
  <c r="T7" i="188"/>
  <c r="U7" i="188"/>
  <c r="V7" i="188"/>
  <c r="W7" i="188"/>
  <c r="X7" i="188"/>
  <c r="Y7" i="188"/>
  <c r="C8" i="188"/>
  <c r="D8" i="188"/>
  <c r="E8" i="188"/>
  <c r="F8" i="188"/>
  <c r="G8" i="188"/>
  <c r="H8" i="188"/>
  <c r="I8" i="188"/>
  <c r="J8" i="188"/>
  <c r="K8" i="188"/>
  <c r="L8" i="188"/>
  <c r="M8" i="188"/>
  <c r="N8" i="188"/>
  <c r="O8" i="188"/>
  <c r="P8" i="188"/>
  <c r="Q8" i="188"/>
  <c r="R8" i="188"/>
  <c r="S8" i="188"/>
  <c r="T8" i="188"/>
  <c r="U8" i="188"/>
  <c r="V8" i="188"/>
  <c r="W8" i="188"/>
  <c r="X8" i="188"/>
  <c r="Y8" i="188"/>
  <c r="C9" i="188"/>
  <c r="D9" i="188"/>
  <c r="E9" i="188"/>
  <c r="F9" i="188"/>
  <c r="G9" i="188"/>
  <c r="H9" i="188"/>
  <c r="I9" i="188"/>
  <c r="J9" i="188"/>
  <c r="K9" i="188"/>
  <c r="L9" i="188"/>
  <c r="M9" i="188"/>
  <c r="N9" i="188"/>
  <c r="O9" i="188"/>
  <c r="P9" i="188"/>
  <c r="Q9" i="188"/>
  <c r="R9" i="188"/>
  <c r="S9" i="188"/>
  <c r="T9" i="188"/>
  <c r="U9" i="188"/>
  <c r="V9" i="188"/>
  <c r="W9" i="188"/>
  <c r="X9" i="188"/>
  <c r="Y9" i="188"/>
  <c r="C10" i="188"/>
  <c r="D10" i="188"/>
  <c r="E10" i="188"/>
  <c r="F10" i="188"/>
  <c r="G10" i="188"/>
  <c r="H10" i="188"/>
  <c r="I10" i="188"/>
  <c r="J10" i="188"/>
  <c r="K10" i="188"/>
  <c r="L10" i="188"/>
  <c r="M10" i="188"/>
  <c r="N10" i="188"/>
  <c r="O10" i="188"/>
  <c r="P10" i="188"/>
  <c r="Q10" i="188"/>
  <c r="R10" i="188"/>
  <c r="S10" i="188"/>
  <c r="T10" i="188"/>
  <c r="U10" i="188"/>
  <c r="V10" i="188"/>
  <c r="W10" i="188"/>
  <c r="X10" i="188"/>
  <c r="Y10" i="188"/>
  <c r="B9" i="188"/>
  <c r="B10" i="188"/>
  <c r="B8" i="188"/>
  <c r="B6" i="188"/>
  <c r="B7" i="188"/>
  <c r="B5" i="188"/>
  <c r="C8" i="71"/>
  <c r="D8" i="71"/>
  <c r="E8" i="71"/>
  <c r="F8" i="71"/>
  <c r="G8" i="71"/>
  <c r="H8" i="71"/>
  <c r="I8" i="71"/>
  <c r="J8" i="71"/>
  <c r="K8" i="71"/>
  <c r="L8" i="71"/>
  <c r="M8" i="71"/>
  <c r="N8" i="71"/>
  <c r="O8" i="71"/>
  <c r="P8" i="71"/>
  <c r="Q8" i="71"/>
  <c r="R8" i="71"/>
  <c r="S8" i="71"/>
  <c r="T8" i="71"/>
  <c r="U8" i="71"/>
  <c r="V8" i="71"/>
  <c r="W8" i="71"/>
  <c r="X8" i="71"/>
  <c r="Y8" i="71"/>
  <c r="C9" i="71"/>
  <c r="D9" i="71"/>
  <c r="E9" i="71"/>
  <c r="F9" i="71"/>
  <c r="G9" i="71"/>
  <c r="H9" i="71"/>
  <c r="I9" i="71"/>
  <c r="J9" i="71"/>
  <c r="K9" i="71"/>
  <c r="L9" i="71"/>
  <c r="M9" i="71"/>
  <c r="N9" i="71"/>
  <c r="O9" i="71"/>
  <c r="P9" i="71"/>
  <c r="Q9" i="71"/>
  <c r="R9" i="71"/>
  <c r="S9" i="71"/>
  <c r="T9" i="71"/>
  <c r="U9" i="71"/>
  <c r="V9" i="71"/>
  <c r="W9" i="71"/>
  <c r="X9" i="71"/>
  <c r="Y9" i="71"/>
  <c r="C10" i="71"/>
  <c r="D10" i="71"/>
  <c r="E10" i="71"/>
  <c r="F10" i="71"/>
  <c r="G10" i="71"/>
  <c r="H10" i="71"/>
  <c r="I10" i="71"/>
  <c r="J10" i="71"/>
  <c r="K10" i="71"/>
  <c r="L10" i="71"/>
  <c r="M10" i="71"/>
  <c r="N10" i="71"/>
  <c r="O10" i="71"/>
  <c r="P10" i="71"/>
  <c r="Q10" i="71"/>
  <c r="R10" i="71"/>
  <c r="S10" i="71"/>
  <c r="T10" i="71"/>
  <c r="U10" i="71"/>
  <c r="V10" i="71"/>
  <c r="W10" i="71"/>
  <c r="X10" i="71"/>
  <c r="Y10" i="71"/>
  <c r="B9" i="71"/>
  <c r="B10" i="71"/>
  <c r="B8" i="71"/>
  <c r="C5" i="71"/>
  <c r="D5" i="71"/>
  <c r="E5" i="71"/>
  <c r="F5" i="71"/>
  <c r="G5" i="71"/>
  <c r="H5" i="71"/>
  <c r="I5" i="71"/>
  <c r="J5" i="71"/>
  <c r="K5" i="71"/>
  <c r="L5" i="71"/>
  <c r="M5" i="71"/>
  <c r="N5" i="71"/>
  <c r="O5" i="71"/>
  <c r="P5" i="71"/>
  <c r="Q5" i="71"/>
  <c r="R5" i="71"/>
  <c r="S5" i="71"/>
  <c r="T5" i="71"/>
  <c r="U5" i="71"/>
  <c r="V5" i="71"/>
  <c r="W5" i="71"/>
  <c r="X5" i="71"/>
  <c r="Y5" i="71"/>
  <c r="C6" i="71"/>
  <c r="D6" i="71"/>
  <c r="E6" i="71"/>
  <c r="F6" i="71"/>
  <c r="G6" i="71"/>
  <c r="H6" i="71"/>
  <c r="I6" i="71"/>
  <c r="J6" i="71"/>
  <c r="K6" i="71"/>
  <c r="L6" i="71"/>
  <c r="M6" i="71"/>
  <c r="N6" i="71"/>
  <c r="O6" i="71"/>
  <c r="P6" i="71"/>
  <c r="Q6" i="71"/>
  <c r="R6" i="71"/>
  <c r="S6" i="71"/>
  <c r="T6" i="71"/>
  <c r="U6" i="71"/>
  <c r="V6" i="71"/>
  <c r="W6" i="71"/>
  <c r="X6" i="71"/>
  <c r="Y6" i="71"/>
  <c r="C7" i="71"/>
  <c r="D7" i="71"/>
  <c r="E7" i="71"/>
  <c r="F7" i="71"/>
  <c r="G7" i="71"/>
  <c r="H7" i="71"/>
  <c r="I7" i="71"/>
  <c r="J7" i="71"/>
  <c r="K7" i="71"/>
  <c r="L7" i="71"/>
  <c r="M7" i="71"/>
  <c r="N7" i="71"/>
  <c r="O7" i="71"/>
  <c r="P7" i="71"/>
  <c r="Q7" i="71"/>
  <c r="R7" i="71"/>
  <c r="S7" i="71"/>
  <c r="T7" i="71"/>
  <c r="U7" i="71"/>
  <c r="V7" i="71"/>
  <c r="W7" i="71"/>
  <c r="X7" i="71"/>
  <c r="Y7" i="71"/>
  <c r="B6" i="71"/>
  <c r="B7" i="71"/>
  <c r="B5" i="71"/>
  <c r="Y4" i="305" l="1"/>
  <c r="I4" i="305"/>
  <c r="Q3" i="305"/>
  <c r="Y2" i="305"/>
  <c r="I2" i="305"/>
  <c r="Q4" i="304"/>
  <c r="Y3" i="304"/>
  <c r="I3" i="304"/>
  <c r="Q2" i="304"/>
  <c r="Y4" i="303"/>
  <c r="I4" i="303"/>
  <c r="Q3" i="303"/>
  <c r="Y2" i="303"/>
  <c r="I2" i="303"/>
  <c r="X4" i="305"/>
  <c r="H4" i="305"/>
  <c r="P3" i="305"/>
  <c r="X2" i="305"/>
  <c r="H2" i="305"/>
  <c r="P4" i="304"/>
  <c r="X3" i="304"/>
  <c r="H3" i="304"/>
  <c r="P2" i="304"/>
  <c r="X4" i="303"/>
  <c r="H4" i="303"/>
  <c r="P3" i="303"/>
  <c r="X2" i="303"/>
  <c r="H2" i="303"/>
  <c r="W4" i="305"/>
  <c r="G4" i="305"/>
  <c r="O3" i="305"/>
  <c r="W2" i="305"/>
  <c r="G2" i="305"/>
  <c r="O4" i="304"/>
  <c r="W3" i="304"/>
  <c r="G3" i="304"/>
  <c r="O2" i="304"/>
  <c r="W4" i="303"/>
  <c r="G4" i="303"/>
  <c r="O3" i="303"/>
  <c r="W2" i="303"/>
  <c r="G2" i="303"/>
  <c r="V4" i="305"/>
  <c r="F4" i="305"/>
  <c r="N3" i="305"/>
  <c r="V2" i="305"/>
  <c r="F2" i="305"/>
  <c r="N4" i="304"/>
  <c r="V3" i="304"/>
  <c r="F3" i="304"/>
  <c r="N2" i="304"/>
  <c r="V4" i="303"/>
  <c r="F4" i="303"/>
  <c r="N3" i="303"/>
  <c r="V2" i="303"/>
  <c r="F2" i="303"/>
  <c r="U4" i="305"/>
  <c r="E4" i="305"/>
  <c r="M3" i="305"/>
  <c r="U2" i="305"/>
  <c r="E2" i="305"/>
  <c r="M4" i="304"/>
  <c r="U3" i="304"/>
  <c r="E3" i="304"/>
  <c r="M2" i="304"/>
  <c r="U4" i="303"/>
  <c r="E4" i="303"/>
  <c r="M3" i="303"/>
  <c r="U2" i="303"/>
  <c r="E2" i="303"/>
  <c r="T4" i="305"/>
  <c r="D4" i="305"/>
  <c r="L3" i="305"/>
  <c r="T2" i="305"/>
  <c r="D2" i="305"/>
  <c r="L4" i="304"/>
  <c r="T3" i="304"/>
  <c r="D3" i="304"/>
  <c r="L2" i="304"/>
  <c r="T4" i="303"/>
  <c r="D4" i="303"/>
  <c r="L3" i="303"/>
  <c r="T2" i="303"/>
  <c r="D2" i="303"/>
  <c r="S4" i="305"/>
  <c r="C4" i="305"/>
  <c r="K3" i="305"/>
  <c r="S2" i="305"/>
  <c r="C2" i="305"/>
  <c r="K4" i="304"/>
  <c r="S3" i="304"/>
  <c r="C3" i="304"/>
  <c r="K2" i="304"/>
  <c r="S4" i="303"/>
  <c r="C4" i="303"/>
  <c r="K3" i="303"/>
  <c r="S2" i="303"/>
  <c r="C2" i="303"/>
  <c r="R4" i="305"/>
  <c r="B4" i="305"/>
  <c r="J3" i="305"/>
  <c r="R2" i="305"/>
  <c r="B2" i="305"/>
  <c r="J4" i="304"/>
  <c r="R3" i="304"/>
  <c r="B3" i="304"/>
  <c r="J2" i="304"/>
  <c r="R4" i="303"/>
  <c r="B4" i="303"/>
  <c r="J3" i="303"/>
  <c r="R2" i="303"/>
  <c r="B2" i="303"/>
  <c r="Q4" i="305"/>
  <c r="Y3" i="305"/>
  <c r="I3" i="305"/>
  <c r="Q2" i="305"/>
  <c r="Y4" i="304"/>
  <c r="I4" i="304"/>
  <c r="Q3" i="304"/>
  <c r="Y2" i="304"/>
  <c r="I2" i="304"/>
  <c r="Q4" i="303"/>
  <c r="Y3" i="303"/>
  <c r="I3" i="303"/>
  <c r="Q2" i="303"/>
  <c r="X4" i="304"/>
  <c r="P3" i="304"/>
  <c r="X2" i="304"/>
  <c r="H2" i="304"/>
  <c r="P4" i="303"/>
  <c r="P4" i="305"/>
  <c r="X3" i="305"/>
  <c r="H3" i="305"/>
  <c r="P2" i="305"/>
  <c r="H4" i="304"/>
  <c r="X3" i="303"/>
  <c r="H3" i="303"/>
  <c r="P2" i="303"/>
  <c r="O4" i="305"/>
  <c r="W3" i="305"/>
  <c r="G3" i="305"/>
  <c r="O2" i="305"/>
  <c r="W4" i="304"/>
  <c r="G4" i="304"/>
  <c r="O3" i="304"/>
  <c r="W2" i="304"/>
  <c r="G2" i="304"/>
  <c r="O4" i="303"/>
  <c r="W3" i="303"/>
  <c r="G3" i="303"/>
  <c r="O2" i="303"/>
  <c r="N4" i="305"/>
  <c r="V3" i="305"/>
  <c r="F3" i="305"/>
  <c r="N2" i="305"/>
  <c r="V4" i="304"/>
  <c r="F4" i="304"/>
  <c r="N3" i="304"/>
  <c r="V2" i="304"/>
  <c r="F2" i="304"/>
  <c r="N4" i="303"/>
  <c r="V3" i="303"/>
  <c r="F3" i="303"/>
  <c r="N2" i="303"/>
  <c r="U3" i="305"/>
  <c r="E3" i="305"/>
  <c r="M2" i="305"/>
  <c r="U4" i="304"/>
  <c r="M4" i="305"/>
  <c r="E4" i="304"/>
  <c r="M3" i="304"/>
  <c r="U2" i="304"/>
  <c r="E2" i="304"/>
  <c r="M4" i="303"/>
  <c r="U3" i="303"/>
  <c r="E3" i="303"/>
  <c r="M2" i="303"/>
  <c r="L4" i="305"/>
  <c r="T3" i="305"/>
  <c r="D3" i="305"/>
  <c r="L2" i="305"/>
  <c r="T4" i="304"/>
  <c r="D4" i="304"/>
  <c r="L3" i="304"/>
  <c r="T2" i="304"/>
  <c r="D2" i="304"/>
  <c r="L4" i="303"/>
  <c r="T3" i="303"/>
  <c r="D3" i="303"/>
  <c r="L2" i="303"/>
  <c r="K4" i="305"/>
  <c r="S3" i="305"/>
  <c r="C3" i="305"/>
  <c r="K2" i="305"/>
  <c r="S4" i="304"/>
  <c r="C4" i="304"/>
  <c r="K3" i="304"/>
  <c r="S2" i="304"/>
  <c r="C2" i="304"/>
  <c r="K4" i="303"/>
  <c r="S3" i="303"/>
  <c r="C3" i="303"/>
  <c r="K2" i="303"/>
  <c r="J4" i="305"/>
  <c r="R3" i="305"/>
  <c r="B3" i="305"/>
  <c r="J2" i="305"/>
  <c r="R4" i="304"/>
  <c r="B4" i="304"/>
  <c r="J3" i="304"/>
  <c r="R2" i="304"/>
  <c r="B2" i="304"/>
  <c r="J4" i="303"/>
  <c r="R3" i="303"/>
  <c r="B3" i="303"/>
  <c r="J2" i="303"/>
  <c r="B3" i="58"/>
  <c r="B4" i="58"/>
  <c r="B2" i="58"/>
  <c r="X4" i="227" l="1"/>
  <c r="H4" i="227"/>
  <c r="P3" i="227"/>
  <c r="X2" i="227"/>
  <c r="H2" i="227"/>
  <c r="P4" i="226"/>
  <c r="X3" i="226"/>
  <c r="H3" i="226"/>
  <c r="P2" i="226"/>
  <c r="X4" i="225"/>
  <c r="H4" i="225"/>
  <c r="P3" i="225"/>
  <c r="X2" i="225"/>
  <c r="H2" i="225"/>
  <c r="X4" i="199"/>
  <c r="H4" i="199"/>
  <c r="P3" i="199"/>
  <c r="X2" i="199"/>
  <c r="H2" i="199"/>
  <c r="P4" i="198"/>
  <c r="X3" i="198"/>
  <c r="H3" i="198"/>
  <c r="P2" i="198"/>
  <c r="C3" i="8"/>
  <c r="S3" i="8"/>
  <c r="K4" i="8"/>
  <c r="D2" i="8"/>
  <c r="T2" i="8"/>
  <c r="W4" i="227"/>
  <c r="G4" i="227"/>
  <c r="O3" i="227"/>
  <c r="W2" i="227"/>
  <c r="G2" i="227"/>
  <c r="O4" i="226"/>
  <c r="W3" i="226"/>
  <c r="G3" i="226"/>
  <c r="O2" i="226"/>
  <c r="W4" i="225"/>
  <c r="G4" i="225"/>
  <c r="O3" i="225"/>
  <c r="W2" i="225"/>
  <c r="G2" i="225"/>
  <c r="W4" i="199"/>
  <c r="G4" i="199"/>
  <c r="O3" i="199"/>
  <c r="W2" i="199"/>
  <c r="G2" i="199"/>
  <c r="O4" i="198"/>
  <c r="W3" i="198"/>
  <c r="G3" i="198"/>
  <c r="O2" i="198"/>
  <c r="D3" i="8"/>
  <c r="T3" i="8"/>
  <c r="L4" i="8"/>
  <c r="E2" i="8"/>
  <c r="U2" i="8"/>
  <c r="T4" i="227"/>
  <c r="D4" i="227"/>
  <c r="L3" i="227"/>
  <c r="T2" i="227"/>
  <c r="D2" i="227"/>
  <c r="L4" i="226"/>
  <c r="T3" i="226"/>
  <c r="D3" i="226"/>
  <c r="L2" i="226"/>
  <c r="T4" i="225"/>
  <c r="D4" i="225"/>
  <c r="L3" i="225"/>
  <c r="T2" i="225"/>
  <c r="D2" i="225"/>
  <c r="T4" i="199"/>
  <c r="D4" i="199"/>
  <c r="L3" i="199"/>
  <c r="T2" i="199"/>
  <c r="D2" i="199"/>
  <c r="L4" i="198"/>
  <c r="T3" i="198"/>
  <c r="D3" i="198"/>
  <c r="L2" i="198"/>
  <c r="G3" i="8"/>
  <c r="W3" i="8"/>
  <c r="O4" i="8"/>
  <c r="H2" i="8"/>
  <c r="X2" i="8"/>
  <c r="S4" i="227"/>
  <c r="C4" i="227"/>
  <c r="K3" i="227"/>
  <c r="S2" i="227"/>
  <c r="C2" i="227"/>
  <c r="K4" i="226"/>
  <c r="S3" i="226"/>
  <c r="C3" i="226"/>
  <c r="R4" i="227"/>
  <c r="B4" i="227"/>
  <c r="J3" i="227"/>
  <c r="R2" i="227"/>
  <c r="B2" i="227"/>
  <c r="J4" i="226"/>
  <c r="R3" i="226"/>
  <c r="B3" i="226"/>
  <c r="J2" i="226"/>
  <c r="R4" i="225"/>
  <c r="B4" i="225"/>
  <c r="J3" i="225"/>
  <c r="R2" i="225"/>
  <c r="B2" i="225"/>
  <c r="R4" i="199"/>
  <c r="B4" i="199"/>
  <c r="J3" i="199"/>
  <c r="R2" i="199"/>
  <c r="B2" i="199"/>
  <c r="J4" i="198"/>
  <c r="R3" i="198"/>
  <c r="B3" i="198"/>
  <c r="J2" i="198"/>
  <c r="I3" i="8"/>
  <c r="Y3" i="8"/>
  <c r="Q4" i="8"/>
  <c r="J2" i="8"/>
  <c r="B2" i="8"/>
  <c r="O4" i="227"/>
  <c r="W3" i="227"/>
  <c r="G3" i="227"/>
  <c r="O2" i="227"/>
  <c r="W4" i="226"/>
  <c r="G4" i="226"/>
  <c r="O3" i="226"/>
  <c r="W2" i="226"/>
  <c r="G2" i="226"/>
  <c r="O4" i="225"/>
  <c r="W3" i="225"/>
  <c r="G3" i="225"/>
  <c r="O2" i="225"/>
  <c r="O4" i="199"/>
  <c r="W3" i="199"/>
  <c r="G3" i="199"/>
  <c r="O2" i="199"/>
  <c r="W4" i="198"/>
  <c r="G4" i="198"/>
  <c r="O3" i="198"/>
  <c r="W2" i="198"/>
  <c r="G2" i="198"/>
  <c r="M4" i="227"/>
  <c r="M3" i="227"/>
  <c r="K2" i="227"/>
  <c r="H4" i="226"/>
  <c r="I3" i="226"/>
  <c r="F2" i="226"/>
  <c r="I4" i="225"/>
  <c r="H3" i="225"/>
  <c r="J2" i="225"/>
  <c r="P4" i="199"/>
  <c r="R3" i="199"/>
  <c r="Q2" i="199"/>
  <c r="S4" i="198"/>
  <c r="S3" i="198"/>
  <c r="T2" i="198"/>
  <c r="P3" i="8"/>
  <c r="N4" i="8"/>
  <c r="M2" i="8"/>
  <c r="Q3" i="199"/>
  <c r="Q3" i="8"/>
  <c r="P4" i="8"/>
  <c r="N2" i="8"/>
  <c r="N2" i="198"/>
  <c r="T4" i="8"/>
  <c r="Q2" i="8"/>
  <c r="L4" i="227"/>
  <c r="I3" i="227"/>
  <c r="J2" i="227"/>
  <c r="F4" i="226"/>
  <c r="F3" i="226"/>
  <c r="E2" i="226"/>
  <c r="F4" i="225"/>
  <c r="F3" i="225"/>
  <c r="I2" i="225"/>
  <c r="N4" i="199"/>
  <c r="P2" i="199"/>
  <c r="R4" i="198"/>
  <c r="Q3" i="198"/>
  <c r="S2" i="198"/>
  <c r="K4" i="227"/>
  <c r="H3" i="227"/>
  <c r="I2" i="227"/>
  <c r="E4" i="226"/>
  <c r="E3" i="226"/>
  <c r="D2" i="226"/>
  <c r="E4" i="225"/>
  <c r="E3" i="225"/>
  <c r="F2" i="225"/>
  <c r="M4" i="199"/>
  <c r="N3" i="199"/>
  <c r="N2" i="199"/>
  <c r="Q4" i="198"/>
  <c r="P3" i="198"/>
  <c r="R2" i="198"/>
  <c r="R3" i="8"/>
  <c r="R4" i="8"/>
  <c r="O2" i="8"/>
  <c r="M3" i="199"/>
  <c r="M2" i="199"/>
  <c r="N4" i="198"/>
  <c r="S4" i="8"/>
  <c r="I4" i="227"/>
  <c r="E2" i="227"/>
  <c r="C4" i="226"/>
  <c r="X2" i="226"/>
  <c r="B2" i="226"/>
  <c r="Y3" i="225"/>
  <c r="C3" i="225"/>
  <c r="C2" i="225"/>
  <c r="K4" i="199"/>
  <c r="L2" i="199"/>
  <c r="M3" i="198"/>
  <c r="V3" i="8"/>
  <c r="J4" i="227"/>
  <c r="F3" i="227"/>
  <c r="F2" i="227"/>
  <c r="D4" i="226"/>
  <c r="Y2" i="226"/>
  <c r="C2" i="226"/>
  <c r="C4" i="225"/>
  <c r="D3" i="225"/>
  <c r="E2" i="225"/>
  <c r="L4" i="199"/>
  <c r="N3" i="198"/>
  <c r="Q2" i="198"/>
  <c r="U3" i="8"/>
  <c r="P2" i="8"/>
  <c r="E3" i="227"/>
  <c r="K3" i="199"/>
  <c r="M4" i="198"/>
  <c r="F4" i="227"/>
  <c r="D3" i="227"/>
  <c r="Y4" i="226"/>
  <c r="B4" i="226"/>
  <c r="V2" i="226"/>
  <c r="Y4" i="225"/>
  <c r="X3" i="225"/>
  <c r="B3" i="225"/>
  <c r="J4" i="199"/>
  <c r="I3" i="199"/>
  <c r="K2" i="199"/>
  <c r="K4" i="198"/>
  <c r="L3" i="198"/>
  <c r="M2" i="198"/>
  <c r="X3" i="8"/>
  <c r="U4" i="8"/>
  <c r="R2" i="8"/>
  <c r="B4" i="8"/>
  <c r="I3" i="198"/>
  <c r="S2" i="225"/>
  <c r="E4" i="227"/>
  <c r="C3" i="227"/>
  <c r="X4" i="226"/>
  <c r="Y3" i="226"/>
  <c r="U2" i="226"/>
  <c r="V4" i="225"/>
  <c r="V3" i="225"/>
  <c r="Y2" i="225"/>
  <c r="I4" i="199"/>
  <c r="H3" i="199"/>
  <c r="J2" i="199"/>
  <c r="I4" i="198"/>
  <c r="K3" i="198"/>
  <c r="K2" i="198"/>
  <c r="B3" i="8"/>
  <c r="V4" i="8"/>
  <c r="S2" i="8"/>
  <c r="F3" i="8"/>
  <c r="X4" i="8"/>
  <c r="W2" i="8"/>
  <c r="Y3" i="227"/>
  <c r="B3" i="227"/>
  <c r="V4" i="226"/>
  <c r="V3" i="226"/>
  <c r="T2" i="226"/>
  <c r="U4" i="225"/>
  <c r="U3" i="225"/>
  <c r="V2" i="225"/>
  <c r="F4" i="199"/>
  <c r="F3" i="199"/>
  <c r="I2" i="199"/>
  <c r="H4" i="198"/>
  <c r="J3" i="198"/>
  <c r="I2" i="198"/>
  <c r="E3" i="8"/>
  <c r="C4" i="8"/>
  <c r="W4" i="8"/>
  <c r="V2" i="8"/>
  <c r="E3" i="199"/>
  <c r="V3" i="227"/>
  <c r="V2" i="227"/>
  <c r="T4" i="226"/>
  <c r="S3" i="225"/>
  <c r="X3" i="227"/>
  <c r="Y2" i="227"/>
  <c r="U4" i="226"/>
  <c r="U3" i="226"/>
  <c r="S2" i="226"/>
  <c r="S4" i="225"/>
  <c r="T3" i="225"/>
  <c r="U2" i="225"/>
  <c r="E4" i="199"/>
  <c r="F2" i="199"/>
  <c r="F4" i="198"/>
  <c r="H2" i="198"/>
  <c r="D4" i="8"/>
  <c r="Q3" i="226"/>
  <c r="R2" i="226"/>
  <c r="Q4" i="225"/>
  <c r="Y4" i="227"/>
  <c r="U3" i="227"/>
  <c r="U2" i="227"/>
  <c r="S4" i="226"/>
  <c r="P3" i="226"/>
  <c r="Q2" i="226"/>
  <c r="P4" i="225"/>
  <c r="R3" i="225"/>
  <c r="Q2" i="225"/>
  <c r="Y3" i="199"/>
  <c r="C3" i="199"/>
  <c r="C2" i="199"/>
  <c r="D4" i="198"/>
  <c r="E3" i="198"/>
  <c r="E2" i="198"/>
  <c r="Q4" i="227"/>
  <c r="R3" i="227"/>
  <c r="N2" i="227"/>
  <c r="N4" i="226"/>
  <c r="L3" i="226"/>
  <c r="K2" i="226"/>
  <c r="L4" i="225"/>
  <c r="M3" i="225"/>
  <c r="M2" i="225"/>
  <c r="P4" i="227"/>
  <c r="Q3" i="227"/>
  <c r="M2" i="227"/>
  <c r="M4" i="226"/>
  <c r="K3" i="226"/>
  <c r="I2" i="226"/>
  <c r="N4" i="227"/>
  <c r="N3" i="227"/>
  <c r="L2" i="227"/>
  <c r="I4" i="226"/>
  <c r="J3" i="226"/>
  <c r="H2" i="226"/>
  <c r="J4" i="225"/>
  <c r="I3" i="225"/>
  <c r="K2" i="225"/>
  <c r="M3" i="226"/>
  <c r="V4" i="199"/>
  <c r="E2" i="199"/>
  <c r="V2" i="198"/>
  <c r="M3" i="8"/>
  <c r="L2" i="8"/>
  <c r="X4" i="198"/>
  <c r="O3" i="8"/>
  <c r="Q4" i="199"/>
  <c r="E4" i="8"/>
  <c r="F4" i="8"/>
  <c r="B3" i="199"/>
  <c r="N2" i="226"/>
  <c r="U4" i="199"/>
  <c r="Y4" i="198"/>
  <c r="U2" i="198"/>
  <c r="N3" i="8"/>
  <c r="Y2" i="8"/>
  <c r="S4" i="199"/>
  <c r="V4" i="198"/>
  <c r="Y4" i="8"/>
  <c r="R4" i="226"/>
  <c r="V2" i="199"/>
  <c r="J3" i="8"/>
  <c r="L3" i="8"/>
  <c r="M2" i="226"/>
  <c r="F2" i="198"/>
  <c r="D2" i="198"/>
  <c r="G4" i="8"/>
  <c r="L2" i="225"/>
  <c r="C3" i="198"/>
  <c r="Y4" i="199"/>
  <c r="N4" i="225"/>
  <c r="M4" i="225"/>
  <c r="C4" i="199"/>
  <c r="U4" i="198"/>
  <c r="C2" i="198"/>
  <c r="K4" i="225"/>
  <c r="X3" i="199"/>
  <c r="T4" i="198"/>
  <c r="B2" i="198"/>
  <c r="X2" i="198"/>
  <c r="Q3" i="225"/>
  <c r="V3" i="199"/>
  <c r="E4" i="198"/>
  <c r="H4" i="8"/>
  <c r="Q2" i="227"/>
  <c r="U3" i="198"/>
  <c r="K2" i="8"/>
  <c r="V4" i="227"/>
  <c r="N3" i="225"/>
  <c r="U3" i="199"/>
  <c r="C4" i="198"/>
  <c r="I4" i="8"/>
  <c r="T3" i="227"/>
  <c r="P2" i="225"/>
  <c r="S3" i="199"/>
  <c r="Y3" i="198"/>
  <c r="M4" i="8"/>
  <c r="S3" i="227"/>
  <c r="N2" i="225"/>
  <c r="D3" i="199"/>
  <c r="H3" i="8"/>
  <c r="G2" i="8"/>
  <c r="U4" i="227"/>
  <c r="K3" i="225"/>
  <c r="T3" i="199"/>
  <c r="B4" i="198"/>
  <c r="J4" i="8"/>
  <c r="V3" i="198"/>
  <c r="C2" i="8"/>
  <c r="S2" i="199"/>
  <c r="P2" i="227"/>
  <c r="Y2" i="199"/>
  <c r="F3" i="198"/>
  <c r="F2" i="8"/>
  <c r="Q4" i="226"/>
  <c r="U2" i="199"/>
  <c r="Y2" i="198"/>
  <c r="K3" i="8"/>
  <c r="I2" i="8"/>
  <c r="N3" i="226"/>
  <c r="D2" i="59"/>
  <c r="T2" i="59"/>
  <c r="M3" i="59"/>
  <c r="F4" i="59"/>
  <c r="V4" i="59"/>
  <c r="E2" i="59"/>
  <c r="U2" i="59"/>
  <c r="N3" i="59"/>
  <c r="G4" i="59"/>
  <c r="W4" i="59"/>
  <c r="H2" i="59"/>
  <c r="X2" i="59"/>
  <c r="Q3" i="59"/>
  <c r="J4" i="59"/>
  <c r="B3" i="59"/>
  <c r="J2" i="59"/>
  <c r="C3" i="59"/>
  <c r="S3" i="59"/>
  <c r="L4" i="59"/>
  <c r="B2" i="59"/>
  <c r="W2" i="59"/>
  <c r="V3" i="59"/>
  <c r="S4" i="59"/>
  <c r="Y2" i="59"/>
  <c r="W3" i="59"/>
  <c r="T4" i="59"/>
  <c r="G2" i="59"/>
  <c r="C2" i="59"/>
  <c r="D3" i="59"/>
  <c r="X3" i="59"/>
  <c r="U4" i="59"/>
  <c r="F2" i="59"/>
  <c r="Y3" i="59"/>
  <c r="X4" i="59"/>
  <c r="E3" i="59"/>
  <c r="I2" i="59"/>
  <c r="G3" i="59"/>
  <c r="D4" i="59"/>
  <c r="B4" i="59"/>
  <c r="H3" i="59"/>
  <c r="E4" i="59"/>
  <c r="K2" i="59"/>
  <c r="M2" i="59"/>
  <c r="L2" i="59"/>
  <c r="I3" i="59"/>
  <c r="H4" i="59"/>
  <c r="J3" i="59"/>
  <c r="I4" i="59"/>
  <c r="Q2" i="59"/>
  <c r="O4" i="59"/>
  <c r="S2" i="59"/>
  <c r="V2" i="59"/>
  <c r="T3" i="59"/>
  <c r="U3" i="59"/>
  <c r="R2" i="59"/>
  <c r="P4" i="59"/>
  <c r="R4" i="59"/>
  <c r="K4" i="59"/>
  <c r="P2" i="59"/>
  <c r="Q4" i="59"/>
  <c r="F3" i="59"/>
  <c r="Y4" i="59"/>
  <c r="K3" i="59"/>
  <c r="L3" i="59"/>
  <c r="R3" i="59"/>
  <c r="N2" i="59"/>
  <c r="O3" i="59"/>
  <c r="C4" i="59"/>
  <c r="N4" i="59"/>
  <c r="P3" i="59"/>
  <c r="O2" i="59"/>
  <c r="M4" i="59"/>
  <c r="B8" i="1"/>
  <c r="I3" i="312" l="1"/>
  <c r="I3" i="273"/>
  <c r="I4" i="273"/>
  <c r="I2" i="273"/>
  <c r="I4" i="312"/>
  <c r="I2" i="312"/>
  <c r="U4" i="273"/>
  <c r="U2" i="273"/>
  <c r="U3" i="312"/>
  <c r="U3" i="273"/>
  <c r="U4" i="312"/>
  <c r="U2" i="312"/>
  <c r="J3" i="313"/>
  <c r="J3" i="274"/>
  <c r="J4" i="313"/>
  <c r="J2" i="313"/>
  <c r="J4" i="274"/>
  <c r="J2" i="274"/>
  <c r="J4" i="294"/>
  <c r="J3" i="296"/>
  <c r="J3" i="294"/>
  <c r="J2" i="294"/>
  <c r="J2" i="296"/>
  <c r="J3" i="295"/>
  <c r="J4" i="295"/>
  <c r="J4" i="296"/>
  <c r="J2" i="295"/>
  <c r="Y3" i="312"/>
  <c r="Y3" i="273"/>
  <c r="Y2" i="273"/>
  <c r="Y4" i="312"/>
  <c r="Y2" i="312"/>
  <c r="Y4" i="273"/>
  <c r="H3" i="273"/>
  <c r="H3" i="312"/>
  <c r="H4" i="312"/>
  <c r="H2" i="312"/>
  <c r="H4" i="273"/>
  <c r="H2" i="273"/>
  <c r="J3" i="273"/>
  <c r="J4" i="312"/>
  <c r="J2" i="312"/>
  <c r="J4" i="273"/>
  <c r="J2" i="273"/>
  <c r="J3" i="312"/>
  <c r="M3" i="313"/>
  <c r="M3" i="274"/>
  <c r="M2" i="274"/>
  <c r="M4" i="313"/>
  <c r="M2" i="313"/>
  <c r="M4" i="274"/>
  <c r="M2" i="294"/>
  <c r="M2" i="296"/>
  <c r="M4" i="295"/>
  <c r="M4" i="294"/>
  <c r="M3" i="295"/>
  <c r="M3" i="296"/>
  <c r="M2" i="295"/>
  <c r="M3" i="294"/>
  <c r="M4" i="296"/>
  <c r="K4" i="273"/>
  <c r="K2" i="273"/>
  <c r="K4" i="312"/>
  <c r="K2" i="312"/>
  <c r="K3" i="273"/>
  <c r="K3" i="312"/>
  <c r="K3" i="274"/>
  <c r="K4" i="274"/>
  <c r="K3" i="313"/>
  <c r="K2" i="274"/>
  <c r="K4" i="313"/>
  <c r="K2" i="313"/>
  <c r="K3" i="295"/>
  <c r="K3" i="294"/>
  <c r="K4" i="295"/>
  <c r="K3" i="296"/>
  <c r="K4" i="294"/>
  <c r="K2" i="294"/>
  <c r="K4" i="296"/>
  <c r="K2" i="296"/>
  <c r="K2" i="295"/>
  <c r="T3" i="273"/>
  <c r="T3" i="312"/>
  <c r="T4" i="312"/>
  <c r="T2" i="312"/>
  <c r="T4" i="273"/>
  <c r="T2" i="273"/>
  <c r="W4" i="273"/>
  <c r="W2" i="273"/>
  <c r="W3" i="312"/>
  <c r="W3" i="273"/>
  <c r="W4" i="312"/>
  <c r="W2" i="312"/>
  <c r="R2" i="273"/>
  <c r="R3" i="312"/>
  <c r="R3" i="273"/>
  <c r="R4" i="312"/>
  <c r="R2" i="312"/>
  <c r="R4" i="273"/>
  <c r="E4" i="273"/>
  <c r="E3" i="312"/>
  <c r="E3" i="273"/>
  <c r="E2" i="273"/>
  <c r="E4" i="312"/>
  <c r="E2" i="312"/>
  <c r="G2" i="273"/>
  <c r="G3" i="312"/>
  <c r="G3" i="273"/>
  <c r="G4" i="273"/>
  <c r="G4" i="312"/>
  <c r="G2" i="312"/>
  <c r="M4" i="312"/>
  <c r="M2" i="312"/>
  <c r="M4" i="273"/>
  <c r="M2" i="273"/>
  <c r="M3" i="273"/>
  <c r="M3" i="312"/>
  <c r="Y4" i="313"/>
  <c r="Y2" i="313"/>
  <c r="Y4" i="274"/>
  <c r="Y2" i="274"/>
  <c r="Y3" i="313"/>
  <c r="Y3" i="274"/>
  <c r="Y4" i="294"/>
  <c r="Y3" i="295"/>
  <c r="Y2" i="294"/>
  <c r="Y4" i="295"/>
  <c r="Y4" i="296"/>
  <c r="Y2" i="296"/>
  <c r="Y2" i="295"/>
  <c r="Y3" i="294"/>
  <c r="Y3" i="296"/>
  <c r="R4" i="313"/>
  <c r="R2" i="313"/>
  <c r="R4" i="274"/>
  <c r="R2" i="274"/>
  <c r="R3" i="313"/>
  <c r="R3" i="274"/>
  <c r="R3" i="296"/>
  <c r="R3" i="294"/>
  <c r="R4" i="296"/>
  <c r="R2" i="296"/>
  <c r="R3" i="295"/>
  <c r="R4" i="294"/>
  <c r="R4" i="295"/>
  <c r="R2" i="294"/>
  <c r="R2" i="295"/>
  <c r="F4" i="313"/>
  <c r="F2" i="313"/>
  <c r="F4" i="274"/>
  <c r="F2" i="274"/>
  <c r="F3" i="313"/>
  <c r="F3" i="274"/>
  <c r="F4" i="294"/>
  <c r="F3" i="294"/>
  <c r="F2" i="294"/>
  <c r="F3" i="296"/>
  <c r="F2" i="295"/>
  <c r="F2" i="296"/>
  <c r="F4" i="295"/>
  <c r="F4" i="296"/>
  <c r="F3" i="295"/>
  <c r="P3" i="274"/>
  <c r="P3" i="313"/>
  <c r="P2" i="274"/>
  <c r="P2" i="313"/>
  <c r="P4" i="274"/>
  <c r="P4" i="313"/>
  <c r="P3" i="295"/>
  <c r="P2" i="294"/>
  <c r="P3" i="294"/>
  <c r="P2" i="295"/>
  <c r="P4" i="294"/>
  <c r="P4" i="296"/>
  <c r="P4" i="295"/>
  <c r="P3" i="296"/>
  <c r="P2" i="296"/>
  <c r="B4" i="273"/>
  <c r="B2" i="273"/>
  <c r="B3" i="312"/>
  <c r="B3" i="273"/>
  <c r="B4" i="312"/>
  <c r="B2" i="312"/>
  <c r="W4" i="313"/>
  <c r="W2" i="313"/>
  <c r="W4" i="274"/>
  <c r="W2" i="274"/>
  <c r="W3" i="274"/>
  <c r="W3" i="313"/>
  <c r="W3" i="294"/>
  <c r="W2" i="294"/>
  <c r="W2" i="296"/>
  <c r="W3" i="296"/>
  <c r="W4" i="296"/>
  <c r="W2" i="295"/>
  <c r="W4" i="295"/>
  <c r="W4" i="294"/>
  <c r="W3" i="295"/>
  <c r="P4" i="273"/>
  <c r="P2" i="273"/>
  <c r="P4" i="312"/>
  <c r="P2" i="312"/>
  <c r="P3" i="312"/>
  <c r="P3" i="273"/>
  <c r="S3" i="273"/>
  <c r="S4" i="273"/>
  <c r="S3" i="312"/>
  <c r="S2" i="273"/>
  <c r="S4" i="312"/>
  <c r="S2" i="312"/>
  <c r="D3" i="273"/>
  <c r="D3" i="312"/>
  <c r="D4" i="312"/>
  <c r="D2" i="312"/>
  <c r="D4" i="273"/>
  <c r="D2" i="273"/>
  <c r="E4" i="313"/>
  <c r="E2" i="313"/>
  <c r="E4" i="274"/>
  <c r="E2" i="274"/>
  <c r="E3" i="274"/>
  <c r="E3" i="313"/>
  <c r="E3" i="296"/>
  <c r="E4" i="296"/>
  <c r="E3" i="294"/>
  <c r="E3" i="295"/>
  <c r="E2" i="295"/>
  <c r="E4" i="295"/>
  <c r="E2" i="294"/>
  <c r="E4" i="294"/>
  <c r="E2" i="296"/>
  <c r="N4" i="312"/>
  <c r="N2" i="312"/>
  <c r="N4" i="273"/>
  <c r="N2" i="273"/>
  <c r="N3" i="312"/>
  <c r="N3" i="273"/>
  <c r="V3" i="312"/>
  <c r="V3" i="273"/>
  <c r="V4" i="312"/>
  <c r="V2" i="312"/>
  <c r="V4" i="273"/>
  <c r="V2" i="273"/>
  <c r="B4" i="313"/>
  <c r="B2" i="313"/>
  <c r="B4" i="274"/>
  <c r="B2" i="274"/>
  <c r="B3" i="313"/>
  <c r="B3" i="274"/>
  <c r="B3" i="294"/>
  <c r="B4" i="296"/>
  <c r="B2" i="296"/>
  <c r="B3" i="296"/>
  <c r="B3" i="295"/>
  <c r="B4" i="295"/>
  <c r="B2" i="295"/>
  <c r="B2" i="294"/>
  <c r="B4" i="294"/>
  <c r="X4" i="274"/>
  <c r="X2" i="274"/>
  <c r="X4" i="313"/>
  <c r="X2" i="313"/>
  <c r="X3" i="274"/>
  <c r="X3" i="313"/>
  <c r="X4" i="296"/>
  <c r="X4" i="294"/>
  <c r="X2" i="295"/>
  <c r="X2" i="294"/>
  <c r="X3" i="294"/>
  <c r="X3" i="295"/>
  <c r="X3" i="296"/>
  <c r="X4" i="295"/>
  <c r="X2" i="296"/>
  <c r="G4" i="313"/>
  <c r="G2" i="313"/>
  <c r="G4" i="274"/>
  <c r="G2" i="274"/>
  <c r="G3" i="274"/>
  <c r="G3" i="313"/>
  <c r="G3" i="294"/>
  <c r="G2" i="294"/>
  <c r="G2" i="296"/>
  <c r="G3" i="295"/>
  <c r="G3" i="296"/>
  <c r="G4" i="296"/>
  <c r="G4" i="295"/>
  <c r="G2" i="295"/>
  <c r="G4" i="294"/>
  <c r="O3" i="313"/>
  <c r="O3" i="274"/>
  <c r="O4" i="274"/>
  <c r="O2" i="274"/>
  <c r="O4" i="313"/>
  <c r="O2" i="313"/>
  <c r="O2" i="296"/>
  <c r="O2" i="294"/>
  <c r="O2" i="295"/>
  <c r="O4" i="296"/>
  <c r="O3" i="296"/>
  <c r="O4" i="295"/>
  <c r="O3" i="295"/>
  <c r="O4" i="294"/>
  <c r="O3" i="294"/>
  <c r="C4" i="273"/>
  <c r="C3" i="273"/>
  <c r="C2" i="273"/>
  <c r="C3" i="312"/>
  <c r="C4" i="312"/>
  <c r="C2" i="312"/>
  <c r="V4" i="313"/>
  <c r="V2" i="313"/>
  <c r="V4" i="274"/>
  <c r="V2" i="274"/>
  <c r="V3" i="313"/>
  <c r="V3" i="274"/>
  <c r="V4" i="295"/>
  <c r="V2" i="294"/>
  <c r="V2" i="295"/>
  <c r="V3" i="296"/>
  <c r="V4" i="296"/>
  <c r="V2" i="296"/>
  <c r="V3" i="294"/>
  <c r="V3" i="295"/>
  <c r="V4" i="294"/>
  <c r="I4" i="313"/>
  <c r="I2" i="313"/>
  <c r="I4" i="274"/>
  <c r="I2" i="274"/>
  <c r="I3" i="313"/>
  <c r="I3" i="274"/>
  <c r="I3" i="296"/>
  <c r="I2" i="294"/>
  <c r="I4" i="296"/>
  <c r="I4" i="294"/>
  <c r="I2" i="295"/>
  <c r="I4" i="295"/>
  <c r="I3" i="294"/>
  <c r="I3" i="295"/>
  <c r="I2" i="296"/>
  <c r="F3" i="312"/>
  <c r="F3" i="273"/>
  <c r="F4" i="312"/>
  <c r="F2" i="312"/>
  <c r="F4" i="273"/>
  <c r="F2" i="273"/>
  <c r="S2" i="274"/>
  <c r="S4" i="274"/>
  <c r="S4" i="313"/>
  <c r="S2" i="313"/>
  <c r="S3" i="274"/>
  <c r="S3" i="313"/>
  <c r="S4" i="295"/>
  <c r="S4" i="294"/>
  <c r="S2" i="294"/>
  <c r="S3" i="294"/>
  <c r="S3" i="296"/>
  <c r="S2" i="295"/>
  <c r="S4" i="296"/>
  <c r="S2" i="296"/>
  <c r="S3" i="295"/>
  <c r="L4" i="273"/>
  <c r="L2" i="273"/>
  <c r="L4" i="312"/>
  <c r="L2" i="312"/>
  <c r="L3" i="312"/>
  <c r="L3" i="273"/>
  <c r="Q4" i="312"/>
  <c r="Q2" i="312"/>
  <c r="Q4" i="273"/>
  <c r="Q2" i="273"/>
  <c r="Q3" i="273"/>
  <c r="Q3" i="312"/>
  <c r="L3" i="274"/>
  <c r="L3" i="313"/>
  <c r="L4" i="313"/>
  <c r="L2" i="313"/>
  <c r="L4" i="274"/>
  <c r="L2" i="274"/>
  <c r="L4" i="296"/>
  <c r="L4" i="295"/>
  <c r="L3" i="295"/>
  <c r="L2" i="296"/>
  <c r="L3" i="294"/>
  <c r="L4" i="294"/>
  <c r="L2" i="295"/>
  <c r="L2" i="294"/>
  <c r="L3" i="296"/>
  <c r="C3" i="274"/>
  <c r="C2" i="274"/>
  <c r="C4" i="274"/>
  <c r="C4" i="313"/>
  <c r="C2" i="313"/>
  <c r="C3" i="313"/>
  <c r="C4" i="294"/>
  <c r="C4" i="296"/>
  <c r="C4" i="295"/>
  <c r="C2" i="294"/>
  <c r="C2" i="295"/>
  <c r="C3" i="294"/>
  <c r="C3" i="295"/>
  <c r="C2" i="296"/>
  <c r="C3" i="296"/>
  <c r="H2" i="274"/>
  <c r="H4" i="313"/>
  <c r="H2" i="313"/>
  <c r="H4" i="274"/>
  <c r="H3" i="313"/>
  <c r="H3" i="274"/>
  <c r="H2" i="295"/>
  <c r="H3" i="296"/>
  <c r="H2" i="294"/>
  <c r="H2" i="296"/>
  <c r="H3" i="294"/>
  <c r="H4" i="294"/>
  <c r="H4" i="296"/>
  <c r="H3" i="295"/>
  <c r="H4" i="295"/>
  <c r="U3" i="274"/>
  <c r="U4" i="313"/>
  <c r="U2" i="313"/>
  <c r="U4" i="274"/>
  <c r="U2" i="274"/>
  <c r="U3" i="313"/>
  <c r="U4" i="296"/>
  <c r="U3" i="295"/>
  <c r="U4" i="295"/>
  <c r="U3" i="294"/>
  <c r="U2" i="295"/>
  <c r="U2" i="296"/>
  <c r="U4" i="294"/>
  <c r="U3" i="296"/>
  <c r="U2" i="294"/>
  <c r="N3" i="313"/>
  <c r="N3" i="274"/>
  <c r="N4" i="313"/>
  <c r="N2" i="313"/>
  <c r="N4" i="274"/>
  <c r="N2" i="274"/>
  <c r="N3" i="296"/>
  <c r="N3" i="294"/>
  <c r="N4" i="296"/>
  <c r="N2" i="295"/>
  <c r="N2" i="296"/>
  <c r="N4" i="294"/>
  <c r="N3" i="295"/>
  <c r="N4" i="295"/>
  <c r="N2" i="294"/>
  <c r="O4" i="312"/>
  <c r="O2" i="312"/>
  <c r="O4" i="273"/>
  <c r="O2" i="273"/>
  <c r="O3" i="273"/>
  <c r="O3" i="312"/>
  <c r="X3" i="273"/>
  <c r="X3" i="312"/>
  <c r="X4" i="273"/>
  <c r="X4" i="312"/>
  <c r="X2" i="312"/>
  <c r="X2" i="273"/>
  <c r="T4" i="274"/>
  <c r="T2" i="274"/>
  <c r="T4" i="313"/>
  <c r="T2" i="313"/>
  <c r="T3" i="313"/>
  <c r="T3" i="274"/>
  <c r="T3" i="295"/>
  <c r="T3" i="296"/>
  <c r="T2" i="295"/>
  <c r="T3" i="294"/>
  <c r="T4" i="295"/>
  <c r="T4" i="294"/>
  <c r="T2" i="294"/>
  <c r="T2" i="296"/>
  <c r="T4" i="296"/>
  <c r="Q3" i="313"/>
  <c r="Q3" i="274"/>
  <c r="Q4" i="313"/>
  <c r="Q2" i="313"/>
  <c r="Q4" i="274"/>
  <c r="Q2" i="274"/>
  <c r="Q4" i="294"/>
  <c r="Q2" i="296"/>
  <c r="Q3" i="294"/>
  <c r="Q3" i="296"/>
  <c r="Q3" i="295"/>
  <c r="Q4" i="295"/>
  <c r="Q2" i="294"/>
  <c r="Q4" i="296"/>
  <c r="Q2" i="295"/>
  <c r="D4" i="274"/>
  <c r="D2" i="274"/>
  <c r="D4" i="313"/>
  <c r="D2" i="313"/>
  <c r="D3" i="313"/>
  <c r="D3" i="274"/>
  <c r="D2" i="296"/>
  <c r="D3" i="296"/>
  <c r="D3" i="295"/>
  <c r="D4" i="295"/>
  <c r="D2" i="295"/>
  <c r="D4" i="294"/>
  <c r="D4" i="296"/>
  <c r="D2" i="294"/>
  <c r="D3" i="294"/>
  <c r="H4" i="217"/>
  <c r="M2" i="29"/>
  <c r="P4" i="192"/>
  <c r="K2" i="218"/>
  <c r="V3" i="192"/>
  <c r="I3" i="218"/>
  <c r="B2" i="192"/>
  <c r="Y3" i="218"/>
  <c r="W3" i="217"/>
  <c r="S2" i="192"/>
  <c r="O2" i="192"/>
  <c r="R3" i="216"/>
  <c r="U3" i="218"/>
  <c r="C4" i="29"/>
  <c r="G4" i="217"/>
  <c r="E2" i="29"/>
  <c r="N2" i="216"/>
  <c r="T2" i="193"/>
  <c r="Q3" i="193"/>
  <c r="D4" i="193"/>
  <c r="T4" i="69"/>
  <c r="D2" i="29"/>
  <c r="B2" i="68"/>
  <c r="N4" i="68"/>
  <c r="S3" i="68"/>
  <c r="Q2" i="218"/>
  <c r="X4" i="69"/>
  <c r="D4" i="68"/>
  <c r="O2" i="68"/>
  <c r="Y2" i="217"/>
  <c r="S3" i="192"/>
  <c r="T4" i="216"/>
  <c r="D2" i="216"/>
  <c r="D2" i="68"/>
  <c r="S2" i="216"/>
  <c r="D3" i="68"/>
  <c r="K2" i="68"/>
  <c r="T4" i="68"/>
  <c r="W4" i="68"/>
  <c r="Q3" i="217"/>
  <c r="R2" i="68"/>
  <c r="E2" i="68"/>
  <c r="W2" i="69"/>
  <c r="R2" i="216"/>
  <c r="N2" i="193"/>
  <c r="N3" i="193"/>
  <c r="N4" i="193"/>
  <c r="N2" i="217"/>
  <c r="Y3" i="216"/>
  <c r="W2" i="68"/>
  <c r="W2" i="29"/>
  <c r="N3" i="217"/>
  <c r="S3" i="29"/>
  <c r="T3" i="218"/>
  <c r="Q2" i="68"/>
  <c r="I4" i="193"/>
  <c r="E3" i="69"/>
  <c r="Y3" i="69"/>
  <c r="Y2" i="193"/>
  <c r="Y4" i="69"/>
  <c r="N3" i="68"/>
  <c r="Q2" i="69"/>
  <c r="Q4" i="217"/>
  <c r="I2" i="69"/>
  <c r="T2" i="69"/>
  <c r="T2" i="68"/>
  <c r="L2" i="69"/>
  <c r="E2" i="69"/>
  <c r="M3" i="68"/>
  <c r="S4" i="192"/>
  <c r="R3" i="29"/>
  <c r="W3" i="29"/>
  <c r="U2" i="29"/>
  <c r="S2" i="218"/>
  <c r="I4" i="216"/>
  <c r="K3" i="68"/>
  <c r="M2" i="69"/>
  <c r="Q4" i="29"/>
  <c r="D4" i="216"/>
  <c r="Q4" i="192"/>
  <c r="L4" i="68"/>
  <c r="E2" i="216"/>
  <c r="O3" i="68"/>
  <c r="T2" i="29"/>
  <c r="O4" i="68"/>
  <c r="I2" i="193"/>
  <c r="P3" i="218"/>
  <c r="V2" i="218"/>
  <c r="E2" i="217"/>
  <c r="T4" i="192"/>
  <c r="I2" i="218"/>
  <c r="W3" i="68"/>
  <c r="M3" i="69"/>
  <c r="E4" i="192"/>
  <c r="E3" i="29"/>
  <c r="N4" i="29"/>
  <c r="D3" i="217"/>
  <c r="T3" i="193"/>
  <c r="E4" i="69"/>
  <c r="N2" i="68"/>
  <c r="P2" i="68"/>
  <c r="V3" i="29"/>
  <c r="T2" i="216"/>
  <c r="U4" i="216"/>
  <c r="Q4" i="216"/>
  <c r="N2" i="29"/>
  <c r="E3" i="216"/>
  <c r="R4" i="192"/>
  <c r="P2" i="193"/>
  <c r="H3" i="217"/>
  <c r="T3" i="216"/>
  <c r="S4" i="69"/>
  <c r="I3" i="69"/>
  <c r="R3" i="69"/>
  <c r="N4" i="217"/>
  <c r="S4" i="216"/>
  <c r="V4" i="29"/>
  <c r="U2" i="192"/>
  <c r="M4" i="193"/>
  <c r="I4" i="217"/>
  <c r="D4" i="217"/>
  <c r="S2" i="69"/>
  <c r="R4" i="69"/>
  <c r="U3" i="216"/>
  <c r="B3" i="29"/>
  <c r="B2" i="216"/>
  <c r="Q3" i="192"/>
  <c r="E4" i="218"/>
  <c r="I2" i="216"/>
  <c r="E2" i="192"/>
  <c r="D3" i="218"/>
  <c r="T4" i="29"/>
  <c r="R2" i="69"/>
  <c r="O4" i="29"/>
  <c r="S3" i="193"/>
  <c r="U2" i="216"/>
  <c r="Y4" i="193"/>
  <c r="V2" i="217"/>
  <c r="V3" i="217"/>
  <c r="T2" i="192"/>
  <c r="B4" i="216"/>
  <c r="I2" i="217"/>
  <c r="D3" i="192"/>
  <c r="V3" i="193"/>
  <c r="D2" i="69"/>
  <c r="Y2" i="69"/>
  <c r="P4" i="69"/>
  <c r="E4" i="68"/>
  <c r="U2" i="217"/>
  <c r="S3" i="217"/>
  <c r="V4" i="193"/>
  <c r="D3" i="29"/>
  <c r="Q2" i="217"/>
  <c r="T2" i="218"/>
  <c r="U2" i="218"/>
  <c r="N4" i="192"/>
  <c r="V4" i="217"/>
  <c r="E3" i="218"/>
  <c r="D2" i="193"/>
  <c r="O2" i="193"/>
  <c r="B4" i="68"/>
  <c r="E2" i="193"/>
  <c r="S4" i="193"/>
  <c r="T3" i="69"/>
  <c r="B3" i="69"/>
  <c r="Q3" i="218"/>
  <c r="Q2" i="216"/>
  <c r="R4" i="68"/>
  <c r="R4" i="216"/>
  <c r="T3" i="29"/>
  <c r="D2" i="218"/>
  <c r="B2" i="29"/>
  <c r="N3" i="216"/>
  <c r="V4" i="216"/>
  <c r="B3" i="68"/>
  <c r="V4" i="69"/>
  <c r="R3" i="217"/>
  <c r="I3" i="192"/>
  <c r="N3" i="218"/>
  <c r="S3" i="218"/>
  <c r="T4" i="218"/>
  <c r="V3" i="69"/>
  <c r="N2" i="69"/>
  <c r="V2" i="69"/>
  <c r="Q3" i="69"/>
  <c r="R3" i="68"/>
  <c r="N4" i="69"/>
  <c r="D3" i="69"/>
  <c r="E4" i="29"/>
  <c r="T3" i="217"/>
  <c r="V3" i="216"/>
  <c r="N2" i="218"/>
  <c r="D4" i="192"/>
  <c r="Q2" i="192"/>
  <c r="Y4" i="216"/>
  <c r="Y4" i="218"/>
  <c r="N4" i="216"/>
  <c r="B3" i="218"/>
  <c r="R2" i="192"/>
  <c r="S2" i="29"/>
  <c r="E3" i="193"/>
  <c r="T3" i="68"/>
  <c r="V2" i="68"/>
  <c r="R4" i="218"/>
  <c r="Q4" i="69"/>
  <c r="N3" i="69"/>
  <c r="Q4" i="68"/>
  <c r="X4" i="68"/>
  <c r="I2" i="192"/>
  <c r="S4" i="217"/>
  <c r="B4" i="29"/>
  <c r="Q4" i="218"/>
  <c r="S2" i="217"/>
  <c r="I4" i="192"/>
  <c r="B3" i="217"/>
  <c r="E4" i="216"/>
  <c r="D2" i="192"/>
  <c r="I3" i="217"/>
  <c r="Q3" i="29"/>
  <c r="M3" i="218"/>
  <c r="E4" i="217"/>
  <c r="C2" i="192"/>
  <c r="G2" i="29"/>
  <c r="K4" i="217"/>
  <c r="O3" i="218"/>
  <c r="R2" i="29"/>
  <c r="B4" i="193"/>
  <c r="R2" i="217"/>
  <c r="G4" i="29"/>
  <c r="O4" i="192"/>
  <c r="G3" i="216"/>
  <c r="X3" i="218"/>
  <c r="F2" i="235"/>
  <c r="F3" i="235"/>
  <c r="F4" i="235"/>
  <c r="J3" i="235"/>
  <c r="J2" i="235"/>
  <c r="J4" i="235"/>
  <c r="F3" i="29"/>
  <c r="L4" i="69"/>
  <c r="U4" i="234"/>
  <c r="U3" i="234"/>
  <c r="U2" i="234"/>
  <c r="L3" i="192"/>
  <c r="C3" i="216"/>
  <c r="F2" i="216"/>
  <c r="K2" i="216"/>
  <c r="J4" i="29"/>
  <c r="G4" i="218"/>
  <c r="Y4" i="29"/>
  <c r="R4" i="193"/>
  <c r="J3" i="217"/>
  <c r="O3" i="29"/>
  <c r="T4" i="217"/>
  <c r="G2" i="193"/>
  <c r="W3" i="216"/>
  <c r="P4" i="218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C3" i="193"/>
  <c r="X4" i="29"/>
  <c r="C4" i="216"/>
  <c r="F3" i="216"/>
  <c r="C3" i="218"/>
  <c r="J3" i="29"/>
  <c r="J3" i="218"/>
  <c r="W2" i="192"/>
  <c r="Y2" i="29"/>
  <c r="W4" i="218"/>
  <c r="I4" i="29"/>
  <c r="B4" i="217"/>
  <c r="L2" i="218"/>
  <c r="W2" i="193"/>
  <c r="O4" i="216"/>
  <c r="I2" i="234"/>
  <c r="I4" i="234"/>
  <c r="I3" i="234"/>
  <c r="X2" i="68"/>
  <c r="M4" i="69"/>
  <c r="X4" i="216"/>
  <c r="C4" i="218"/>
  <c r="J2" i="217"/>
  <c r="M2" i="216"/>
  <c r="H4" i="218"/>
  <c r="R4" i="217"/>
  <c r="O3" i="193"/>
  <c r="G2" i="217"/>
  <c r="P2" i="192"/>
  <c r="L3" i="235"/>
  <c r="L2" i="235"/>
  <c r="L4" i="235"/>
  <c r="L3" i="216"/>
  <c r="F4" i="29"/>
  <c r="J2" i="218"/>
  <c r="G4" i="193"/>
  <c r="W2" i="217"/>
  <c r="H3" i="192"/>
  <c r="K4" i="216"/>
  <c r="F2" i="29"/>
  <c r="H3" i="29"/>
  <c r="G2" i="216"/>
  <c r="L4" i="218"/>
  <c r="W4" i="193"/>
  <c r="O3" i="217"/>
  <c r="X3" i="192"/>
  <c r="P2" i="216"/>
  <c r="C4" i="217"/>
  <c r="K4" i="29"/>
  <c r="F2" i="218"/>
  <c r="K2" i="217"/>
  <c r="H4" i="29"/>
  <c r="W2" i="216"/>
  <c r="R3" i="218"/>
  <c r="D4" i="29"/>
  <c r="H3" i="216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X2" i="29"/>
  <c r="P3" i="216"/>
  <c r="Y2" i="216"/>
  <c r="Y4" i="217"/>
  <c r="C2" i="218"/>
  <c r="F3" i="218"/>
  <c r="H2" i="29"/>
  <c r="Y2" i="192"/>
  <c r="I3" i="29"/>
  <c r="O3" i="216"/>
  <c r="J4" i="218"/>
  <c r="L2" i="192"/>
  <c r="L3" i="29"/>
  <c r="W4" i="217"/>
  <c r="H2" i="193"/>
  <c r="X3" i="216"/>
  <c r="J2" i="29"/>
  <c r="J4" i="217"/>
  <c r="O2" i="218"/>
  <c r="X2" i="193"/>
  <c r="P4" i="216"/>
  <c r="C2" i="216"/>
  <c r="M2" i="193"/>
  <c r="U3" i="235"/>
  <c r="U2" i="235"/>
  <c r="U4" i="235"/>
  <c r="J2" i="193"/>
  <c r="Y3" i="193"/>
  <c r="B3" i="193"/>
  <c r="M3" i="192"/>
  <c r="U3" i="217"/>
  <c r="V3" i="218"/>
  <c r="C2" i="217"/>
  <c r="O2" i="29"/>
  <c r="M3" i="193"/>
  <c r="B4" i="218"/>
  <c r="M4" i="29"/>
  <c r="J3" i="216"/>
  <c r="U4" i="192"/>
  <c r="H2" i="218"/>
  <c r="G2" i="192"/>
  <c r="M2" i="217"/>
  <c r="G3" i="193"/>
  <c r="W4" i="216"/>
  <c r="J2" i="192"/>
  <c r="T3" i="192"/>
  <c r="L2" i="216"/>
  <c r="G3" i="218"/>
  <c r="P3" i="193"/>
  <c r="H2" i="217"/>
  <c r="X4" i="192"/>
  <c r="X3" i="217"/>
  <c r="U4" i="68"/>
  <c r="G3" i="234"/>
  <c r="G4" i="234"/>
  <c r="G2" i="234"/>
  <c r="G4" i="216"/>
  <c r="W4" i="69"/>
  <c r="U2" i="68"/>
  <c r="I4" i="68"/>
  <c r="H4" i="69"/>
  <c r="D3" i="234"/>
  <c r="D4" i="234"/>
  <c r="D2" i="234"/>
  <c r="E3" i="235"/>
  <c r="E2" i="235"/>
  <c r="E4" i="235"/>
  <c r="E4" i="193"/>
  <c r="G4" i="192"/>
  <c r="C3" i="29"/>
  <c r="F4" i="192"/>
  <c r="U4" i="217"/>
  <c r="U4" i="218"/>
  <c r="C3" i="217"/>
  <c r="L4" i="193"/>
  <c r="X4" i="218"/>
  <c r="P3" i="29"/>
  <c r="X2" i="192"/>
  <c r="H4" i="216"/>
  <c r="S2" i="193"/>
  <c r="E3" i="192"/>
  <c r="M3" i="217"/>
  <c r="W3" i="193"/>
  <c r="O2" i="217"/>
  <c r="B3" i="192"/>
  <c r="L4" i="192"/>
  <c r="D3" i="216"/>
  <c r="W3" i="218"/>
  <c r="L2" i="29"/>
  <c r="H4" i="193"/>
  <c r="X2" i="217"/>
  <c r="F3" i="217"/>
  <c r="P4" i="193"/>
  <c r="F4" i="218"/>
  <c r="F2" i="192"/>
  <c r="C4" i="192"/>
  <c r="L4" i="217"/>
  <c r="O4" i="193"/>
  <c r="G3" i="217"/>
  <c r="R3" i="192"/>
  <c r="J2" i="216"/>
  <c r="O4" i="218"/>
  <c r="S4" i="29"/>
  <c r="X4" i="193"/>
  <c r="P3" i="217"/>
  <c r="L2" i="68"/>
  <c r="G2" i="68"/>
  <c r="P2" i="69"/>
  <c r="M4" i="68"/>
  <c r="E2" i="234"/>
  <c r="E4" i="234"/>
  <c r="E3" i="234"/>
  <c r="H3" i="193"/>
  <c r="G3" i="68"/>
  <c r="C4" i="69"/>
  <c r="C3" i="69"/>
  <c r="Y3" i="68"/>
  <c r="W3" i="69"/>
  <c r="P3" i="192"/>
  <c r="Y3" i="217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M4" i="218"/>
  <c r="U3" i="29"/>
  <c r="G3" i="29"/>
  <c r="B2" i="218"/>
  <c r="I3" i="216"/>
  <c r="Q2" i="193"/>
  <c r="F4" i="217"/>
  <c r="Q4" i="193"/>
  <c r="M3" i="216"/>
  <c r="C3" i="192"/>
  <c r="W4" i="192"/>
  <c r="J4" i="192"/>
  <c r="B3" i="216"/>
  <c r="L4" i="216"/>
  <c r="C4" i="235"/>
  <c r="C2" i="235"/>
  <c r="C3" i="235"/>
  <c r="X3" i="69"/>
  <c r="H4" i="235"/>
  <c r="H2" i="235"/>
  <c r="H3" i="235"/>
  <c r="X2" i="216"/>
  <c r="X2" i="69"/>
  <c r="K4" i="234"/>
  <c r="K2" i="234"/>
  <c r="K3" i="234"/>
  <c r="K3" i="235"/>
  <c r="K2" i="235"/>
  <c r="K4" i="235"/>
  <c r="T3" i="234"/>
  <c r="T2" i="234"/>
  <c r="T4" i="234"/>
  <c r="H4" i="192"/>
  <c r="R3" i="234"/>
  <c r="R4" i="234"/>
  <c r="R2" i="234"/>
  <c r="G4" i="69"/>
  <c r="U3" i="68"/>
  <c r="M3" i="234"/>
  <c r="M2" i="234"/>
  <c r="M4" i="234"/>
  <c r="P4" i="234"/>
  <c r="P2" i="234"/>
  <c r="P3" i="234"/>
  <c r="F3" i="193"/>
  <c r="J4" i="69"/>
  <c r="F2" i="68"/>
  <c r="L3" i="218"/>
  <c r="F4" i="193"/>
  <c r="S4" i="218"/>
  <c r="K2" i="193"/>
  <c r="P4" i="29"/>
  <c r="L2" i="193"/>
  <c r="X2" i="218"/>
  <c r="F4" i="216"/>
  <c r="U3" i="192"/>
  <c r="R3" i="193"/>
  <c r="E2" i="218"/>
  <c r="M4" i="216"/>
  <c r="I2" i="29"/>
  <c r="B4" i="192"/>
  <c r="V2" i="193"/>
  <c r="K3" i="218"/>
  <c r="O4" i="217"/>
  <c r="B2" i="193"/>
  <c r="L3" i="193"/>
  <c r="D2" i="217"/>
  <c r="K3" i="29"/>
  <c r="X4" i="217"/>
  <c r="L3" i="68"/>
  <c r="P3" i="69"/>
  <c r="Y3" i="29"/>
  <c r="Y2" i="218"/>
  <c r="M3" i="2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H2" i="192"/>
  <c r="L4" i="234"/>
  <c r="L2" i="234"/>
  <c r="L3" i="234"/>
  <c r="K2" i="192"/>
  <c r="F3" i="192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M2" i="192"/>
  <c r="N2" i="192"/>
  <c r="S3" i="216"/>
  <c r="F2" i="193"/>
  <c r="R2" i="218"/>
  <c r="U4" i="29"/>
  <c r="V2" i="216"/>
  <c r="N3" i="192"/>
  <c r="K4" i="218"/>
  <c r="N4" i="218"/>
  <c r="I3" i="193"/>
  <c r="K3" i="193"/>
  <c r="O3" i="192"/>
  <c r="F2" i="217"/>
  <c r="D4" i="218"/>
  <c r="L2" i="217"/>
  <c r="L4" i="29"/>
  <c r="V4" i="192"/>
  <c r="U3" i="193"/>
  <c r="I4" i="218"/>
  <c r="G2" i="218"/>
  <c r="R2" i="193"/>
  <c r="J4" i="216"/>
  <c r="P2" i="29"/>
  <c r="T2" i="217"/>
  <c r="G3" i="192"/>
  <c r="P2" i="218"/>
  <c r="Q2" i="234"/>
  <c r="Q4" i="234"/>
  <c r="Q3" i="234"/>
  <c r="Y4" i="235"/>
  <c r="Y3" i="235"/>
  <c r="Y2" i="235"/>
  <c r="P4" i="217"/>
  <c r="Y3" i="192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K4" i="192"/>
  <c r="J3" i="192"/>
  <c r="C2" i="29"/>
  <c r="R4" i="29"/>
  <c r="M4" i="217"/>
  <c r="H2" i="216"/>
  <c r="J2" i="69"/>
  <c r="H4" i="68"/>
  <c r="I2" i="68"/>
  <c r="B4" i="235"/>
  <c r="B2" i="235"/>
  <c r="B3" i="235"/>
  <c r="X3" i="29"/>
  <c r="M2" i="218"/>
  <c r="M4" i="192"/>
  <c r="F3" i="69"/>
  <c r="J4" i="68"/>
  <c r="H3" i="68"/>
  <c r="U4" i="69"/>
  <c r="O3" i="69"/>
  <c r="K2" i="69"/>
  <c r="S4" i="68"/>
  <c r="S4" i="235"/>
  <c r="S2" i="235"/>
  <c r="S3" i="235"/>
  <c r="C4" i="193"/>
  <c r="K3" i="192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X3" i="193"/>
  <c r="Y4" i="192"/>
  <c r="Q3" i="216"/>
  <c r="C2" i="193"/>
  <c r="Q2" i="29"/>
  <c r="P2" i="217"/>
  <c r="V2" i="29"/>
  <c r="D3" i="193"/>
  <c r="J4" i="193"/>
  <c r="K4" i="193"/>
  <c r="V4" i="218"/>
  <c r="K2" i="29"/>
  <c r="V2" i="192"/>
  <c r="E3" i="217"/>
  <c r="K3" i="216"/>
  <c r="K3" i="217"/>
  <c r="N3" i="29"/>
  <c r="U2" i="193"/>
  <c r="U4" i="193"/>
  <c r="W2" i="218"/>
  <c r="J3" i="193"/>
  <c r="B2" i="217"/>
  <c r="W4" i="29"/>
  <c r="T4" i="193"/>
  <c r="L3" i="217"/>
  <c r="W3" i="192"/>
  <c r="O2" i="216"/>
  <c r="H3" i="218"/>
  <c r="N3" i="266" l="1"/>
  <c r="N3" i="264"/>
  <c r="N3" i="265"/>
  <c r="O2" i="266"/>
  <c r="O2" i="264"/>
  <c r="O2" i="265"/>
  <c r="F4" i="264"/>
  <c r="F4" i="265"/>
  <c r="F4" i="266"/>
  <c r="U4" i="266"/>
  <c r="U4" i="264"/>
  <c r="U4" i="265"/>
  <c r="M3" i="266"/>
  <c r="M3" i="264"/>
  <c r="M3" i="265"/>
  <c r="O3" i="266"/>
  <c r="O3" i="264"/>
  <c r="O3" i="265"/>
  <c r="V4" i="266"/>
  <c r="V4" i="264"/>
  <c r="V4" i="265"/>
  <c r="N2" i="266"/>
  <c r="N2" i="264"/>
  <c r="N2" i="265"/>
  <c r="E4" i="266"/>
  <c r="E4" i="264"/>
  <c r="E4" i="265"/>
  <c r="M2" i="266"/>
  <c r="M2" i="265"/>
  <c r="M2" i="264"/>
  <c r="T4" i="266"/>
  <c r="T4" i="265"/>
  <c r="T4" i="264"/>
  <c r="D4" i="264"/>
  <c r="D4" i="266"/>
  <c r="D4" i="265"/>
  <c r="L3" i="264"/>
  <c r="L3" i="266"/>
  <c r="L3" i="265"/>
  <c r="W4" i="265"/>
  <c r="W4" i="264"/>
  <c r="W4" i="266"/>
  <c r="R4" i="266"/>
  <c r="R4" i="264"/>
  <c r="R4" i="265"/>
  <c r="B4" i="265"/>
  <c r="B4" i="266"/>
  <c r="B4" i="264"/>
  <c r="J3" i="266"/>
  <c r="J3" i="264"/>
  <c r="J3" i="265"/>
  <c r="C2" i="264"/>
  <c r="C2" i="265"/>
  <c r="C2" i="266"/>
  <c r="J2" i="265"/>
  <c r="J2" i="264"/>
  <c r="J2" i="266"/>
  <c r="T2" i="265"/>
  <c r="T2" i="266"/>
  <c r="T2" i="264"/>
  <c r="B2" i="257"/>
  <c r="B2" i="255"/>
  <c r="B2" i="256"/>
  <c r="K2" i="266"/>
  <c r="K2" i="265"/>
  <c r="K2" i="264"/>
  <c r="I2" i="266"/>
  <c r="I2" i="265"/>
  <c r="I2" i="264"/>
  <c r="P4" i="266"/>
  <c r="P4" i="264"/>
  <c r="P4" i="265"/>
  <c r="X3" i="266"/>
  <c r="X3" i="265"/>
  <c r="X3" i="264"/>
  <c r="H3" i="266"/>
  <c r="H3" i="264"/>
  <c r="H3" i="265"/>
  <c r="D2" i="266"/>
  <c r="D2" i="264"/>
  <c r="D2" i="265"/>
  <c r="S3" i="264"/>
  <c r="S3" i="266"/>
  <c r="S3" i="265"/>
  <c r="J4" i="266"/>
  <c r="J4" i="264"/>
  <c r="J4" i="265"/>
  <c r="K3" i="266"/>
  <c r="K3" i="264"/>
  <c r="K3" i="265"/>
  <c r="I3" i="266"/>
  <c r="I3" i="264"/>
  <c r="I3" i="265"/>
  <c r="L2" i="266"/>
  <c r="L2" i="264"/>
  <c r="L2" i="265"/>
  <c r="C4" i="264"/>
  <c r="C4" i="266"/>
  <c r="C4" i="265"/>
  <c r="Q4" i="265"/>
  <c r="Q4" i="266"/>
  <c r="Q4" i="264"/>
  <c r="K4" i="266"/>
  <c r="K4" i="264"/>
  <c r="K4" i="265"/>
  <c r="P2" i="266"/>
  <c r="P2" i="265"/>
  <c r="P2" i="264"/>
  <c r="G4" i="266"/>
  <c r="G4" i="264"/>
  <c r="G4" i="265"/>
  <c r="B2" i="264"/>
  <c r="B2" i="266"/>
  <c r="B2" i="265"/>
  <c r="Y3" i="266"/>
  <c r="Y3" i="264"/>
  <c r="Y3" i="265"/>
  <c r="Y2" i="265"/>
  <c r="Y2" i="264"/>
  <c r="Y2" i="266"/>
  <c r="W2" i="264"/>
  <c r="W2" i="265"/>
  <c r="W2" i="266"/>
  <c r="G2" i="266"/>
  <c r="G2" i="265"/>
  <c r="G2" i="264"/>
  <c r="N4" i="264"/>
  <c r="N4" i="265"/>
  <c r="N4" i="266"/>
  <c r="V3" i="264"/>
  <c r="V3" i="265"/>
  <c r="V3" i="266"/>
  <c r="F3" i="266"/>
  <c r="F3" i="264"/>
  <c r="F3" i="265"/>
  <c r="V2" i="266"/>
  <c r="V2" i="264"/>
  <c r="V2" i="265"/>
  <c r="F2" i="266"/>
  <c r="F2" i="264"/>
  <c r="F2" i="265"/>
  <c r="M4" i="265"/>
  <c r="M4" i="264"/>
  <c r="M4" i="266"/>
  <c r="U3" i="266"/>
  <c r="U3" i="265"/>
  <c r="U3" i="264"/>
  <c r="E3" i="265"/>
  <c r="E3" i="266"/>
  <c r="E3" i="264"/>
  <c r="S4" i="265"/>
  <c r="S4" i="266"/>
  <c r="S4" i="264"/>
  <c r="U2" i="265"/>
  <c r="U2" i="266"/>
  <c r="U2" i="264"/>
  <c r="E2" i="266"/>
  <c r="E2" i="264"/>
  <c r="E2" i="265"/>
  <c r="L4" i="264"/>
  <c r="L4" i="265"/>
  <c r="L4" i="266"/>
  <c r="T3" i="266"/>
  <c r="T3" i="264"/>
  <c r="T3" i="265"/>
  <c r="D3" i="265"/>
  <c r="D3" i="266"/>
  <c r="D3" i="264"/>
  <c r="C3" i="266"/>
  <c r="C3" i="264"/>
  <c r="C3" i="265"/>
  <c r="R3" i="265"/>
  <c r="R3" i="266"/>
  <c r="R3" i="264"/>
  <c r="B3" i="265"/>
  <c r="B3" i="266"/>
  <c r="B3" i="264"/>
  <c r="R2" i="266"/>
  <c r="R2" i="264"/>
  <c r="R2" i="265"/>
  <c r="Y4" i="266"/>
  <c r="Y4" i="264"/>
  <c r="Y4" i="265"/>
  <c r="Q3" i="266"/>
  <c r="Q3" i="265"/>
  <c r="Q3" i="264"/>
  <c r="I4" i="266"/>
  <c r="I4" i="264"/>
  <c r="I4" i="265"/>
  <c r="Q2" i="266"/>
  <c r="Q2" i="264"/>
  <c r="Q2" i="265"/>
  <c r="X4" i="266"/>
  <c r="X4" i="264"/>
  <c r="X4" i="265"/>
  <c r="H4" i="264"/>
  <c r="H4" i="266"/>
  <c r="H4" i="265"/>
  <c r="P3" i="266"/>
  <c r="P3" i="264"/>
  <c r="P3" i="265"/>
  <c r="S2" i="264"/>
  <c r="S2" i="266"/>
  <c r="S2" i="265"/>
  <c r="X2" i="266"/>
  <c r="X2" i="264"/>
  <c r="X2" i="265"/>
  <c r="H2" i="266"/>
  <c r="H2" i="264"/>
  <c r="H2" i="265"/>
  <c r="O4" i="264"/>
  <c r="O4" i="265"/>
  <c r="O4" i="266"/>
  <c r="W3" i="264"/>
  <c r="W3" i="265"/>
  <c r="W3" i="266"/>
  <c r="G3" i="265"/>
  <c r="G3" i="266"/>
  <c r="G3" i="264"/>
  <c r="I2" i="255" l="1"/>
  <c r="I2" i="257"/>
  <c r="I2" i="256"/>
  <c r="P4" i="257"/>
  <c r="P4" i="255"/>
  <c r="P4" i="256"/>
  <c r="H3" i="257"/>
  <c r="H3" i="255"/>
  <c r="H3" i="256"/>
  <c r="W2" i="257"/>
  <c r="W2" i="256"/>
  <c r="W2" i="255"/>
  <c r="G2" i="255"/>
  <c r="G2" i="256"/>
  <c r="G2" i="257"/>
  <c r="N4" i="257"/>
  <c r="N4" i="256"/>
  <c r="N4" i="255"/>
  <c r="V3" i="257"/>
  <c r="V3" i="255"/>
  <c r="V3" i="256"/>
  <c r="F3" i="257"/>
  <c r="F3" i="255"/>
  <c r="F3" i="256"/>
  <c r="V2" i="255"/>
  <c r="V2" i="256"/>
  <c r="V2" i="257"/>
  <c r="F2" i="256"/>
  <c r="F2" i="257"/>
  <c r="F2" i="255"/>
  <c r="M4" i="255"/>
  <c r="M4" i="256"/>
  <c r="M4" i="257"/>
  <c r="U3" i="256"/>
  <c r="U3" i="257"/>
  <c r="U3" i="255"/>
  <c r="E3" i="256"/>
  <c r="E3" i="257"/>
  <c r="E3" i="255"/>
  <c r="L4" i="257"/>
  <c r="L4" i="255"/>
  <c r="L4" i="256"/>
  <c r="S3" i="255"/>
  <c r="S3" i="257"/>
  <c r="S3" i="256"/>
  <c r="S2" i="256"/>
  <c r="S2" i="255"/>
  <c r="S2" i="257"/>
  <c r="B3" i="257"/>
  <c r="B3" i="255"/>
  <c r="B3" i="256"/>
  <c r="D3" i="256"/>
  <c r="D3" i="257"/>
  <c r="D3" i="255"/>
  <c r="C2" i="255"/>
  <c r="C2" i="256"/>
  <c r="C2" i="257"/>
  <c r="I4" i="257"/>
  <c r="I4" i="255"/>
  <c r="I4" i="256"/>
  <c r="Q3" i="255"/>
  <c r="Q3" i="257"/>
  <c r="Q3" i="256"/>
  <c r="R3" i="255"/>
  <c r="R3" i="256"/>
  <c r="R3" i="257"/>
  <c r="Y4" i="255"/>
  <c r="Y4" i="257"/>
  <c r="Y4" i="256"/>
  <c r="P3" i="257"/>
  <c r="P3" i="256"/>
  <c r="P3" i="255"/>
  <c r="E2" i="257"/>
  <c r="E2" i="256"/>
  <c r="E2" i="255"/>
  <c r="O3" i="257"/>
  <c r="O3" i="256"/>
  <c r="O3" i="255"/>
  <c r="U2" i="255"/>
  <c r="U2" i="257"/>
  <c r="U2" i="256"/>
  <c r="T2" i="255"/>
  <c r="T2" i="256"/>
  <c r="T2" i="257"/>
  <c r="D2" i="255"/>
  <c r="D2" i="256"/>
  <c r="D2" i="257"/>
  <c r="J4" i="256"/>
  <c r="J4" i="257"/>
  <c r="J4" i="255"/>
  <c r="R2" i="256"/>
  <c r="R2" i="257"/>
  <c r="R2" i="255"/>
  <c r="P2" i="257"/>
  <c r="P2" i="256"/>
  <c r="P2" i="255"/>
  <c r="G4" i="257"/>
  <c r="G4" i="255"/>
  <c r="G4" i="256"/>
  <c r="O2" i="255"/>
  <c r="O2" i="257"/>
  <c r="O2" i="256"/>
  <c r="V4" i="256"/>
  <c r="V4" i="255"/>
  <c r="V4" i="257"/>
  <c r="F4" i="257"/>
  <c r="F4" i="255"/>
  <c r="F4" i="256"/>
  <c r="N3" i="256"/>
  <c r="N3" i="257"/>
  <c r="N3" i="255"/>
  <c r="H4" i="255"/>
  <c r="H4" i="257"/>
  <c r="H4" i="256"/>
  <c r="J2" i="256"/>
  <c r="J2" i="257"/>
  <c r="J2" i="255"/>
  <c r="C3" i="256"/>
  <c r="C3" i="257"/>
  <c r="C3" i="255"/>
  <c r="E4" i="257"/>
  <c r="E4" i="256"/>
  <c r="E4" i="255"/>
  <c r="M3" i="256"/>
  <c r="M3" i="255"/>
  <c r="M3" i="257"/>
  <c r="M2" i="257"/>
  <c r="M2" i="255"/>
  <c r="M2" i="256"/>
  <c r="T3" i="256"/>
  <c r="T3" i="257"/>
  <c r="T3" i="255"/>
  <c r="X4" i="257"/>
  <c r="X4" i="255"/>
  <c r="X4" i="256"/>
  <c r="T4" i="256"/>
  <c r="T4" i="257"/>
  <c r="T4" i="255"/>
  <c r="K3" i="257"/>
  <c r="K3" i="255"/>
  <c r="K3" i="256"/>
  <c r="K4" i="257"/>
  <c r="K4" i="256"/>
  <c r="K4" i="255"/>
  <c r="Q2" i="257"/>
  <c r="Q2" i="255"/>
  <c r="Q2" i="256"/>
  <c r="W4" i="256"/>
  <c r="W4" i="257"/>
  <c r="W4" i="255"/>
  <c r="N2" i="256"/>
  <c r="N2" i="257"/>
  <c r="N2" i="255"/>
  <c r="U4" i="257"/>
  <c r="U4" i="256"/>
  <c r="U4" i="255"/>
  <c r="D4" i="255"/>
  <c r="D4" i="256"/>
  <c r="D4" i="257"/>
  <c r="L3" i="256"/>
  <c r="L3" i="257"/>
  <c r="L3" i="255"/>
  <c r="L2" i="255"/>
  <c r="L2" i="256"/>
  <c r="L2" i="257"/>
  <c r="S4" i="256"/>
  <c r="S4" i="257"/>
  <c r="S4" i="255"/>
  <c r="C4" i="257"/>
  <c r="C4" i="255"/>
  <c r="C4" i="256"/>
  <c r="K2" i="257"/>
  <c r="K2" i="256"/>
  <c r="K2" i="255"/>
  <c r="R4" i="257"/>
  <c r="R4" i="255"/>
  <c r="R4" i="256"/>
  <c r="B4" i="257"/>
  <c r="B4" i="255"/>
  <c r="B4" i="256"/>
  <c r="J3" i="257"/>
  <c r="J3" i="255"/>
  <c r="J3" i="256"/>
  <c r="I3" i="257"/>
  <c r="I3" i="255"/>
  <c r="I3" i="256"/>
  <c r="Q4" i="256"/>
  <c r="Q4" i="257"/>
  <c r="Q4" i="255"/>
  <c r="Y3" i="256"/>
  <c r="Y3" i="255"/>
  <c r="Y3" i="257"/>
  <c r="Y2" i="257"/>
  <c r="Y2" i="255"/>
  <c r="Y2" i="256"/>
  <c r="X3" i="256"/>
  <c r="X3" i="257"/>
  <c r="X3" i="255"/>
  <c r="X2" i="255"/>
  <c r="X2" i="256"/>
  <c r="X2" i="257"/>
  <c r="H2" i="257"/>
  <c r="H2" i="256"/>
  <c r="H2" i="255"/>
  <c r="O4" i="256"/>
  <c r="O4" i="257"/>
  <c r="O4" i="255"/>
  <c r="W3" i="255"/>
  <c r="W3" i="256"/>
  <c r="W3" i="257"/>
  <c r="G3" i="255"/>
  <c r="G3" i="257"/>
  <c r="G3" i="256"/>
  <c r="E2" i="260" l="1"/>
  <c r="E2" i="258"/>
  <c r="E2" i="259"/>
  <c r="J3" i="263"/>
  <c r="J3" i="261"/>
  <c r="J3" i="262"/>
  <c r="G2" i="260"/>
  <c r="G2" i="258"/>
  <c r="G2" i="259"/>
  <c r="B3" i="260"/>
  <c r="B3" i="258"/>
  <c r="B3" i="259"/>
  <c r="F3" i="260"/>
  <c r="F3" i="259"/>
  <c r="F3" i="258"/>
  <c r="J2" i="271"/>
  <c r="J2" i="272"/>
  <c r="J2" i="270"/>
  <c r="N2" i="272"/>
  <c r="N2" i="270"/>
  <c r="N2" i="271"/>
  <c r="B2" i="272"/>
  <c r="B2" i="271"/>
  <c r="B2" i="270"/>
  <c r="U2" i="272"/>
  <c r="U2" i="271"/>
  <c r="U2" i="270"/>
  <c r="P3" i="272"/>
  <c r="P3" i="270"/>
  <c r="P3" i="271"/>
  <c r="C4" i="269"/>
  <c r="C4" i="267"/>
  <c r="C4" i="268"/>
  <c r="V4" i="269"/>
  <c r="V4" i="267"/>
  <c r="V4" i="268"/>
  <c r="J2" i="269"/>
  <c r="J2" i="267"/>
  <c r="J2" i="268"/>
  <c r="N2" i="269"/>
  <c r="N2" i="268"/>
  <c r="N2" i="267"/>
  <c r="E4" i="263"/>
  <c r="E4" i="262"/>
  <c r="E4" i="261"/>
  <c r="I2" i="263"/>
  <c r="I2" i="261"/>
  <c r="I2" i="262"/>
  <c r="D2" i="260"/>
  <c r="D2" i="258"/>
  <c r="D2" i="259"/>
  <c r="W2" i="260"/>
  <c r="W2" i="258"/>
  <c r="W2" i="259"/>
  <c r="R3" i="259"/>
  <c r="R3" i="260"/>
  <c r="R3" i="258"/>
  <c r="V3" i="260"/>
  <c r="V3" i="259"/>
  <c r="V3" i="258"/>
  <c r="B3" i="272"/>
  <c r="B3" i="270"/>
  <c r="B3" i="271"/>
  <c r="F3" i="272"/>
  <c r="F3" i="270"/>
  <c r="F3" i="271"/>
  <c r="R2" i="272"/>
  <c r="R2" i="270"/>
  <c r="R2" i="271"/>
  <c r="M3" i="272"/>
  <c r="M3" i="270"/>
  <c r="M3" i="271"/>
  <c r="H4" i="272"/>
  <c r="H4" i="270"/>
  <c r="H4" i="271"/>
  <c r="S4" i="269"/>
  <c r="S4" i="267"/>
  <c r="S4" i="268"/>
  <c r="G2" i="269"/>
  <c r="G2" i="267"/>
  <c r="G2" i="268"/>
  <c r="B3" i="269"/>
  <c r="B3" i="267"/>
  <c r="B3" i="268"/>
  <c r="F3" i="269"/>
  <c r="F3" i="268"/>
  <c r="F3" i="267"/>
  <c r="V3" i="263"/>
  <c r="V3" i="262"/>
  <c r="V3" i="261"/>
  <c r="X4" i="261"/>
  <c r="X4" i="262"/>
  <c r="X4" i="263"/>
  <c r="J4" i="263"/>
  <c r="J4" i="261"/>
  <c r="J4" i="262"/>
  <c r="U4" i="263"/>
  <c r="U4" i="261"/>
  <c r="U4" i="262"/>
  <c r="K2" i="262"/>
  <c r="K2" i="263"/>
  <c r="K2" i="261"/>
  <c r="Y2" i="263"/>
  <c r="Y2" i="261"/>
  <c r="Y2" i="262"/>
  <c r="T2" i="260"/>
  <c r="T2" i="258"/>
  <c r="T2" i="259"/>
  <c r="O3" i="260"/>
  <c r="O3" i="258"/>
  <c r="O3" i="259"/>
  <c r="J4" i="260"/>
  <c r="J4" i="258"/>
  <c r="J4" i="259"/>
  <c r="N4" i="260"/>
  <c r="N4" i="258"/>
  <c r="N4" i="259"/>
  <c r="R3" i="272"/>
  <c r="R3" i="271"/>
  <c r="R3" i="270"/>
  <c r="V3" i="272"/>
  <c r="V3" i="271"/>
  <c r="V3" i="270"/>
  <c r="J3" i="271"/>
  <c r="J3" i="270"/>
  <c r="J3" i="272"/>
  <c r="E4" i="272"/>
  <c r="E4" i="270"/>
  <c r="E4" i="271"/>
  <c r="X4" i="272"/>
  <c r="X4" i="270"/>
  <c r="X4" i="271"/>
  <c r="D2" i="269"/>
  <c r="D2" i="267"/>
  <c r="D2" i="268"/>
  <c r="W2" i="269"/>
  <c r="W2" i="267"/>
  <c r="W2" i="268"/>
  <c r="R3" i="267"/>
  <c r="R3" i="269"/>
  <c r="R3" i="268"/>
  <c r="V3" i="269"/>
  <c r="V3" i="268"/>
  <c r="V3" i="267"/>
  <c r="B4" i="263"/>
  <c r="B4" i="262"/>
  <c r="B4" i="261"/>
  <c r="O2" i="263"/>
  <c r="O2" i="262"/>
  <c r="O2" i="261"/>
  <c r="R4" i="263"/>
  <c r="R4" i="261"/>
  <c r="R4" i="262"/>
  <c r="F2" i="263"/>
  <c r="F2" i="261"/>
  <c r="F2" i="262"/>
  <c r="C3" i="263"/>
  <c r="C3" i="261"/>
  <c r="C3" i="262"/>
  <c r="G3" i="262"/>
  <c r="G3" i="263"/>
  <c r="G3" i="261"/>
  <c r="C2" i="263"/>
  <c r="C2" i="261"/>
  <c r="C2" i="262"/>
  <c r="V2" i="261"/>
  <c r="V2" i="262"/>
  <c r="V2" i="263"/>
  <c r="Q3" i="263"/>
  <c r="Q3" i="261"/>
  <c r="Q3" i="262"/>
  <c r="L3" i="260"/>
  <c r="L3" i="259"/>
  <c r="L3" i="258"/>
  <c r="G4" i="260"/>
  <c r="G4" i="259"/>
  <c r="G4" i="258"/>
  <c r="K2" i="260"/>
  <c r="K2" i="258"/>
  <c r="K2" i="259"/>
  <c r="O2" i="260"/>
  <c r="O2" i="258"/>
  <c r="O2" i="259"/>
  <c r="J4" i="272"/>
  <c r="J4" i="270"/>
  <c r="J4" i="271"/>
  <c r="N4" i="272"/>
  <c r="N4" i="271"/>
  <c r="N4" i="270"/>
  <c r="B4" i="272"/>
  <c r="B4" i="270"/>
  <c r="B4" i="271"/>
  <c r="U4" i="272"/>
  <c r="U4" i="270"/>
  <c r="U4" i="271"/>
  <c r="I2" i="271"/>
  <c r="I2" i="270"/>
  <c r="I2" i="272"/>
  <c r="T2" i="269"/>
  <c r="T2" i="267"/>
  <c r="T2" i="268"/>
  <c r="O3" i="269"/>
  <c r="O3" i="267"/>
  <c r="O3" i="268"/>
  <c r="J4" i="269"/>
  <c r="J4" i="267"/>
  <c r="J4" i="268"/>
  <c r="N4" i="269"/>
  <c r="N4" i="267"/>
  <c r="N4" i="268"/>
  <c r="L2" i="263"/>
  <c r="L2" i="261"/>
  <c r="L2" i="262"/>
  <c r="R3" i="263"/>
  <c r="R3" i="261"/>
  <c r="R3" i="262"/>
  <c r="N4" i="263"/>
  <c r="N4" i="261"/>
  <c r="N4" i="262"/>
  <c r="W3" i="262"/>
  <c r="W3" i="263"/>
  <c r="W3" i="261"/>
  <c r="N3" i="263"/>
  <c r="N3" i="262"/>
  <c r="N3" i="261"/>
  <c r="I4" i="263"/>
  <c r="I4" i="261"/>
  <c r="I4" i="262"/>
  <c r="D4" i="260"/>
  <c r="D4" i="258"/>
  <c r="D4" i="259"/>
  <c r="W4" i="260"/>
  <c r="W4" i="258"/>
  <c r="W4" i="259"/>
  <c r="C3" i="260"/>
  <c r="C3" i="258"/>
  <c r="C3" i="259"/>
  <c r="G3" i="260"/>
  <c r="G3" i="259"/>
  <c r="G3" i="258"/>
  <c r="K2" i="272"/>
  <c r="K2" i="270"/>
  <c r="K2" i="271"/>
  <c r="O2" i="272"/>
  <c r="O2" i="270"/>
  <c r="O2" i="271"/>
  <c r="F2" i="272"/>
  <c r="F2" i="271"/>
  <c r="F2" i="270"/>
  <c r="Y2" i="270"/>
  <c r="Y2" i="271"/>
  <c r="Y2" i="272"/>
  <c r="L3" i="269"/>
  <c r="L3" i="267"/>
  <c r="L3" i="268"/>
  <c r="G4" i="269"/>
  <c r="G4" i="267"/>
  <c r="G4" i="268"/>
  <c r="K2" i="269"/>
  <c r="K2" i="267"/>
  <c r="K2" i="268"/>
  <c r="O2" i="269"/>
  <c r="O2" i="267"/>
  <c r="O2" i="268"/>
  <c r="C4" i="263"/>
  <c r="C4" i="261"/>
  <c r="C4" i="262"/>
  <c r="S4" i="260"/>
  <c r="S4" i="258"/>
  <c r="S4" i="259"/>
  <c r="S3" i="263"/>
  <c r="S3" i="262"/>
  <c r="S3" i="261"/>
  <c r="S2" i="263"/>
  <c r="S2" i="261"/>
  <c r="S2" i="262"/>
  <c r="R4" i="272"/>
  <c r="R4" i="270"/>
  <c r="R4" i="271"/>
  <c r="K4" i="263"/>
  <c r="K4" i="261"/>
  <c r="K4" i="262"/>
  <c r="O4" i="262"/>
  <c r="O4" i="263"/>
  <c r="O4" i="261"/>
  <c r="K3" i="263"/>
  <c r="K3" i="261"/>
  <c r="K3" i="262"/>
  <c r="F4" i="263"/>
  <c r="F4" i="261"/>
  <c r="F4" i="262"/>
  <c r="Y4" i="263"/>
  <c r="Y4" i="262"/>
  <c r="Y4" i="261"/>
  <c r="T4" i="260"/>
  <c r="T4" i="259"/>
  <c r="T4" i="258"/>
  <c r="H2" i="260"/>
  <c r="H2" i="258"/>
  <c r="H2" i="259"/>
  <c r="S3" i="260"/>
  <c r="S3" i="258"/>
  <c r="S3" i="259"/>
  <c r="W3" i="260"/>
  <c r="W3" i="258"/>
  <c r="W3" i="259"/>
  <c r="C3" i="272"/>
  <c r="C3" i="270"/>
  <c r="C3" i="271"/>
  <c r="G3" i="272"/>
  <c r="G3" i="271"/>
  <c r="G3" i="270"/>
  <c r="C2" i="272"/>
  <c r="C2" i="271"/>
  <c r="C2" i="270"/>
  <c r="V2" i="272"/>
  <c r="V2" i="270"/>
  <c r="V2" i="271"/>
  <c r="Q3" i="272"/>
  <c r="Q3" i="270"/>
  <c r="Q3" i="271"/>
  <c r="D4" i="269"/>
  <c r="D4" i="268"/>
  <c r="D4" i="267"/>
  <c r="W4" i="269"/>
  <c r="W4" i="267"/>
  <c r="W4" i="268"/>
  <c r="C3" i="267"/>
  <c r="C3" i="268"/>
  <c r="C3" i="269"/>
  <c r="G3" i="269"/>
  <c r="G3" i="267"/>
  <c r="G3" i="268"/>
  <c r="V4" i="263"/>
  <c r="V4" i="261"/>
  <c r="V4" i="262"/>
  <c r="O4" i="260"/>
  <c r="O4" i="259"/>
  <c r="O4" i="258"/>
  <c r="W3" i="272"/>
  <c r="W3" i="270"/>
  <c r="W3" i="271"/>
  <c r="S2" i="271"/>
  <c r="S2" i="272"/>
  <c r="S2" i="270"/>
  <c r="N3" i="272"/>
  <c r="N3" i="270"/>
  <c r="N3" i="271"/>
  <c r="I4" i="272"/>
  <c r="I4" i="271"/>
  <c r="I4" i="270"/>
  <c r="T4" i="269"/>
  <c r="T4" i="267"/>
  <c r="T4" i="268"/>
  <c r="H2" i="269"/>
  <c r="H2" i="267"/>
  <c r="H2" i="268"/>
  <c r="S3" i="269"/>
  <c r="S3" i="267"/>
  <c r="S3" i="268"/>
  <c r="W3" i="269"/>
  <c r="W3" i="268"/>
  <c r="W3" i="267"/>
  <c r="D3" i="263"/>
  <c r="D3" i="262"/>
  <c r="D3" i="261"/>
  <c r="H3" i="263"/>
  <c r="H3" i="261"/>
  <c r="H3" i="262"/>
  <c r="S4" i="263"/>
  <c r="S4" i="261"/>
  <c r="S4" i="262"/>
  <c r="G2" i="263"/>
  <c r="G2" i="261"/>
  <c r="G2" i="262"/>
  <c r="B2" i="260"/>
  <c r="B2" i="258"/>
  <c r="B2" i="259"/>
  <c r="U2" i="260"/>
  <c r="U2" i="258"/>
  <c r="U2" i="259"/>
  <c r="P3" i="260"/>
  <c r="P3" i="258"/>
  <c r="P3" i="259"/>
  <c r="L2" i="260"/>
  <c r="L2" i="259"/>
  <c r="L2" i="258"/>
  <c r="P2" i="258"/>
  <c r="P2" i="259"/>
  <c r="P2" i="260"/>
  <c r="K4" i="272"/>
  <c r="K4" i="271"/>
  <c r="K4" i="270"/>
  <c r="O4" i="272"/>
  <c r="O4" i="270"/>
  <c r="O4" i="271"/>
  <c r="K3" i="270"/>
  <c r="K3" i="271"/>
  <c r="K3" i="272"/>
  <c r="F4" i="272"/>
  <c r="F4" i="270"/>
  <c r="F4" i="271"/>
  <c r="Y4" i="272"/>
  <c r="Y4" i="271"/>
  <c r="Y4" i="270"/>
  <c r="E2" i="269"/>
  <c r="E2" i="267"/>
  <c r="E2" i="268"/>
  <c r="X2" i="267"/>
  <c r="X2" i="269"/>
  <c r="X2" i="268"/>
  <c r="K4" i="267"/>
  <c r="K4" i="268"/>
  <c r="K4" i="269"/>
  <c r="O4" i="269"/>
  <c r="O4" i="267"/>
  <c r="O4" i="268"/>
  <c r="T3" i="263"/>
  <c r="T3" i="261"/>
  <c r="T3" i="262"/>
  <c r="X3" i="263"/>
  <c r="X3" i="261"/>
  <c r="X3" i="262"/>
  <c r="D2" i="263"/>
  <c r="D2" i="261"/>
  <c r="D2" i="262"/>
  <c r="W2" i="263"/>
  <c r="W2" i="261"/>
  <c r="W2" i="262"/>
  <c r="R2" i="260"/>
  <c r="R2" i="258"/>
  <c r="R2" i="259"/>
  <c r="M3" i="260"/>
  <c r="M3" i="258"/>
  <c r="M3" i="259"/>
  <c r="H4" i="260"/>
  <c r="H4" i="258"/>
  <c r="H4" i="259"/>
  <c r="D3" i="260"/>
  <c r="D3" i="258"/>
  <c r="D3" i="259"/>
  <c r="H3" i="260"/>
  <c r="H3" i="258"/>
  <c r="H3" i="259"/>
  <c r="L2" i="271"/>
  <c r="L2" i="272"/>
  <c r="L2" i="270"/>
  <c r="P2" i="272"/>
  <c r="P2" i="270"/>
  <c r="P2" i="271"/>
  <c r="C4" i="272"/>
  <c r="C4" i="270"/>
  <c r="C4" i="271"/>
  <c r="V4" i="272"/>
  <c r="V4" i="271"/>
  <c r="V4" i="270"/>
  <c r="B2" i="267"/>
  <c r="B2" i="268"/>
  <c r="B2" i="269"/>
  <c r="U2" i="267"/>
  <c r="U2" i="268"/>
  <c r="U2" i="269"/>
  <c r="P3" i="269"/>
  <c r="P3" i="268"/>
  <c r="P3" i="267"/>
  <c r="L2" i="267"/>
  <c r="L2" i="269"/>
  <c r="L2" i="268"/>
  <c r="P2" i="269"/>
  <c r="P2" i="267"/>
  <c r="P2" i="268"/>
  <c r="X4" i="260"/>
  <c r="X4" i="258"/>
  <c r="X4" i="259"/>
  <c r="T3" i="260"/>
  <c r="T3" i="258"/>
  <c r="T3" i="259"/>
  <c r="X3" i="260"/>
  <c r="X3" i="259"/>
  <c r="X3" i="258"/>
  <c r="D3" i="272"/>
  <c r="D3" i="270"/>
  <c r="D3" i="271"/>
  <c r="H3" i="270"/>
  <c r="H3" i="271"/>
  <c r="H3" i="272"/>
  <c r="S4" i="272"/>
  <c r="S4" i="270"/>
  <c r="S4" i="271"/>
  <c r="G2" i="272"/>
  <c r="G2" i="270"/>
  <c r="G2" i="271"/>
  <c r="R2" i="269"/>
  <c r="R2" i="267"/>
  <c r="R2" i="268"/>
  <c r="M3" i="269"/>
  <c r="M3" i="268"/>
  <c r="M3" i="267"/>
  <c r="H4" i="268"/>
  <c r="H4" i="269"/>
  <c r="H4" i="267"/>
  <c r="D3" i="269"/>
  <c r="D3" i="267"/>
  <c r="D3" i="268"/>
  <c r="H3" i="269"/>
  <c r="H3" i="267"/>
  <c r="H3" i="268"/>
  <c r="K4" i="260"/>
  <c r="K4" i="259"/>
  <c r="K4" i="258"/>
  <c r="X2" i="258"/>
  <c r="X2" i="259"/>
  <c r="X2" i="260"/>
  <c r="T2" i="263"/>
  <c r="T2" i="261"/>
  <c r="T2" i="262"/>
  <c r="Q2" i="263"/>
  <c r="Q2" i="262"/>
  <c r="Q2" i="261"/>
  <c r="U4" i="260"/>
  <c r="U4" i="258"/>
  <c r="U4" i="259"/>
  <c r="P4" i="260"/>
  <c r="P4" i="259"/>
  <c r="P4" i="258"/>
  <c r="X3" i="272"/>
  <c r="X3" i="270"/>
  <c r="X3" i="271"/>
  <c r="W2" i="271"/>
  <c r="W2" i="270"/>
  <c r="W2" i="272"/>
  <c r="E4" i="269"/>
  <c r="E4" i="268"/>
  <c r="E4" i="267"/>
  <c r="X3" i="269"/>
  <c r="X3" i="268"/>
  <c r="X3" i="267"/>
  <c r="I3" i="263"/>
  <c r="I3" i="261"/>
  <c r="I3" i="262"/>
  <c r="D4" i="261"/>
  <c r="D4" i="263"/>
  <c r="D4" i="262"/>
  <c r="W4" i="262"/>
  <c r="W4" i="263"/>
  <c r="W4" i="261"/>
  <c r="R4" i="260"/>
  <c r="R4" i="258"/>
  <c r="R4" i="259"/>
  <c r="F2" i="260"/>
  <c r="F2" i="259"/>
  <c r="F2" i="258"/>
  <c r="Y2" i="260"/>
  <c r="Y2" i="259"/>
  <c r="Y2" i="258"/>
  <c r="M2" i="258"/>
  <c r="M2" i="260"/>
  <c r="M2" i="259"/>
  <c r="Q2" i="260"/>
  <c r="Q2" i="258"/>
  <c r="Q2" i="259"/>
  <c r="L4" i="272"/>
  <c r="L4" i="270"/>
  <c r="L4" i="271"/>
  <c r="P4" i="272"/>
  <c r="P4" i="270"/>
  <c r="P4" i="271"/>
  <c r="T2" i="272"/>
  <c r="T2" i="270"/>
  <c r="T2" i="271"/>
  <c r="O3" i="271"/>
  <c r="O3" i="272"/>
  <c r="O3" i="270"/>
  <c r="B4" i="269"/>
  <c r="B4" i="267"/>
  <c r="B4" i="268"/>
  <c r="U4" i="268"/>
  <c r="U4" i="269"/>
  <c r="U4" i="267"/>
  <c r="I2" i="269"/>
  <c r="I2" i="267"/>
  <c r="I2" i="268"/>
  <c r="L4" i="269"/>
  <c r="L4" i="267"/>
  <c r="L4" i="268"/>
  <c r="P4" i="268"/>
  <c r="P4" i="267"/>
  <c r="P4" i="269"/>
  <c r="P2" i="263"/>
  <c r="P2" i="261"/>
  <c r="P2" i="262"/>
  <c r="S3" i="272"/>
  <c r="S3" i="270"/>
  <c r="S3" i="271"/>
  <c r="E4" i="260"/>
  <c r="E4" i="259"/>
  <c r="E4" i="258"/>
  <c r="L3" i="262"/>
  <c r="L3" i="263"/>
  <c r="L3" i="261"/>
  <c r="G4" i="263"/>
  <c r="G4" i="262"/>
  <c r="G4" i="261"/>
  <c r="D2" i="272"/>
  <c r="D2" i="271"/>
  <c r="D2" i="270"/>
  <c r="T3" i="269"/>
  <c r="T3" i="267"/>
  <c r="T3" i="268"/>
  <c r="U3" i="263"/>
  <c r="U3" i="261"/>
  <c r="U3" i="262"/>
  <c r="Y3" i="263"/>
  <c r="Y3" i="262"/>
  <c r="Y3" i="261"/>
  <c r="T4" i="263"/>
  <c r="T4" i="261"/>
  <c r="T4" i="262"/>
  <c r="H2" i="263"/>
  <c r="H2" i="261"/>
  <c r="H2" i="262"/>
  <c r="C2" i="260"/>
  <c r="C2" i="259"/>
  <c r="C2" i="258"/>
  <c r="V2" i="259"/>
  <c r="V2" i="260"/>
  <c r="V2" i="258"/>
  <c r="Q3" i="260"/>
  <c r="Q3" i="258"/>
  <c r="Q3" i="259"/>
  <c r="E3" i="260"/>
  <c r="E3" i="258"/>
  <c r="E3" i="259"/>
  <c r="I3" i="258"/>
  <c r="I3" i="259"/>
  <c r="I3" i="260"/>
  <c r="M2" i="270"/>
  <c r="M2" i="271"/>
  <c r="M2" i="272"/>
  <c r="Q2" i="272"/>
  <c r="Q2" i="270"/>
  <c r="Q2" i="271"/>
  <c r="L3" i="272"/>
  <c r="L3" i="271"/>
  <c r="L3" i="270"/>
  <c r="G4" i="272"/>
  <c r="G4" i="271"/>
  <c r="G4" i="270"/>
  <c r="R4" i="268"/>
  <c r="R4" i="269"/>
  <c r="R4" i="267"/>
  <c r="F2" i="268"/>
  <c r="F2" i="269"/>
  <c r="F2" i="267"/>
  <c r="Y2" i="269"/>
  <c r="Y2" i="267"/>
  <c r="Y2" i="268"/>
  <c r="M2" i="267"/>
  <c r="M2" i="268"/>
  <c r="M2" i="269"/>
  <c r="Q2" i="269"/>
  <c r="Q2" i="268"/>
  <c r="Q2" i="267"/>
  <c r="L4" i="263"/>
  <c r="L4" i="261"/>
  <c r="L4" i="262"/>
  <c r="J3" i="260"/>
  <c r="J3" i="258"/>
  <c r="J3" i="259"/>
  <c r="B4" i="258"/>
  <c r="B4" i="260"/>
  <c r="B4" i="259"/>
  <c r="J3" i="267"/>
  <c r="J3" i="268"/>
  <c r="J3" i="269"/>
  <c r="X4" i="269"/>
  <c r="X4" i="267"/>
  <c r="X4" i="268"/>
  <c r="M4" i="263"/>
  <c r="M4" i="261"/>
  <c r="M4" i="262"/>
  <c r="Q4" i="263"/>
  <c r="Q4" i="261"/>
  <c r="Q4" i="262"/>
  <c r="E2" i="261"/>
  <c r="E2" i="262"/>
  <c r="E2" i="263"/>
  <c r="X2" i="261"/>
  <c r="X2" i="263"/>
  <c r="X2" i="262"/>
  <c r="S2" i="258"/>
  <c r="S2" i="259"/>
  <c r="S2" i="260"/>
  <c r="N3" i="260"/>
  <c r="N3" i="259"/>
  <c r="N3" i="258"/>
  <c r="I4" i="260"/>
  <c r="I4" i="258"/>
  <c r="I4" i="259"/>
  <c r="U3" i="258"/>
  <c r="U3" i="260"/>
  <c r="U3" i="259"/>
  <c r="Y3" i="259"/>
  <c r="Y3" i="260"/>
  <c r="Y3" i="258"/>
  <c r="E3" i="271"/>
  <c r="E3" i="272"/>
  <c r="E3" i="270"/>
  <c r="I3" i="272"/>
  <c r="I3" i="270"/>
  <c r="I3" i="271"/>
  <c r="D4" i="272"/>
  <c r="D4" i="270"/>
  <c r="D4" i="271"/>
  <c r="W4" i="271"/>
  <c r="W4" i="272"/>
  <c r="W4" i="270"/>
  <c r="C2" i="268"/>
  <c r="C2" i="267"/>
  <c r="C2" i="269"/>
  <c r="V2" i="269"/>
  <c r="V2" i="267"/>
  <c r="V2" i="268"/>
  <c r="Q3" i="269"/>
  <c r="Q3" i="268"/>
  <c r="Q3" i="267"/>
  <c r="E3" i="269"/>
  <c r="E3" i="267"/>
  <c r="E3" i="268"/>
  <c r="I3" i="269"/>
  <c r="I3" i="267"/>
  <c r="I3" i="268"/>
  <c r="P4" i="263"/>
  <c r="P4" i="262"/>
  <c r="P4" i="261"/>
  <c r="O3" i="263"/>
  <c r="O3" i="261"/>
  <c r="O3" i="262"/>
  <c r="M2" i="263"/>
  <c r="M2" i="262"/>
  <c r="M2" i="261"/>
  <c r="L4" i="260"/>
  <c r="L4" i="258"/>
  <c r="L4" i="259"/>
  <c r="Q2" i="310"/>
  <c r="Q2" i="309"/>
  <c r="Q2" i="232"/>
  <c r="Q2" i="311"/>
  <c r="Q2" i="233"/>
  <c r="Q2" i="231"/>
  <c r="J2" i="262"/>
  <c r="J2" i="263"/>
  <c r="J2" i="261"/>
  <c r="N2" i="261"/>
  <c r="N2" i="262"/>
  <c r="N2" i="263"/>
  <c r="B2" i="263"/>
  <c r="B2" i="261"/>
  <c r="B2" i="262"/>
  <c r="U2" i="263"/>
  <c r="U2" i="261"/>
  <c r="U2" i="262"/>
  <c r="P3" i="263"/>
  <c r="P3" i="261"/>
  <c r="P3" i="262"/>
  <c r="K3" i="260"/>
  <c r="K3" i="258"/>
  <c r="K3" i="259"/>
  <c r="Y4" i="259"/>
  <c r="Y4" i="258"/>
  <c r="Y4" i="260"/>
  <c r="M4" i="258"/>
  <c r="M4" i="259"/>
  <c r="M4" i="260"/>
  <c r="Q4" i="260"/>
  <c r="Q4" i="258"/>
  <c r="Q4" i="259"/>
  <c r="Y3" i="272"/>
  <c r="Y3" i="270"/>
  <c r="Y3" i="271"/>
  <c r="I4" i="269"/>
  <c r="I4" i="267"/>
  <c r="I4" i="268"/>
  <c r="Y3" i="269"/>
  <c r="Y3" i="267"/>
  <c r="Y3" i="268"/>
  <c r="I2" i="260"/>
  <c r="I2" i="258"/>
  <c r="I2" i="259"/>
  <c r="T3" i="272"/>
  <c r="T3" i="270"/>
  <c r="T3" i="271"/>
  <c r="E3" i="261"/>
  <c r="E3" i="263"/>
  <c r="E3" i="262"/>
  <c r="F4" i="260"/>
  <c r="F4" i="259"/>
  <c r="F4" i="258"/>
  <c r="U3" i="270"/>
  <c r="U3" i="272"/>
  <c r="U3" i="271"/>
  <c r="T4" i="270"/>
  <c r="T4" i="272"/>
  <c r="T4" i="271"/>
  <c r="H2" i="270"/>
  <c r="H2" i="271"/>
  <c r="H2" i="272"/>
  <c r="S2" i="269"/>
  <c r="S2" i="267"/>
  <c r="S2" i="268"/>
  <c r="N3" i="267"/>
  <c r="N3" i="268"/>
  <c r="N3" i="269"/>
  <c r="U3" i="267"/>
  <c r="U3" i="268"/>
  <c r="U3" i="269"/>
  <c r="O4" i="232"/>
  <c r="O4" i="310"/>
  <c r="O4" i="309"/>
  <c r="O4" i="233"/>
  <c r="O4" i="231"/>
  <c r="O4" i="311"/>
  <c r="B3" i="263"/>
  <c r="B3" i="262"/>
  <c r="B3" i="261"/>
  <c r="F3" i="262"/>
  <c r="F3" i="263"/>
  <c r="F3" i="261"/>
  <c r="R2" i="261"/>
  <c r="R2" i="263"/>
  <c r="R2" i="262"/>
  <c r="M3" i="261"/>
  <c r="M3" i="262"/>
  <c r="M3" i="263"/>
  <c r="H4" i="263"/>
  <c r="H4" i="262"/>
  <c r="H4" i="261"/>
  <c r="C4" i="258"/>
  <c r="C4" i="260"/>
  <c r="C4" i="259"/>
  <c r="V4" i="260"/>
  <c r="V4" i="258"/>
  <c r="V4" i="259"/>
  <c r="J2" i="259"/>
  <c r="J2" i="260"/>
  <c r="J2" i="258"/>
  <c r="N2" i="259"/>
  <c r="N2" i="260"/>
  <c r="N2" i="258"/>
  <c r="B4" i="194"/>
  <c r="B4" i="182"/>
  <c r="B4" i="195"/>
  <c r="M4" i="270"/>
  <c r="M4" i="272"/>
  <c r="M4" i="271"/>
  <c r="Q4" i="272"/>
  <c r="Q4" i="270"/>
  <c r="Q4" i="271"/>
  <c r="E2" i="272"/>
  <c r="E2" i="271"/>
  <c r="E2" i="270"/>
  <c r="X2" i="272"/>
  <c r="X2" i="270"/>
  <c r="X2" i="271"/>
  <c r="K3" i="269"/>
  <c r="K3" i="268"/>
  <c r="K3" i="267"/>
  <c r="F4" i="269"/>
  <c r="F4" i="268"/>
  <c r="F4" i="267"/>
  <c r="Y4" i="269"/>
  <c r="Y4" i="267"/>
  <c r="Y4" i="268"/>
  <c r="M4" i="269"/>
  <c r="M4" i="268"/>
  <c r="M4" i="267"/>
  <c r="Q4" i="267"/>
  <c r="Q4" i="269"/>
  <c r="Q4" i="268"/>
  <c r="C2" i="309" l="1"/>
  <c r="C2" i="311"/>
  <c r="C2" i="233"/>
  <c r="C2" i="310"/>
  <c r="C2" i="231"/>
  <c r="C2" i="232"/>
  <c r="N4" i="220"/>
  <c r="N4" i="298"/>
  <c r="N4" i="297"/>
  <c r="N4" i="299"/>
  <c r="N4" i="221"/>
  <c r="N4" i="219"/>
  <c r="Y4" i="299"/>
  <c r="Y4" i="297"/>
  <c r="Y4" i="298"/>
  <c r="Y4" i="219"/>
  <c r="Y4" i="220"/>
  <c r="Y4" i="221"/>
  <c r="F2" i="197"/>
  <c r="F2" i="183"/>
  <c r="F2" i="196"/>
  <c r="P2" i="184"/>
  <c r="P2" i="200"/>
  <c r="P2" i="201"/>
  <c r="R4" i="202"/>
  <c r="R4" i="203"/>
  <c r="R4" i="185"/>
  <c r="G4" i="195"/>
  <c r="G4" i="194"/>
  <c r="G4" i="182"/>
  <c r="R2" i="182"/>
  <c r="R2" i="194"/>
  <c r="R2" i="195"/>
  <c r="L3" i="203"/>
  <c r="L3" i="202"/>
  <c r="L3" i="185"/>
  <c r="F4" i="219"/>
  <c r="F4" i="220"/>
  <c r="F4" i="299"/>
  <c r="F4" i="297"/>
  <c r="F4" i="298"/>
  <c r="F4" i="221"/>
  <c r="V3" i="308"/>
  <c r="V3" i="306"/>
  <c r="V3" i="307"/>
  <c r="V3" i="230"/>
  <c r="V3" i="229"/>
  <c r="V3" i="228"/>
  <c r="G4" i="298"/>
  <c r="G4" i="299"/>
  <c r="G4" i="221"/>
  <c r="G4" i="219"/>
  <c r="G4" i="220"/>
  <c r="G4" i="297"/>
  <c r="K4" i="307"/>
  <c r="K4" i="306"/>
  <c r="K4" i="308"/>
  <c r="K4" i="230"/>
  <c r="K4" i="228"/>
  <c r="K4" i="229"/>
  <c r="W3" i="229"/>
  <c r="W3" i="308"/>
  <c r="W3" i="306"/>
  <c r="W3" i="230"/>
  <c r="W3" i="228"/>
  <c r="W3" i="307"/>
  <c r="U3" i="222"/>
  <c r="U3" i="224"/>
  <c r="U3" i="302"/>
  <c r="U3" i="301"/>
  <c r="U3" i="300"/>
  <c r="U3" i="223"/>
  <c r="O3" i="221"/>
  <c r="O3" i="297"/>
  <c r="O3" i="298"/>
  <c r="O3" i="299"/>
  <c r="O3" i="220"/>
  <c r="O3" i="219"/>
  <c r="U4" i="223"/>
  <c r="U4" i="224"/>
  <c r="U4" i="222"/>
  <c r="U4" i="300"/>
  <c r="U4" i="301"/>
  <c r="U4" i="302"/>
  <c r="C2" i="299"/>
  <c r="C2" i="298"/>
  <c r="C2" i="297"/>
  <c r="C2" i="219"/>
  <c r="C2" i="220"/>
  <c r="C2" i="221"/>
  <c r="H2" i="311"/>
  <c r="H2" i="309"/>
  <c r="H2" i="310"/>
  <c r="H2" i="233"/>
  <c r="H2" i="232"/>
  <c r="H2" i="231"/>
  <c r="F2" i="299"/>
  <c r="F2" i="297"/>
  <c r="F2" i="298"/>
  <c r="F2" i="221"/>
  <c r="F2" i="220"/>
  <c r="F2" i="219"/>
  <c r="N2" i="231"/>
  <c r="N2" i="310"/>
  <c r="N2" i="309"/>
  <c r="N2" i="311"/>
  <c r="N2" i="233"/>
  <c r="N2" i="232"/>
  <c r="Q2" i="223"/>
  <c r="Q2" i="302"/>
  <c r="Q2" i="300"/>
  <c r="Q2" i="224"/>
  <c r="Q2" i="222"/>
  <c r="Q2" i="301"/>
  <c r="F4" i="301"/>
  <c r="F4" i="300"/>
  <c r="F4" i="302"/>
  <c r="F4" i="224"/>
  <c r="F4" i="222"/>
  <c r="F4" i="223"/>
  <c r="O4" i="307"/>
  <c r="O4" i="306"/>
  <c r="O4" i="308"/>
  <c r="O4" i="229"/>
  <c r="O4" i="228"/>
  <c r="O4" i="230"/>
  <c r="J3" i="298"/>
  <c r="J3" i="221"/>
  <c r="J3" i="219"/>
  <c r="J3" i="299"/>
  <c r="J3" i="297"/>
  <c r="J3" i="220"/>
  <c r="I4" i="182"/>
  <c r="I4" i="194"/>
  <c r="I4" i="195"/>
  <c r="L2" i="202"/>
  <c r="L2" i="185"/>
  <c r="L2" i="203"/>
  <c r="F4" i="185"/>
  <c r="F4" i="203"/>
  <c r="F4" i="202"/>
  <c r="N2" i="201"/>
  <c r="N2" i="184"/>
  <c r="N2" i="200"/>
  <c r="V2" i="184"/>
  <c r="V2" i="200"/>
  <c r="V2" i="201"/>
  <c r="D4" i="183"/>
  <c r="D4" i="196"/>
  <c r="D4" i="197"/>
  <c r="K3" i="297"/>
  <c r="K3" i="299"/>
  <c r="K3" i="298"/>
  <c r="K3" i="221"/>
  <c r="K3" i="219"/>
  <c r="K3" i="220"/>
  <c r="S4" i="219"/>
  <c r="S4" i="299"/>
  <c r="S4" i="298"/>
  <c r="S4" i="297"/>
  <c r="S4" i="220"/>
  <c r="S4" i="221"/>
  <c r="U3" i="230"/>
  <c r="U3" i="228"/>
  <c r="U3" i="307"/>
  <c r="U3" i="308"/>
  <c r="U3" i="306"/>
  <c r="U3" i="229"/>
  <c r="Y2" i="311"/>
  <c r="Y2" i="309"/>
  <c r="Y2" i="310"/>
  <c r="Y2" i="232"/>
  <c r="Y2" i="233"/>
  <c r="Y2" i="231"/>
  <c r="D4" i="302"/>
  <c r="D4" i="222"/>
  <c r="D4" i="223"/>
  <c r="D4" i="224"/>
  <c r="D4" i="301"/>
  <c r="D4" i="300"/>
  <c r="N3" i="301"/>
  <c r="N3" i="302"/>
  <c r="N3" i="300"/>
  <c r="N3" i="224"/>
  <c r="N3" i="222"/>
  <c r="N3" i="223"/>
  <c r="N3" i="229"/>
  <c r="N3" i="307"/>
  <c r="N3" i="306"/>
  <c r="N3" i="308"/>
  <c r="N3" i="230"/>
  <c r="N3" i="228"/>
  <c r="H3" i="182"/>
  <c r="H3" i="194"/>
  <c r="H3" i="195"/>
  <c r="D2" i="184"/>
  <c r="D2" i="201"/>
  <c r="D2" i="200"/>
  <c r="O2" i="196"/>
  <c r="O2" i="197"/>
  <c r="O2" i="183"/>
  <c r="S4" i="197"/>
  <c r="S4" i="183"/>
  <c r="S4" i="196"/>
  <c r="I2" i="185"/>
  <c r="I2" i="202"/>
  <c r="I2" i="203"/>
  <c r="W2" i="200"/>
  <c r="W2" i="184"/>
  <c r="W2" i="201"/>
  <c r="F3" i="200"/>
  <c r="F3" i="184"/>
  <c r="F3" i="201"/>
  <c r="U3" i="183"/>
  <c r="U3" i="196"/>
  <c r="U3" i="197"/>
  <c r="G4" i="197"/>
  <c r="G4" i="183"/>
  <c r="G4" i="196"/>
  <c r="W4" i="201"/>
  <c r="W4" i="200"/>
  <c r="W4" i="184"/>
  <c r="P4" i="196"/>
  <c r="P4" i="197"/>
  <c r="P4" i="183"/>
  <c r="W2" i="194"/>
  <c r="W2" i="182"/>
  <c r="W2" i="195"/>
  <c r="M2" i="297"/>
  <c r="M2" i="220"/>
  <c r="M2" i="221"/>
  <c r="M2" i="299"/>
  <c r="M2" i="298"/>
  <c r="M2" i="219"/>
  <c r="D4" i="182"/>
  <c r="D4" i="195"/>
  <c r="D4" i="194"/>
  <c r="E4" i="185"/>
  <c r="E4" i="202"/>
  <c r="E4" i="203"/>
  <c r="U4" i="196"/>
  <c r="U4" i="197"/>
  <c r="U4" i="183"/>
  <c r="O4" i="183"/>
  <c r="O4" i="197"/>
  <c r="O4" i="196"/>
  <c r="Y4" i="194"/>
  <c r="Y4" i="195"/>
  <c r="Y4" i="182"/>
  <c r="L4" i="184"/>
  <c r="L4" i="201"/>
  <c r="L4" i="200"/>
  <c r="Q4" i="182"/>
  <c r="Q4" i="194"/>
  <c r="Q4" i="195"/>
  <c r="M2" i="200"/>
  <c r="M2" i="184"/>
  <c r="M2" i="201"/>
  <c r="K2" i="203"/>
  <c r="K2" i="185"/>
  <c r="K2" i="202"/>
  <c r="B3" i="183"/>
  <c r="B3" i="197"/>
  <c r="B3" i="196"/>
  <c r="F3" i="203"/>
  <c r="F3" i="202"/>
  <c r="F3" i="185"/>
  <c r="G4" i="202"/>
  <c r="G4" i="203"/>
  <c r="G4" i="185"/>
  <c r="W2" i="203"/>
  <c r="W2" i="202"/>
  <c r="W2" i="185"/>
  <c r="Q2" i="197"/>
  <c r="Q2" i="183"/>
  <c r="Q2" i="196"/>
  <c r="V4" i="201"/>
  <c r="V4" i="184"/>
  <c r="V4" i="200"/>
  <c r="V2" i="203"/>
  <c r="V2" i="185"/>
  <c r="V2" i="202"/>
  <c r="X2" i="196"/>
  <c r="X2" i="197"/>
  <c r="X2" i="183"/>
  <c r="B2" i="197"/>
  <c r="B2" i="196"/>
  <c r="B2" i="183"/>
  <c r="P4" i="299"/>
  <c r="P4" i="221"/>
  <c r="P4" i="219"/>
  <c r="P4" i="220"/>
  <c r="P4" i="297"/>
  <c r="P4" i="298"/>
  <c r="X3" i="298"/>
  <c r="X3" i="297"/>
  <c r="X3" i="221"/>
  <c r="X3" i="219"/>
  <c r="X3" i="220"/>
  <c r="X3" i="299"/>
  <c r="Y3" i="223"/>
  <c r="Y3" i="301"/>
  <c r="Y3" i="222"/>
  <c r="Y3" i="224"/>
  <c r="Y3" i="300"/>
  <c r="Y3" i="302"/>
  <c r="W2" i="299"/>
  <c r="W2" i="297"/>
  <c r="W2" i="220"/>
  <c r="W2" i="298"/>
  <c r="W2" i="221"/>
  <c r="W2" i="219"/>
  <c r="D2" i="302"/>
  <c r="D2" i="300"/>
  <c r="D2" i="301"/>
  <c r="D2" i="223"/>
  <c r="D2" i="222"/>
  <c r="D2" i="224"/>
  <c r="B2" i="228"/>
  <c r="B2" i="229"/>
  <c r="B2" i="307"/>
  <c r="B2" i="308"/>
  <c r="B2" i="230"/>
  <c r="B2" i="306"/>
  <c r="L3" i="301"/>
  <c r="L3" i="302"/>
  <c r="L3" i="300"/>
  <c r="L3" i="222"/>
  <c r="L3" i="223"/>
  <c r="L3" i="224"/>
  <c r="X4" i="300"/>
  <c r="X4" i="301"/>
  <c r="X4" i="223"/>
  <c r="X4" i="224"/>
  <c r="X4" i="302"/>
  <c r="X4" i="222"/>
  <c r="F3" i="311"/>
  <c r="F3" i="309"/>
  <c r="F3" i="231"/>
  <c r="F3" i="232"/>
  <c r="F3" i="233"/>
  <c r="F3" i="310"/>
  <c r="I4" i="233"/>
  <c r="I4" i="309"/>
  <c r="I4" i="310"/>
  <c r="I4" i="231"/>
  <c r="I4" i="232"/>
  <c r="I4" i="311"/>
  <c r="C4" i="306"/>
  <c r="C4" i="307"/>
  <c r="C4" i="228"/>
  <c r="C4" i="229"/>
  <c r="C4" i="308"/>
  <c r="C4" i="230"/>
  <c r="X4" i="311"/>
  <c r="X4" i="309"/>
  <c r="X4" i="310"/>
  <c r="X4" i="233"/>
  <c r="X4" i="231"/>
  <c r="X4" i="232"/>
  <c r="I2" i="311"/>
  <c r="I2" i="309"/>
  <c r="I2" i="310"/>
  <c r="I2" i="231"/>
  <c r="I2" i="232"/>
  <c r="I2" i="233"/>
  <c r="J3" i="224"/>
  <c r="J3" i="223"/>
  <c r="J3" i="301"/>
  <c r="J3" i="300"/>
  <c r="J3" i="302"/>
  <c r="J3" i="222"/>
  <c r="H2" i="301"/>
  <c r="H2" i="224"/>
  <c r="H2" i="300"/>
  <c r="H2" i="223"/>
  <c r="H2" i="222"/>
  <c r="H2" i="302"/>
  <c r="L2" i="300"/>
  <c r="L2" i="302"/>
  <c r="L2" i="224"/>
  <c r="L2" i="222"/>
  <c r="L2" i="301"/>
  <c r="L2" i="223"/>
  <c r="I2" i="298"/>
  <c r="I2" i="219"/>
  <c r="I2" i="220"/>
  <c r="I2" i="221"/>
  <c r="I2" i="299"/>
  <c r="I2" i="297"/>
  <c r="E4" i="302"/>
  <c r="E4" i="223"/>
  <c r="E4" i="224"/>
  <c r="E4" i="222"/>
  <c r="E4" i="301"/>
  <c r="E4" i="300"/>
  <c r="Y4" i="196"/>
  <c r="Y4" i="183"/>
  <c r="Y4" i="197"/>
  <c r="X3" i="194"/>
  <c r="X3" i="182"/>
  <c r="X3" i="195"/>
  <c r="F4" i="196"/>
  <c r="F4" i="183"/>
  <c r="F4" i="197"/>
  <c r="C3" i="300"/>
  <c r="C3" i="302"/>
  <c r="C3" i="301"/>
  <c r="C3" i="224"/>
  <c r="C3" i="222"/>
  <c r="C3" i="223"/>
  <c r="U2" i="311"/>
  <c r="U2" i="232"/>
  <c r="U2" i="233"/>
  <c r="U2" i="309"/>
  <c r="U2" i="231"/>
  <c r="U2" i="310"/>
  <c r="V2" i="310"/>
  <c r="V2" i="233"/>
  <c r="V2" i="231"/>
  <c r="V2" i="311"/>
  <c r="V2" i="309"/>
  <c r="V2" i="232"/>
  <c r="N4" i="302"/>
  <c r="N4" i="300"/>
  <c r="N4" i="301"/>
  <c r="N4" i="224"/>
  <c r="N4" i="223"/>
  <c r="N4" i="222"/>
  <c r="C2" i="201"/>
  <c r="C2" i="184"/>
  <c r="C2" i="200"/>
  <c r="Q4" i="302"/>
  <c r="Q4" i="222"/>
  <c r="Q4" i="224"/>
  <c r="Q4" i="300"/>
  <c r="Q4" i="301"/>
  <c r="Q4" i="223"/>
  <c r="N3" i="183"/>
  <c r="N3" i="196"/>
  <c r="N3" i="197"/>
  <c r="L4" i="197"/>
  <c r="L4" i="196"/>
  <c r="L4" i="183"/>
  <c r="M2" i="182"/>
  <c r="M2" i="194"/>
  <c r="M2" i="195"/>
  <c r="G2" i="224"/>
  <c r="G2" i="222"/>
  <c r="G2" i="300"/>
  <c r="G2" i="301"/>
  <c r="G2" i="302"/>
  <c r="G2" i="223"/>
  <c r="Q3" i="220"/>
  <c r="Q3" i="221"/>
  <c r="Q3" i="299"/>
  <c r="Q3" i="297"/>
  <c r="Q3" i="298"/>
  <c r="Q3" i="219"/>
  <c r="K4" i="182"/>
  <c r="K4" i="195"/>
  <c r="K4" i="194"/>
  <c r="M4" i="196"/>
  <c r="M4" i="183"/>
  <c r="M4" i="197"/>
  <c r="T3" i="203"/>
  <c r="T3" i="202"/>
  <c r="T3" i="185"/>
  <c r="C3" i="309"/>
  <c r="C3" i="233"/>
  <c r="C3" i="311"/>
  <c r="C3" i="231"/>
  <c r="C3" i="232"/>
  <c r="C3" i="310"/>
  <c r="W3" i="231"/>
  <c r="W3" i="232"/>
  <c r="W3" i="309"/>
  <c r="W3" i="311"/>
  <c r="W3" i="310"/>
  <c r="W3" i="233"/>
  <c r="R3" i="232"/>
  <c r="R3" i="231"/>
  <c r="R3" i="233"/>
  <c r="R3" i="309"/>
  <c r="R3" i="310"/>
  <c r="R3" i="311"/>
  <c r="V2" i="301"/>
  <c r="V2" i="302"/>
  <c r="V2" i="300"/>
  <c r="V2" i="222"/>
  <c r="V2" i="223"/>
  <c r="V2" i="224"/>
  <c r="U4" i="297"/>
  <c r="U4" i="219"/>
  <c r="U4" i="299"/>
  <c r="U4" i="220"/>
  <c r="U4" i="221"/>
  <c r="U4" i="298"/>
  <c r="S3" i="224"/>
  <c r="S3" i="222"/>
  <c r="S3" i="302"/>
  <c r="S3" i="301"/>
  <c r="S3" i="300"/>
  <c r="S3" i="223"/>
  <c r="G3" i="220"/>
  <c r="G3" i="219"/>
  <c r="G3" i="297"/>
  <c r="G3" i="221"/>
  <c r="G3" i="299"/>
  <c r="G3" i="298"/>
  <c r="Y3" i="298"/>
  <c r="Y3" i="299"/>
  <c r="Y3" i="297"/>
  <c r="Y3" i="220"/>
  <c r="Y3" i="219"/>
  <c r="Y3" i="221"/>
  <c r="I2" i="306"/>
  <c r="I2" i="229"/>
  <c r="I2" i="308"/>
  <c r="I2" i="228"/>
  <c r="I2" i="230"/>
  <c r="I2" i="307"/>
  <c r="T4" i="220"/>
  <c r="T4" i="221"/>
  <c r="T4" i="297"/>
  <c r="T4" i="299"/>
  <c r="T4" i="298"/>
  <c r="T4" i="219"/>
  <c r="I4" i="229"/>
  <c r="I4" i="228"/>
  <c r="I4" i="308"/>
  <c r="I4" i="230"/>
  <c r="I4" i="307"/>
  <c r="I4" i="306"/>
  <c r="W2" i="310"/>
  <c r="W2" i="311"/>
  <c r="W2" i="309"/>
  <c r="W2" i="232"/>
  <c r="W2" i="233"/>
  <c r="W2" i="231"/>
  <c r="G3" i="308"/>
  <c r="G3" i="228"/>
  <c r="G3" i="306"/>
  <c r="G3" i="307"/>
  <c r="G3" i="229"/>
  <c r="G3" i="230"/>
  <c r="F3" i="228"/>
  <c r="F3" i="229"/>
  <c r="F3" i="308"/>
  <c r="F3" i="306"/>
  <c r="F3" i="307"/>
  <c r="F3" i="230"/>
  <c r="T2" i="219"/>
  <c r="T2" i="297"/>
  <c r="T2" i="298"/>
  <c r="T2" i="221"/>
  <c r="T2" i="220"/>
  <c r="T2" i="299"/>
  <c r="I4" i="299"/>
  <c r="I4" i="297"/>
  <c r="I4" i="219"/>
  <c r="I4" i="220"/>
  <c r="I4" i="298"/>
  <c r="I4" i="221"/>
  <c r="R2" i="310"/>
  <c r="R2" i="311"/>
  <c r="R2" i="309"/>
  <c r="R2" i="232"/>
  <c r="R2" i="231"/>
  <c r="R2" i="233"/>
  <c r="L2" i="228"/>
  <c r="L2" i="229"/>
  <c r="L2" i="307"/>
  <c r="L2" i="306"/>
  <c r="L2" i="230"/>
  <c r="L2" i="308"/>
  <c r="U3" i="203"/>
  <c r="U3" i="185"/>
  <c r="U3" i="202"/>
  <c r="W3" i="194"/>
  <c r="W3" i="182"/>
  <c r="W3" i="195"/>
  <c r="H2" i="200"/>
  <c r="H2" i="184"/>
  <c r="H2" i="201"/>
  <c r="L2" i="200"/>
  <c r="L2" i="184"/>
  <c r="L2" i="201"/>
  <c r="T4" i="197"/>
  <c r="T4" i="183"/>
  <c r="T4" i="196"/>
  <c r="S2" i="201"/>
  <c r="S2" i="184"/>
  <c r="S2" i="200"/>
  <c r="T2" i="231"/>
  <c r="T2" i="311"/>
  <c r="T2" i="310"/>
  <c r="T2" i="232"/>
  <c r="T2" i="233"/>
  <c r="T2" i="309"/>
  <c r="D2" i="311"/>
  <c r="D2" i="231"/>
  <c r="D2" i="232"/>
  <c r="D2" i="233"/>
  <c r="D2" i="310"/>
  <c r="D2" i="309"/>
  <c r="H3" i="230"/>
  <c r="H3" i="308"/>
  <c r="H3" i="306"/>
  <c r="H3" i="307"/>
  <c r="H3" i="228"/>
  <c r="H3" i="229"/>
  <c r="R3" i="220"/>
  <c r="R3" i="299"/>
  <c r="R3" i="298"/>
  <c r="R3" i="297"/>
  <c r="R3" i="221"/>
  <c r="R3" i="219"/>
  <c r="M4" i="302"/>
  <c r="M4" i="222"/>
  <c r="M4" i="224"/>
  <c r="M4" i="301"/>
  <c r="M4" i="300"/>
  <c r="M4" i="223"/>
  <c r="W2" i="300"/>
  <c r="W2" i="301"/>
  <c r="W2" i="302"/>
  <c r="W2" i="223"/>
  <c r="W2" i="224"/>
  <c r="W2" i="222"/>
  <c r="H4" i="311"/>
  <c r="H4" i="233"/>
  <c r="H4" i="232"/>
  <c r="H4" i="309"/>
  <c r="H4" i="310"/>
  <c r="H4" i="231"/>
  <c r="H4" i="220"/>
  <c r="H4" i="219"/>
  <c r="H4" i="299"/>
  <c r="H4" i="297"/>
  <c r="H4" i="298"/>
  <c r="H4" i="221"/>
  <c r="M3" i="231"/>
  <c r="M3" i="311"/>
  <c r="M3" i="309"/>
  <c r="M3" i="232"/>
  <c r="M3" i="233"/>
  <c r="M3" i="310"/>
  <c r="N3" i="221"/>
  <c r="N3" i="219"/>
  <c r="N3" i="299"/>
  <c r="N3" i="297"/>
  <c r="N3" i="298"/>
  <c r="N3" i="220"/>
  <c r="P4" i="222"/>
  <c r="P4" i="223"/>
  <c r="P4" i="302"/>
  <c r="P4" i="301"/>
  <c r="P4" i="300"/>
  <c r="P4" i="224"/>
  <c r="H2" i="230"/>
  <c r="H2" i="308"/>
  <c r="H2" i="306"/>
  <c r="H2" i="307"/>
  <c r="H2" i="228"/>
  <c r="H2" i="229"/>
  <c r="I2" i="302"/>
  <c r="I2" i="223"/>
  <c r="I2" i="224"/>
  <c r="I2" i="301"/>
  <c r="I2" i="300"/>
  <c r="I2" i="222"/>
  <c r="C2" i="228"/>
  <c r="C2" i="230"/>
  <c r="C2" i="307"/>
  <c r="C2" i="306"/>
  <c r="C2" i="308"/>
  <c r="C2" i="229"/>
  <c r="G4" i="311"/>
  <c r="G4" i="309"/>
  <c r="G4" i="310"/>
  <c r="G4" i="233"/>
  <c r="G4" i="231"/>
  <c r="G4" i="232"/>
  <c r="E3" i="299"/>
  <c r="E3" i="219"/>
  <c r="E3" i="297"/>
  <c r="E3" i="220"/>
  <c r="E3" i="298"/>
  <c r="E3" i="221"/>
  <c r="X3" i="232"/>
  <c r="X3" i="231"/>
  <c r="X3" i="233"/>
  <c r="X3" i="309"/>
  <c r="X3" i="310"/>
  <c r="X3" i="311"/>
  <c r="Y3" i="308"/>
  <c r="Y3" i="306"/>
  <c r="Y3" i="307"/>
  <c r="Y3" i="228"/>
  <c r="Y3" i="229"/>
  <c r="Y3" i="230"/>
  <c r="B3" i="200"/>
  <c r="B3" i="201"/>
  <c r="B3" i="184"/>
  <c r="Q3" i="196"/>
  <c r="Q3" i="197"/>
  <c r="Q3" i="183"/>
  <c r="H2" i="197"/>
  <c r="H2" i="183"/>
  <c r="H2" i="196"/>
  <c r="K2" i="196"/>
  <c r="K2" i="183"/>
  <c r="K2" i="197"/>
  <c r="T2" i="307"/>
  <c r="T2" i="308"/>
  <c r="T2" i="306"/>
  <c r="T2" i="229"/>
  <c r="T2" i="230"/>
  <c r="T2" i="228"/>
  <c r="T4" i="311"/>
  <c r="T4" i="310"/>
  <c r="T4" i="309"/>
  <c r="T4" i="232"/>
  <c r="T4" i="233"/>
  <c r="T4" i="231"/>
  <c r="R3" i="185"/>
  <c r="R3" i="202"/>
  <c r="R3" i="203"/>
  <c r="S3" i="195"/>
  <c r="S3" i="182"/>
  <c r="S3" i="194"/>
  <c r="K4" i="201"/>
  <c r="K4" i="200"/>
  <c r="K4" i="184"/>
  <c r="N3" i="185"/>
  <c r="N3" i="203"/>
  <c r="N3" i="202"/>
  <c r="Q4" i="184"/>
  <c r="Q4" i="201"/>
  <c r="Q4" i="200"/>
  <c r="O4" i="302"/>
  <c r="O4" i="301"/>
  <c r="O4" i="300"/>
  <c r="O4" i="224"/>
  <c r="O4" i="222"/>
  <c r="O4" i="223"/>
  <c r="P3" i="298"/>
  <c r="P3" i="221"/>
  <c r="P3" i="297"/>
  <c r="P3" i="299"/>
  <c r="P3" i="219"/>
  <c r="P3" i="220"/>
  <c r="R2" i="203"/>
  <c r="R2" i="185"/>
  <c r="R2" i="202"/>
  <c r="D4" i="185"/>
  <c r="D4" i="202"/>
  <c r="D4" i="203"/>
  <c r="V2" i="195"/>
  <c r="V2" i="182"/>
  <c r="V2" i="194"/>
  <c r="Y3" i="194"/>
  <c r="Y3" i="182"/>
  <c r="Y3" i="195"/>
  <c r="K4" i="183"/>
  <c r="K4" i="197"/>
  <c r="K4" i="196"/>
  <c r="S2" i="195"/>
  <c r="S2" i="182"/>
  <c r="S2" i="194"/>
  <c r="R3" i="196"/>
  <c r="R3" i="183"/>
  <c r="R3" i="197"/>
  <c r="S3" i="203"/>
  <c r="S3" i="202"/>
  <c r="S3" i="185"/>
  <c r="X3" i="203"/>
  <c r="X3" i="185"/>
  <c r="X3" i="202"/>
  <c r="B3" i="202"/>
  <c r="B3" i="203"/>
  <c r="B3" i="185"/>
  <c r="X4" i="194"/>
  <c r="X4" i="182"/>
  <c r="X4" i="195"/>
  <c r="I2" i="182"/>
  <c r="I2" i="194"/>
  <c r="I2" i="195"/>
  <c r="L4" i="195"/>
  <c r="L4" i="182"/>
  <c r="L4" i="194"/>
  <c r="P4" i="203"/>
  <c r="P4" i="202"/>
  <c r="P4" i="185"/>
  <c r="X3" i="197"/>
  <c r="X3" i="183"/>
  <c r="X3" i="196"/>
  <c r="U2" i="197"/>
  <c r="U2" i="183"/>
  <c r="U2" i="196"/>
  <c r="R4" i="183"/>
  <c r="R4" i="197"/>
  <c r="R4" i="196"/>
  <c r="N3" i="184"/>
  <c r="N3" i="201"/>
  <c r="N3" i="200"/>
  <c r="Y2" i="184"/>
  <c r="Y2" i="200"/>
  <c r="Y2" i="201"/>
  <c r="B2" i="203"/>
  <c r="B2" i="185"/>
  <c r="B2" i="202"/>
  <c r="E4" i="194"/>
  <c r="E4" i="182"/>
  <c r="E4" i="195"/>
  <c r="T4" i="194"/>
  <c r="T4" i="195"/>
  <c r="T4" i="182"/>
  <c r="C4" i="182"/>
  <c r="C4" i="195"/>
  <c r="C4" i="194"/>
  <c r="I2" i="183"/>
  <c r="I2" i="197"/>
  <c r="I2" i="196"/>
  <c r="M3" i="184"/>
  <c r="M3" i="200"/>
  <c r="M3" i="201"/>
  <c r="E4" i="308"/>
  <c r="E4" i="306"/>
  <c r="E4" i="307"/>
  <c r="E4" i="230"/>
  <c r="E4" i="229"/>
  <c r="E4" i="228"/>
  <c r="I3" i="306"/>
  <c r="I3" i="307"/>
  <c r="I3" i="308"/>
  <c r="I3" i="228"/>
  <c r="I3" i="229"/>
  <c r="I3" i="230"/>
  <c r="R4" i="223"/>
  <c r="R4" i="222"/>
  <c r="R4" i="224"/>
  <c r="R4" i="300"/>
  <c r="R4" i="301"/>
  <c r="R4" i="302"/>
  <c r="L4" i="298"/>
  <c r="L4" i="299"/>
  <c r="L4" i="221"/>
  <c r="L4" i="297"/>
  <c r="L4" i="220"/>
  <c r="L4" i="219"/>
  <c r="Q2" i="308"/>
  <c r="Q2" i="306"/>
  <c r="Q2" i="307"/>
  <c r="Q2" i="228"/>
  <c r="Q2" i="229"/>
  <c r="Q2" i="230"/>
  <c r="W4" i="297"/>
  <c r="W4" i="220"/>
  <c r="W4" i="221"/>
  <c r="W4" i="219"/>
  <c r="W4" i="298"/>
  <c r="W4" i="299"/>
  <c r="K4" i="223"/>
  <c r="K4" i="302"/>
  <c r="K4" i="300"/>
  <c r="K4" i="301"/>
  <c r="K4" i="224"/>
  <c r="K4" i="222"/>
  <c r="O4" i="219"/>
  <c r="O4" i="221"/>
  <c r="O4" i="220"/>
  <c r="O4" i="299"/>
  <c r="O4" i="297"/>
  <c r="O4" i="298"/>
  <c r="N4" i="310"/>
  <c r="N4" i="309"/>
  <c r="N4" i="233"/>
  <c r="N4" i="311"/>
  <c r="N4" i="231"/>
  <c r="N4" i="232"/>
  <c r="Q3" i="300"/>
  <c r="Q3" i="302"/>
  <c r="Q3" i="301"/>
  <c r="Q3" i="223"/>
  <c r="Q3" i="224"/>
  <c r="Q3" i="222"/>
  <c r="J4" i="222"/>
  <c r="J4" i="223"/>
  <c r="J4" i="224"/>
  <c r="J4" i="302"/>
  <c r="J4" i="301"/>
  <c r="J4" i="300"/>
  <c r="G4" i="301"/>
  <c r="G4" i="222"/>
  <c r="G4" i="223"/>
  <c r="G4" i="224"/>
  <c r="G4" i="302"/>
  <c r="G4" i="300"/>
  <c r="D3" i="297"/>
  <c r="D3" i="298"/>
  <c r="D3" i="299"/>
  <c r="D3" i="220"/>
  <c r="D3" i="221"/>
  <c r="D3" i="219"/>
  <c r="W2" i="230"/>
  <c r="W2" i="228"/>
  <c r="W2" i="229"/>
  <c r="W2" i="306"/>
  <c r="W2" i="308"/>
  <c r="W2" i="307"/>
  <c r="E4" i="231"/>
  <c r="E4" i="310"/>
  <c r="E4" i="309"/>
  <c r="E4" i="311"/>
  <c r="E4" i="233"/>
  <c r="E4" i="232"/>
  <c r="C3" i="221"/>
  <c r="C3" i="297"/>
  <c r="C3" i="299"/>
  <c r="C3" i="219"/>
  <c r="C3" i="220"/>
  <c r="C3" i="298"/>
  <c r="S3" i="310"/>
  <c r="S3" i="311"/>
  <c r="S3" i="231"/>
  <c r="S3" i="309"/>
  <c r="S3" i="233"/>
  <c r="S3" i="232"/>
  <c r="P3" i="308"/>
  <c r="P3" i="307"/>
  <c r="P3" i="306"/>
  <c r="P3" i="230"/>
  <c r="P3" i="229"/>
  <c r="P3" i="228"/>
  <c r="Y3" i="183"/>
  <c r="Y3" i="196"/>
  <c r="Y3" i="197"/>
  <c r="F2" i="307"/>
  <c r="F2" i="308"/>
  <c r="F2" i="306"/>
  <c r="F2" i="230"/>
  <c r="F2" i="228"/>
  <c r="F2" i="229"/>
  <c r="X4" i="200"/>
  <c r="X4" i="184"/>
  <c r="X4" i="201"/>
  <c r="O2" i="298"/>
  <c r="O2" i="299"/>
  <c r="O2" i="220"/>
  <c r="O2" i="297"/>
  <c r="O2" i="221"/>
  <c r="O2" i="219"/>
  <c r="N4" i="307"/>
  <c r="N4" i="229"/>
  <c r="N4" i="306"/>
  <c r="N4" i="308"/>
  <c r="N4" i="230"/>
  <c r="N4" i="228"/>
  <c r="D3" i="183"/>
  <c r="D3" i="196"/>
  <c r="D3" i="197"/>
  <c r="B2" i="184"/>
  <c r="B2" i="200"/>
  <c r="B2" i="201"/>
  <c r="G2" i="185"/>
  <c r="G2" i="202"/>
  <c r="G2" i="203"/>
  <c r="L3" i="309"/>
  <c r="L3" i="311"/>
  <c r="L3" i="310"/>
  <c r="L3" i="231"/>
  <c r="L3" i="233"/>
  <c r="L3" i="232"/>
  <c r="E4" i="197"/>
  <c r="E4" i="196"/>
  <c r="E4" i="183"/>
  <c r="S4" i="302"/>
  <c r="S4" i="301"/>
  <c r="S4" i="223"/>
  <c r="S4" i="224"/>
  <c r="S4" i="300"/>
  <c r="S4" i="222"/>
  <c r="N2" i="298"/>
  <c r="N2" i="297"/>
  <c r="N2" i="299"/>
  <c r="N2" i="220"/>
  <c r="N2" i="221"/>
  <c r="N2" i="219"/>
  <c r="B2" i="223"/>
  <c r="B2" i="301"/>
  <c r="B2" i="224"/>
  <c r="B2" i="302"/>
  <c r="B2" i="300"/>
  <c r="B2" i="222"/>
  <c r="Q4" i="197"/>
  <c r="Q4" i="183"/>
  <c r="Q4" i="196"/>
  <c r="M4" i="310"/>
  <c r="M4" i="309"/>
  <c r="M4" i="231"/>
  <c r="M4" i="311"/>
  <c r="M4" i="233"/>
  <c r="M4" i="232"/>
  <c r="V4" i="308"/>
  <c r="V4" i="230"/>
  <c r="V4" i="306"/>
  <c r="V4" i="307"/>
  <c r="V4" i="228"/>
  <c r="V4" i="229"/>
  <c r="O3" i="310"/>
  <c r="O3" i="311"/>
  <c r="O3" i="309"/>
  <c r="O3" i="233"/>
  <c r="O3" i="231"/>
  <c r="O3" i="232"/>
  <c r="C2" i="195"/>
  <c r="C2" i="182"/>
  <c r="C2" i="194"/>
  <c r="N4" i="201"/>
  <c r="N4" i="184"/>
  <c r="N4" i="200"/>
  <c r="P2" i="194"/>
  <c r="P2" i="195"/>
  <c r="P2" i="182"/>
  <c r="V4" i="183"/>
  <c r="V4" i="197"/>
  <c r="V4" i="196"/>
  <c r="U2" i="201"/>
  <c r="U2" i="184"/>
  <c r="U2" i="200"/>
  <c r="O4" i="185"/>
  <c r="O4" i="203"/>
  <c r="O4" i="202"/>
  <c r="O3" i="194"/>
  <c r="O3" i="195"/>
  <c r="O3" i="182"/>
  <c r="N4" i="195"/>
  <c r="N4" i="182"/>
  <c r="N4" i="194"/>
  <c r="X3" i="308"/>
  <c r="X3" i="307"/>
  <c r="X3" i="230"/>
  <c r="X3" i="306"/>
  <c r="X3" i="228"/>
  <c r="X3" i="229"/>
  <c r="B4" i="302"/>
  <c r="B4" i="301"/>
  <c r="B4" i="222"/>
  <c r="B4" i="223"/>
  <c r="B4" i="224"/>
  <c r="B4" i="300"/>
  <c r="P2" i="223"/>
  <c r="P2" i="222"/>
  <c r="P2" i="302"/>
  <c r="P2" i="300"/>
  <c r="P2" i="224"/>
  <c r="P2" i="301"/>
  <c r="B3" i="232"/>
  <c r="B3" i="309"/>
  <c r="B3" i="231"/>
  <c r="B3" i="310"/>
  <c r="B3" i="311"/>
  <c r="B3" i="233"/>
  <c r="X4" i="299"/>
  <c r="X4" i="298"/>
  <c r="X4" i="297"/>
  <c r="X4" i="219"/>
  <c r="X4" i="220"/>
  <c r="X4" i="221"/>
  <c r="W3" i="224"/>
  <c r="W3" i="223"/>
  <c r="W3" i="222"/>
  <c r="W3" i="301"/>
  <c r="W3" i="302"/>
  <c r="W3" i="300"/>
  <c r="M3" i="223"/>
  <c r="M3" i="224"/>
  <c r="M3" i="222"/>
  <c r="M3" i="302"/>
  <c r="M3" i="301"/>
  <c r="M3" i="300"/>
  <c r="X3" i="200"/>
  <c r="X3" i="201"/>
  <c r="X3" i="184"/>
  <c r="N2" i="197"/>
  <c r="N2" i="183"/>
  <c r="N2" i="196"/>
  <c r="Y3" i="185"/>
  <c r="Y3" i="203"/>
  <c r="Y3" i="202"/>
  <c r="W3" i="185"/>
  <c r="W3" i="202"/>
  <c r="W3" i="203"/>
  <c r="C4" i="196"/>
  <c r="C4" i="197"/>
  <c r="C4" i="183"/>
  <c r="H4" i="184"/>
  <c r="H4" i="201"/>
  <c r="H4" i="200"/>
  <c r="O4" i="184"/>
  <c r="O4" i="200"/>
  <c r="O4" i="201"/>
  <c r="R2" i="197"/>
  <c r="R2" i="196"/>
  <c r="R2" i="183"/>
  <c r="H4" i="197"/>
  <c r="H4" i="183"/>
  <c r="H4" i="196"/>
  <c r="S3" i="196"/>
  <c r="S3" i="183"/>
  <c r="S3" i="197"/>
  <c r="F4" i="195"/>
  <c r="F4" i="194"/>
  <c r="F4" i="182"/>
  <c r="I4" i="183"/>
  <c r="I4" i="196"/>
  <c r="I4" i="197"/>
  <c r="C2" i="197"/>
  <c r="C2" i="196"/>
  <c r="C2" i="183"/>
  <c r="Q4" i="185"/>
  <c r="Q4" i="203"/>
  <c r="Q4" i="202"/>
  <c r="U2" i="194"/>
  <c r="U2" i="182"/>
  <c r="U2" i="195"/>
  <c r="T3" i="182"/>
  <c r="T3" i="194"/>
  <c r="T3" i="195"/>
  <c r="L2" i="195"/>
  <c r="L2" i="182"/>
  <c r="L2" i="194"/>
  <c r="J2" i="196"/>
  <c r="J2" i="197"/>
  <c r="J2" i="183"/>
  <c r="U2" i="307"/>
  <c r="U2" i="308"/>
  <c r="U2" i="306"/>
  <c r="U2" i="229"/>
  <c r="U2" i="230"/>
  <c r="U2" i="228"/>
  <c r="B2" i="311"/>
  <c r="B2" i="232"/>
  <c r="B2" i="310"/>
  <c r="B2" i="309"/>
  <c r="B2" i="231"/>
  <c r="B2" i="233"/>
  <c r="H4" i="300"/>
  <c r="H4" i="301"/>
  <c r="H4" i="302"/>
  <c r="H4" i="224"/>
  <c r="H4" i="222"/>
  <c r="H4" i="223"/>
  <c r="D2" i="228"/>
  <c r="D2" i="229"/>
  <c r="D2" i="307"/>
  <c r="D2" i="308"/>
  <c r="D2" i="230"/>
  <c r="D2" i="306"/>
  <c r="L4" i="310"/>
  <c r="L4" i="309"/>
  <c r="L4" i="311"/>
  <c r="L4" i="233"/>
  <c r="L4" i="232"/>
  <c r="L4" i="231"/>
  <c r="B3" i="299"/>
  <c r="B3" i="298"/>
  <c r="B3" i="297"/>
  <c r="B3" i="221"/>
  <c r="B3" i="219"/>
  <c r="B3" i="220"/>
  <c r="U2" i="222"/>
  <c r="U2" i="300"/>
  <c r="U2" i="223"/>
  <c r="U2" i="302"/>
  <c r="U2" i="301"/>
  <c r="U2" i="224"/>
  <c r="F4" i="232"/>
  <c r="F4" i="309"/>
  <c r="F4" i="233"/>
  <c r="F4" i="311"/>
  <c r="F4" i="310"/>
  <c r="F4" i="231"/>
  <c r="K3" i="306"/>
  <c r="K3" i="308"/>
  <c r="K3" i="230"/>
  <c r="K3" i="229"/>
  <c r="K3" i="228"/>
  <c r="K3" i="307"/>
  <c r="R4" i="306"/>
  <c r="R4" i="229"/>
  <c r="R4" i="308"/>
  <c r="R4" i="307"/>
  <c r="R4" i="228"/>
  <c r="R4" i="230"/>
  <c r="I3" i="310"/>
  <c r="I3" i="309"/>
  <c r="I3" i="311"/>
  <c r="I3" i="231"/>
  <c r="I3" i="232"/>
  <c r="I3" i="233"/>
  <c r="C3" i="306"/>
  <c r="C3" i="307"/>
  <c r="C3" i="228"/>
  <c r="C3" i="230"/>
  <c r="C3" i="229"/>
  <c r="C3" i="308"/>
  <c r="P2" i="306"/>
  <c r="P2" i="230"/>
  <c r="P2" i="229"/>
  <c r="P2" i="307"/>
  <c r="P2" i="228"/>
  <c r="P2" i="308"/>
  <c r="O2" i="301"/>
  <c r="O2" i="302"/>
  <c r="O2" i="300"/>
  <c r="O2" i="223"/>
  <c r="O2" i="224"/>
  <c r="O2" i="222"/>
  <c r="K4" i="231"/>
  <c r="K4" i="310"/>
  <c r="K4" i="311"/>
  <c r="K4" i="309"/>
  <c r="K4" i="233"/>
  <c r="K4" i="232"/>
  <c r="M3" i="221"/>
  <c r="M3" i="219"/>
  <c r="M3" i="220"/>
  <c r="M3" i="298"/>
  <c r="M3" i="297"/>
  <c r="M3" i="299"/>
  <c r="X4" i="306"/>
  <c r="X4" i="308"/>
  <c r="X4" i="229"/>
  <c r="X4" i="307"/>
  <c r="X4" i="228"/>
  <c r="X4" i="230"/>
  <c r="S4" i="307"/>
  <c r="S4" i="308"/>
  <c r="S4" i="306"/>
  <c r="S4" i="229"/>
  <c r="S4" i="228"/>
  <c r="S4" i="230"/>
  <c r="G4" i="184"/>
  <c r="G4" i="200"/>
  <c r="G4" i="201"/>
  <c r="M3" i="194"/>
  <c r="M3" i="182"/>
  <c r="M3" i="195"/>
  <c r="S3" i="220"/>
  <c r="S3" i="221"/>
  <c r="S3" i="299"/>
  <c r="S3" i="297"/>
  <c r="S3" i="298"/>
  <c r="S3" i="219"/>
  <c r="M4" i="202"/>
  <c r="M4" i="203"/>
  <c r="M4" i="185"/>
  <c r="I3" i="197"/>
  <c r="I3" i="196"/>
  <c r="I3" i="183"/>
  <c r="E2" i="203"/>
  <c r="E2" i="185"/>
  <c r="E2" i="202"/>
  <c r="B2" i="194"/>
  <c r="B2" i="182"/>
  <c r="B2" i="195"/>
  <c r="J2" i="221"/>
  <c r="J2" i="219"/>
  <c r="J2" i="220"/>
  <c r="J2" i="299"/>
  <c r="J2" i="297"/>
  <c r="J2" i="298"/>
  <c r="N2" i="302"/>
  <c r="N2" i="300"/>
  <c r="N2" i="222"/>
  <c r="N2" i="223"/>
  <c r="N2" i="301"/>
  <c r="N2" i="224"/>
  <c r="M2" i="300"/>
  <c r="M2" i="224"/>
  <c r="M2" i="223"/>
  <c r="M2" i="302"/>
  <c r="M2" i="222"/>
  <c r="M2" i="301"/>
  <c r="R2" i="222"/>
  <c r="R2" i="302"/>
  <c r="R2" i="223"/>
  <c r="R2" i="300"/>
  <c r="R2" i="301"/>
  <c r="R2" i="224"/>
  <c r="X2" i="230"/>
  <c r="X2" i="228"/>
  <c r="X2" i="229"/>
  <c r="X2" i="306"/>
  <c r="X2" i="307"/>
  <c r="X2" i="308"/>
  <c r="R2" i="307"/>
  <c r="R2" i="308"/>
  <c r="R2" i="228"/>
  <c r="R2" i="229"/>
  <c r="R2" i="306"/>
  <c r="R2" i="230"/>
  <c r="G2" i="197"/>
  <c r="G2" i="183"/>
  <c r="G2" i="196"/>
  <c r="J2" i="200"/>
  <c r="J2" i="184"/>
  <c r="J2" i="201"/>
  <c r="P2" i="202"/>
  <c r="P2" i="203"/>
  <c r="P2" i="185"/>
  <c r="Q3" i="203"/>
  <c r="Q3" i="185"/>
  <c r="Q3" i="202"/>
  <c r="G3" i="311"/>
  <c r="G3" i="309"/>
  <c r="G3" i="310"/>
  <c r="G3" i="233"/>
  <c r="G3" i="231"/>
  <c r="G3" i="232"/>
  <c r="H4" i="307"/>
  <c r="H4" i="306"/>
  <c r="H4" i="229"/>
  <c r="H4" i="308"/>
  <c r="H4" i="228"/>
  <c r="H4" i="230"/>
  <c r="J3" i="306"/>
  <c r="J3" i="307"/>
  <c r="J3" i="308"/>
  <c r="J3" i="230"/>
  <c r="J3" i="228"/>
  <c r="J3" i="229"/>
  <c r="K2" i="182"/>
  <c r="K2" i="195"/>
  <c r="K2" i="194"/>
  <c r="X4" i="202"/>
  <c r="X4" i="185"/>
  <c r="X4" i="203"/>
  <c r="T4" i="184"/>
  <c r="T4" i="200"/>
  <c r="T4" i="201"/>
  <c r="N4" i="183"/>
  <c r="N4" i="196"/>
  <c r="N4" i="197"/>
  <c r="O3" i="203"/>
  <c r="O3" i="185"/>
  <c r="O3" i="202"/>
  <c r="I3" i="195"/>
  <c r="I3" i="182"/>
  <c r="I3" i="194"/>
  <c r="H2" i="299"/>
  <c r="H2" i="298"/>
  <c r="H2" i="297"/>
  <c r="H2" i="220"/>
  <c r="H2" i="221"/>
  <c r="H2" i="219"/>
  <c r="V3" i="309"/>
  <c r="V3" i="310"/>
  <c r="V3" i="231"/>
  <c r="V3" i="232"/>
  <c r="V3" i="233"/>
  <c r="V3" i="311"/>
  <c r="O2" i="195"/>
  <c r="O2" i="182"/>
  <c r="O2" i="194"/>
  <c r="C3" i="185"/>
  <c r="C3" i="203"/>
  <c r="C3" i="202"/>
  <c r="W3" i="196"/>
  <c r="W3" i="183"/>
  <c r="W3" i="197"/>
  <c r="D4" i="184"/>
  <c r="D4" i="201"/>
  <c r="D4" i="200"/>
  <c r="O3" i="201"/>
  <c r="O3" i="184"/>
  <c r="O3" i="200"/>
  <c r="D2" i="197"/>
  <c r="D2" i="183"/>
  <c r="D2" i="196"/>
  <c r="M4" i="194"/>
  <c r="M4" i="182"/>
  <c r="M4" i="195"/>
  <c r="B3" i="228"/>
  <c r="B3" i="230"/>
  <c r="B3" i="229"/>
  <c r="B3" i="307"/>
  <c r="B3" i="306"/>
  <c r="B3" i="308"/>
  <c r="G3" i="300"/>
  <c r="G3" i="302"/>
  <c r="G3" i="223"/>
  <c r="G3" i="224"/>
  <c r="G3" i="301"/>
  <c r="G3" i="222"/>
  <c r="L3" i="297"/>
  <c r="L3" i="219"/>
  <c r="L3" i="221"/>
  <c r="L3" i="220"/>
  <c r="L3" i="299"/>
  <c r="L3" i="298"/>
  <c r="V4" i="222"/>
  <c r="V4" i="300"/>
  <c r="V4" i="302"/>
  <c r="V4" i="224"/>
  <c r="V4" i="223"/>
  <c r="V4" i="301"/>
  <c r="N3" i="231"/>
  <c r="N3" i="233"/>
  <c r="N3" i="232"/>
  <c r="N3" i="309"/>
  <c r="N3" i="310"/>
  <c r="N3" i="311"/>
  <c r="H3" i="297"/>
  <c r="H3" i="219"/>
  <c r="H3" i="220"/>
  <c r="H3" i="221"/>
  <c r="H3" i="299"/>
  <c r="H3" i="298"/>
  <c r="L4" i="306"/>
  <c r="L4" i="307"/>
  <c r="L4" i="308"/>
  <c r="L4" i="228"/>
  <c r="L4" i="229"/>
  <c r="L4" i="230"/>
  <c r="O2" i="309"/>
  <c r="O2" i="310"/>
  <c r="O2" i="311"/>
  <c r="O2" i="232"/>
  <c r="O2" i="233"/>
  <c r="O2" i="231"/>
  <c r="W4" i="302"/>
  <c r="W4" i="300"/>
  <c r="W4" i="224"/>
  <c r="W4" i="223"/>
  <c r="W4" i="222"/>
  <c r="W4" i="301"/>
  <c r="V4" i="232"/>
  <c r="V4" i="311"/>
  <c r="V4" i="309"/>
  <c r="V4" i="233"/>
  <c r="V4" i="231"/>
  <c r="V4" i="310"/>
  <c r="I3" i="302"/>
  <c r="I3" i="300"/>
  <c r="I3" i="301"/>
  <c r="I3" i="224"/>
  <c r="I3" i="222"/>
  <c r="I3" i="223"/>
  <c r="J2" i="311"/>
  <c r="J2" i="310"/>
  <c r="J2" i="309"/>
  <c r="J2" i="232"/>
  <c r="J2" i="233"/>
  <c r="J2" i="231"/>
  <c r="V2" i="306"/>
  <c r="V2" i="308"/>
  <c r="V2" i="228"/>
  <c r="V2" i="229"/>
  <c r="V2" i="230"/>
  <c r="V2" i="307"/>
  <c r="K2" i="223"/>
  <c r="K2" i="302"/>
  <c r="K2" i="301"/>
  <c r="K2" i="300"/>
  <c r="K2" i="222"/>
  <c r="K2" i="224"/>
  <c r="F2" i="309"/>
  <c r="F2" i="310"/>
  <c r="F2" i="311"/>
  <c r="F2" i="233"/>
  <c r="F2" i="231"/>
  <c r="F2" i="232"/>
  <c r="E2" i="307"/>
  <c r="E2" i="306"/>
  <c r="E2" i="230"/>
  <c r="E2" i="228"/>
  <c r="E2" i="229"/>
  <c r="E2" i="308"/>
  <c r="T4" i="228"/>
  <c r="T4" i="229"/>
  <c r="T4" i="308"/>
  <c r="T4" i="307"/>
  <c r="T4" i="306"/>
  <c r="T4" i="230"/>
  <c r="S3" i="228"/>
  <c r="S3" i="307"/>
  <c r="S3" i="306"/>
  <c r="S3" i="308"/>
  <c r="S3" i="230"/>
  <c r="S3" i="229"/>
  <c r="K2" i="201"/>
  <c r="K2" i="184"/>
  <c r="K2" i="200"/>
  <c r="S2" i="197"/>
  <c r="S2" i="196"/>
  <c r="S2" i="183"/>
  <c r="K2" i="310"/>
  <c r="K2" i="311"/>
  <c r="K2" i="309"/>
  <c r="K2" i="233"/>
  <c r="K2" i="231"/>
  <c r="K2" i="232"/>
  <c r="C2" i="202"/>
  <c r="C2" i="185"/>
  <c r="C2" i="203"/>
  <c r="L3" i="194"/>
  <c r="L3" i="182"/>
  <c r="L3" i="195"/>
  <c r="V3" i="194"/>
  <c r="V3" i="195"/>
  <c r="V3" i="182"/>
  <c r="S3" i="200"/>
  <c r="S3" i="201"/>
  <c r="S3" i="184"/>
  <c r="U3" i="200"/>
  <c r="U3" i="184"/>
  <c r="U3" i="201"/>
  <c r="B4" i="202"/>
  <c r="B4" i="185"/>
  <c r="B4" i="203"/>
  <c r="K3" i="301"/>
  <c r="K3" i="300"/>
  <c r="K3" i="224"/>
  <c r="K3" i="222"/>
  <c r="K3" i="223"/>
  <c r="K3" i="302"/>
  <c r="L2" i="299"/>
  <c r="L2" i="297"/>
  <c r="L2" i="221"/>
  <c r="L2" i="298"/>
  <c r="L2" i="220"/>
  <c r="L2" i="219"/>
  <c r="G2" i="182"/>
  <c r="G2" i="194"/>
  <c r="G2" i="195"/>
  <c r="C4" i="200"/>
  <c r="C4" i="201"/>
  <c r="C4" i="184"/>
  <c r="J4" i="183"/>
  <c r="J4" i="197"/>
  <c r="J4" i="196"/>
  <c r="H3" i="310"/>
  <c r="H3" i="309"/>
  <c r="H3" i="232"/>
  <c r="H3" i="311"/>
  <c r="H3" i="233"/>
  <c r="H3" i="231"/>
  <c r="W3" i="298"/>
  <c r="W3" i="221"/>
  <c r="W3" i="219"/>
  <c r="W3" i="297"/>
  <c r="W3" i="299"/>
  <c r="W3" i="220"/>
  <c r="J4" i="299"/>
  <c r="J4" i="219"/>
  <c r="J4" i="298"/>
  <c r="J4" i="297"/>
  <c r="J4" i="220"/>
  <c r="J4" i="221"/>
  <c r="U4" i="306"/>
  <c r="U4" i="229"/>
  <c r="U4" i="230"/>
  <c r="U4" i="308"/>
  <c r="U4" i="307"/>
  <c r="U4" i="228"/>
  <c r="R2" i="219"/>
  <c r="R2" i="220"/>
  <c r="R2" i="298"/>
  <c r="R2" i="297"/>
  <c r="R2" i="221"/>
  <c r="R2" i="299"/>
  <c r="S4" i="203"/>
  <c r="S4" i="185"/>
  <c r="S4" i="202"/>
  <c r="P3" i="203"/>
  <c r="P3" i="202"/>
  <c r="P3" i="185"/>
  <c r="J3" i="201"/>
  <c r="J3" i="184"/>
  <c r="J3" i="200"/>
  <c r="E3" i="182"/>
  <c r="E3" i="194"/>
  <c r="E3" i="195"/>
  <c r="F3" i="302"/>
  <c r="F3" i="300"/>
  <c r="F3" i="301"/>
  <c r="F3" i="222"/>
  <c r="F3" i="223"/>
  <c r="F3" i="224"/>
  <c r="I3" i="202"/>
  <c r="I3" i="185"/>
  <c r="I3" i="203"/>
  <c r="T2" i="184"/>
  <c r="T2" i="201"/>
  <c r="T2" i="200"/>
  <c r="Y4" i="203"/>
  <c r="Y4" i="202"/>
  <c r="Y4" i="185"/>
  <c r="P3" i="194"/>
  <c r="P3" i="195"/>
  <c r="P3" i="182"/>
  <c r="C3" i="182"/>
  <c r="C3" i="194"/>
  <c r="C3" i="195"/>
  <c r="P4" i="201"/>
  <c r="P4" i="184"/>
  <c r="P4" i="200"/>
  <c r="X2" i="185"/>
  <c r="X2" i="203"/>
  <c r="X2" i="202"/>
  <c r="G2" i="201"/>
  <c r="G2" i="200"/>
  <c r="G2" i="184"/>
  <c r="J3" i="196"/>
  <c r="J3" i="183"/>
  <c r="J3" i="197"/>
  <c r="V3" i="196"/>
  <c r="V3" i="197"/>
  <c r="V3" i="183"/>
  <c r="E2" i="182"/>
  <c r="E2" i="195"/>
  <c r="E2" i="194"/>
  <c r="S2" i="300"/>
  <c r="S2" i="302"/>
  <c r="S2" i="224"/>
  <c r="S2" i="222"/>
  <c r="S2" i="223"/>
  <c r="S2" i="301"/>
  <c r="B2" i="297"/>
  <c r="B2" i="220"/>
  <c r="B2" i="219"/>
  <c r="B2" i="221"/>
  <c r="B2" i="299"/>
  <c r="B2" i="298"/>
  <c r="Q4" i="310"/>
  <c r="Q4" i="311"/>
  <c r="Q4" i="309"/>
  <c r="Q4" i="232"/>
  <c r="Q4" i="233"/>
  <c r="Q4" i="231"/>
  <c r="X2" i="309"/>
  <c r="X2" i="310"/>
  <c r="X2" i="311"/>
  <c r="X2" i="232"/>
  <c r="X2" i="233"/>
  <c r="X2" i="231"/>
  <c r="K2" i="306"/>
  <c r="K2" i="307"/>
  <c r="K2" i="308"/>
  <c r="K2" i="230"/>
  <c r="K2" i="228"/>
  <c r="K2" i="229"/>
  <c r="P3" i="309"/>
  <c r="P3" i="310"/>
  <c r="P3" i="231"/>
  <c r="P3" i="232"/>
  <c r="P3" i="233"/>
  <c r="P3" i="311"/>
  <c r="N2" i="308"/>
  <c r="N2" i="307"/>
  <c r="N2" i="306"/>
  <c r="N2" i="230"/>
  <c r="N2" i="228"/>
  <c r="N2" i="229"/>
  <c r="D4" i="307"/>
  <c r="D4" i="306"/>
  <c r="D4" i="308"/>
  <c r="D4" i="229"/>
  <c r="D4" i="230"/>
  <c r="D4" i="228"/>
  <c r="R3" i="201"/>
  <c r="R3" i="200"/>
  <c r="R3" i="184"/>
  <c r="B3" i="194"/>
  <c r="B3" i="195"/>
  <c r="B3" i="182"/>
  <c r="E3" i="222"/>
  <c r="E3" i="223"/>
  <c r="E3" i="300"/>
  <c r="E3" i="302"/>
  <c r="E3" i="301"/>
  <c r="E3" i="224"/>
  <c r="M2" i="197"/>
  <c r="M2" i="196"/>
  <c r="M2" i="183"/>
  <c r="Q4" i="297"/>
  <c r="Q4" i="299"/>
  <c r="Q4" i="221"/>
  <c r="Q4" i="298"/>
  <c r="Q4" i="219"/>
  <c r="Q4" i="220"/>
  <c r="K3" i="182"/>
  <c r="K3" i="194"/>
  <c r="K3" i="195"/>
  <c r="R3" i="302"/>
  <c r="R3" i="224"/>
  <c r="R3" i="222"/>
  <c r="R3" i="301"/>
  <c r="R3" i="300"/>
  <c r="R3" i="223"/>
  <c r="E3" i="310"/>
  <c r="E3" i="232"/>
  <c r="E3" i="311"/>
  <c r="E3" i="309"/>
  <c r="E3" i="233"/>
  <c r="E3" i="231"/>
  <c r="R4" i="182"/>
  <c r="R4" i="195"/>
  <c r="R4" i="194"/>
  <c r="W4" i="183"/>
  <c r="W4" i="197"/>
  <c r="W4" i="196"/>
  <c r="E2" i="201"/>
  <c r="E2" i="184"/>
  <c r="E2" i="200"/>
  <c r="U2" i="203"/>
  <c r="U2" i="185"/>
  <c r="U2" i="202"/>
  <c r="N4" i="203"/>
  <c r="N4" i="202"/>
  <c r="N4" i="185"/>
  <c r="H2" i="202"/>
  <c r="H2" i="203"/>
  <c r="H2" i="185"/>
  <c r="H4" i="203"/>
  <c r="H4" i="202"/>
  <c r="H4" i="185"/>
  <c r="D2" i="194"/>
  <c r="D2" i="195"/>
  <c r="D2" i="182"/>
  <c r="E3" i="196"/>
  <c r="E3" i="197"/>
  <c r="E3" i="183"/>
  <c r="P3" i="197"/>
  <c r="P3" i="183"/>
  <c r="P3" i="196"/>
  <c r="P4" i="231"/>
  <c r="P4" i="311"/>
  <c r="P4" i="309"/>
  <c r="P4" i="232"/>
  <c r="P4" i="233"/>
  <c r="P4" i="310"/>
  <c r="Y4" i="184"/>
  <c r="Y4" i="201"/>
  <c r="Y4" i="200"/>
  <c r="F4" i="201"/>
  <c r="F4" i="184"/>
  <c r="F4" i="200"/>
  <c r="B4" i="183"/>
  <c r="B4" i="196"/>
  <c r="B4" i="197"/>
  <c r="U4" i="202"/>
  <c r="U4" i="203"/>
  <c r="U4" i="185"/>
  <c r="T3" i="184"/>
  <c r="T3" i="201"/>
  <c r="T3" i="200"/>
  <c r="M3" i="183"/>
  <c r="M3" i="197"/>
  <c r="M3" i="196"/>
  <c r="Q3" i="184"/>
  <c r="Q3" i="201"/>
  <c r="Q3" i="200"/>
  <c r="P4" i="182"/>
  <c r="P4" i="195"/>
  <c r="P4" i="194"/>
  <c r="O4" i="194"/>
  <c r="O4" i="195"/>
  <c r="O4" i="182"/>
  <c r="S2" i="203"/>
  <c r="S2" i="185"/>
  <c r="S2" i="202"/>
  <c r="Y2" i="220"/>
  <c r="Y2" i="221"/>
  <c r="Y2" i="219"/>
  <c r="Y2" i="299"/>
  <c r="Y2" i="297"/>
  <c r="Y2" i="298"/>
  <c r="S4" i="311"/>
  <c r="S4" i="310"/>
  <c r="S4" i="309"/>
  <c r="S4" i="231"/>
  <c r="S4" i="232"/>
  <c r="S4" i="233"/>
  <c r="O3" i="222"/>
  <c r="O3" i="300"/>
  <c r="O3" i="301"/>
  <c r="O3" i="224"/>
  <c r="O3" i="223"/>
  <c r="O3" i="302"/>
  <c r="T3" i="230"/>
  <c r="T3" i="228"/>
  <c r="T3" i="307"/>
  <c r="T3" i="308"/>
  <c r="T3" i="306"/>
  <c r="T3" i="229"/>
  <c r="C3" i="184"/>
  <c r="C3" i="201"/>
  <c r="C3" i="200"/>
  <c r="J4" i="182"/>
  <c r="J4" i="194"/>
  <c r="J4" i="195"/>
  <c r="U4" i="195"/>
  <c r="U4" i="194"/>
  <c r="U4" i="182"/>
  <c r="I4" i="185"/>
  <c r="I4" i="203"/>
  <c r="I4" i="202"/>
  <c r="E3" i="184"/>
  <c r="E3" i="200"/>
  <c r="E3" i="201"/>
  <c r="M3" i="203"/>
  <c r="M3" i="185"/>
  <c r="M3" i="202"/>
  <c r="V4" i="203"/>
  <c r="V4" i="202"/>
  <c r="V4" i="185"/>
  <c r="J4" i="203"/>
  <c r="J4" i="202"/>
  <c r="J4" i="185"/>
  <c r="C4" i="301"/>
  <c r="C4" i="302"/>
  <c r="C4" i="300"/>
  <c r="C4" i="222"/>
  <c r="C4" i="224"/>
  <c r="C4" i="223"/>
  <c r="M3" i="306"/>
  <c r="M3" i="307"/>
  <c r="M3" i="230"/>
  <c r="M3" i="228"/>
  <c r="M3" i="229"/>
  <c r="M3" i="308"/>
  <c r="J2" i="222"/>
  <c r="J2" i="300"/>
  <c r="J2" i="302"/>
  <c r="J2" i="301"/>
  <c r="J2" i="224"/>
  <c r="J2" i="223"/>
  <c r="U3" i="232"/>
  <c r="U3" i="311"/>
  <c r="U3" i="309"/>
  <c r="U3" i="310"/>
  <c r="U3" i="231"/>
  <c r="U3" i="233"/>
  <c r="Q3" i="311"/>
  <c r="Q3" i="310"/>
  <c r="Q3" i="233"/>
  <c r="Q3" i="231"/>
  <c r="Q3" i="232"/>
  <c r="Q3" i="309"/>
  <c r="D3" i="231"/>
  <c r="D3" i="232"/>
  <c r="D3" i="311"/>
  <c r="D3" i="309"/>
  <c r="D3" i="310"/>
  <c r="D3" i="233"/>
  <c r="L3" i="230"/>
  <c r="L3" i="306"/>
  <c r="L3" i="308"/>
  <c r="L3" i="307"/>
  <c r="L3" i="228"/>
  <c r="L3" i="229"/>
  <c r="V4" i="297"/>
  <c r="V4" i="298"/>
  <c r="V4" i="220"/>
  <c r="V4" i="219"/>
  <c r="V4" i="221"/>
  <c r="V4" i="299"/>
  <c r="O2" i="230"/>
  <c r="O2" i="228"/>
  <c r="O2" i="229"/>
  <c r="O2" i="308"/>
  <c r="O2" i="306"/>
  <c r="O2" i="307"/>
  <c r="S2" i="298"/>
  <c r="S2" i="297"/>
  <c r="S2" i="299"/>
  <c r="S2" i="221"/>
  <c r="S2" i="219"/>
  <c r="S2" i="220"/>
  <c r="B3" i="302"/>
  <c r="B3" i="301"/>
  <c r="B3" i="300"/>
  <c r="B3" i="224"/>
  <c r="B3" i="222"/>
  <c r="B3" i="223"/>
  <c r="T3" i="233"/>
  <c r="T3" i="309"/>
  <c r="T3" i="231"/>
  <c r="T3" i="232"/>
  <c r="T3" i="311"/>
  <c r="T3" i="310"/>
  <c r="C4" i="298"/>
  <c r="C4" i="299"/>
  <c r="C4" i="297"/>
  <c r="C4" i="220"/>
  <c r="C4" i="219"/>
  <c r="C4" i="221"/>
  <c r="J2" i="307"/>
  <c r="J2" i="306"/>
  <c r="J2" i="308"/>
  <c r="J2" i="230"/>
  <c r="J2" i="228"/>
  <c r="J2" i="229"/>
  <c r="F2" i="223"/>
  <c r="F2" i="300"/>
  <c r="F2" i="302"/>
  <c r="F2" i="224"/>
  <c r="F2" i="222"/>
  <c r="F2" i="301"/>
  <c r="B4" i="308"/>
  <c r="B4" i="306"/>
  <c r="B4" i="307"/>
  <c r="B4" i="230"/>
  <c r="B4" i="228"/>
  <c r="B4" i="229"/>
  <c r="C4" i="310"/>
  <c r="C4" i="311"/>
  <c r="C4" i="309"/>
  <c r="C4" i="233"/>
  <c r="C4" i="231"/>
  <c r="C4" i="232"/>
  <c r="H2" i="194"/>
  <c r="H2" i="182"/>
  <c r="H2" i="195"/>
  <c r="P2" i="298"/>
  <c r="P2" i="297"/>
  <c r="P2" i="299"/>
  <c r="P2" i="221"/>
  <c r="P2" i="219"/>
  <c r="P2" i="220"/>
  <c r="W2" i="196"/>
  <c r="W2" i="197"/>
  <c r="W2" i="183"/>
  <c r="I2" i="184"/>
  <c r="I2" i="200"/>
  <c r="I2" i="201"/>
  <c r="V4" i="182"/>
  <c r="V4" i="195"/>
  <c r="V4" i="194"/>
  <c r="Y2" i="194"/>
  <c r="Y2" i="182"/>
  <c r="Y2" i="195"/>
  <c r="S4" i="200"/>
  <c r="S4" i="201"/>
  <c r="S4" i="184"/>
  <c r="Q2" i="203"/>
  <c r="Q2" i="185"/>
  <c r="Q2" i="202"/>
  <c r="U4" i="200"/>
  <c r="U4" i="201"/>
  <c r="U4" i="184"/>
  <c r="E3" i="229"/>
  <c r="E3" i="308"/>
  <c r="E3" i="306"/>
  <c r="E3" i="307"/>
  <c r="E3" i="228"/>
  <c r="E3" i="230"/>
  <c r="D4" i="309"/>
  <c r="D4" i="311"/>
  <c r="D4" i="310"/>
  <c r="D4" i="231"/>
  <c r="D4" i="232"/>
  <c r="D4" i="233"/>
  <c r="B4" i="311"/>
  <c r="B4" i="309"/>
  <c r="B4" i="233"/>
  <c r="B4" i="231"/>
  <c r="B4" i="232"/>
  <c r="B4" i="310"/>
  <c r="D2" i="220"/>
  <c r="D2" i="298"/>
  <c r="D2" i="297"/>
  <c r="D2" i="221"/>
  <c r="D2" i="219"/>
  <c r="D2" i="299"/>
  <c r="V3" i="200"/>
  <c r="V3" i="184"/>
  <c r="V3" i="201"/>
  <c r="E2" i="196"/>
  <c r="E2" i="197"/>
  <c r="E2" i="183"/>
  <c r="X2" i="195"/>
  <c r="X2" i="182"/>
  <c r="X2" i="194"/>
  <c r="H3" i="184"/>
  <c r="H3" i="200"/>
  <c r="H3" i="201"/>
  <c r="O3" i="197"/>
  <c r="O3" i="183"/>
  <c r="O3" i="196"/>
  <c r="E3" i="185"/>
  <c r="E3" i="203"/>
  <c r="E3" i="202"/>
  <c r="T2" i="182"/>
  <c r="T2" i="195"/>
  <c r="T2" i="194"/>
  <c r="V3" i="301"/>
  <c r="V3" i="302"/>
  <c r="V3" i="300"/>
  <c r="V3" i="224"/>
  <c r="V3" i="223"/>
  <c r="V3" i="222"/>
  <c r="F3" i="297"/>
  <c r="F3" i="298"/>
  <c r="F3" i="299"/>
  <c r="F3" i="221"/>
  <c r="F3" i="219"/>
  <c r="F3" i="220"/>
  <c r="Y4" i="311"/>
  <c r="Y4" i="309"/>
  <c r="Y4" i="310"/>
  <c r="Y4" i="232"/>
  <c r="Y4" i="233"/>
  <c r="Y4" i="231"/>
  <c r="D4" i="297"/>
  <c r="D4" i="298"/>
  <c r="D4" i="299"/>
  <c r="D4" i="220"/>
  <c r="D4" i="221"/>
  <c r="D4" i="219"/>
  <c r="Y2" i="301"/>
  <c r="Y2" i="302"/>
  <c r="Y2" i="224"/>
  <c r="Y2" i="223"/>
  <c r="Y2" i="222"/>
  <c r="Y2" i="300"/>
  <c r="B4" i="200"/>
  <c r="B4" i="201"/>
  <c r="B4" i="184"/>
  <c r="V2" i="183"/>
  <c r="V2" i="196"/>
  <c r="V2" i="197"/>
  <c r="G3" i="185"/>
  <c r="G3" i="202"/>
  <c r="G3" i="203"/>
  <c r="J3" i="203"/>
  <c r="J3" i="202"/>
  <c r="J3" i="185"/>
  <c r="C2" i="302"/>
  <c r="C2" i="301"/>
  <c r="C2" i="300"/>
  <c r="C2" i="224"/>
  <c r="C2" i="223"/>
  <c r="C2" i="222"/>
  <c r="L3" i="196"/>
  <c r="L3" i="197"/>
  <c r="L3" i="183"/>
  <c r="N2" i="195"/>
  <c r="N2" i="194"/>
  <c r="N2" i="182"/>
  <c r="I4" i="184"/>
  <c r="I4" i="201"/>
  <c r="I4" i="200"/>
  <c r="W3" i="184"/>
  <c r="W3" i="201"/>
  <c r="W3" i="200"/>
  <c r="F3" i="194"/>
  <c r="F3" i="182"/>
  <c r="F3" i="195"/>
  <c r="N3" i="194"/>
  <c r="N3" i="195"/>
  <c r="N3" i="182"/>
  <c r="K3" i="184"/>
  <c r="K3" i="200"/>
  <c r="K3" i="201"/>
  <c r="J2" i="194"/>
  <c r="J2" i="195"/>
  <c r="J2" i="182"/>
  <c r="L2" i="196"/>
  <c r="L2" i="197"/>
  <c r="L2" i="183"/>
  <c r="T2" i="196"/>
  <c r="T2" i="183"/>
  <c r="T2" i="197"/>
  <c r="T4" i="203"/>
  <c r="T4" i="202"/>
  <c r="T4" i="185"/>
  <c r="J2" i="202"/>
  <c r="J2" i="185"/>
  <c r="J2" i="203"/>
  <c r="F2" i="203"/>
  <c r="F2" i="185"/>
  <c r="F2" i="202"/>
  <c r="D3" i="203"/>
  <c r="D3" i="185"/>
  <c r="D3" i="202"/>
  <c r="X2" i="201"/>
  <c r="X2" i="200"/>
  <c r="X2" i="184"/>
  <c r="K4" i="202"/>
  <c r="K4" i="203"/>
  <c r="K4" i="185"/>
  <c r="E2" i="301"/>
  <c r="E2" i="222"/>
  <c r="E2" i="302"/>
  <c r="E2" i="224"/>
  <c r="E2" i="223"/>
  <c r="E2" i="300"/>
  <c r="L4" i="300"/>
  <c r="L4" i="222"/>
  <c r="L4" i="223"/>
  <c r="L4" i="302"/>
  <c r="L4" i="224"/>
  <c r="L4" i="301"/>
  <c r="J4" i="307"/>
  <c r="J4" i="308"/>
  <c r="J4" i="306"/>
  <c r="J4" i="230"/>
  <c r="J4" i="228"/>
  <c r="J4" i="229"/>
  <c r="P2" i="231"/>
  <c r="P2" i="232"/>
  <c r="P2" i="310"/>
  <c r="P2" i="311"/>
  <c r="P2" i="309"/>
  <c r="P2" i="233"/>
  <c r="L2" i="311"/>
  <c r="L2" i="309"/>
  <c r="L2" i="310"/>
  <c r="L2" i="233"/>
  <c r="L2" i="231"/>
  <c r="L2" i="232"/>
  <c r="K3" i="311"/>
  <c r="K3" i="233"/>
  <c r="K3" i="232"/>
  <c r="K3" i="309"/>
  <c r="K3" i="310"/>
  <c r="K3" i="231"/>
  <c r="G2" i="232"/>
  <c r="G2" i="311"/>
  <c r="G2" i="310"/>
  <c r="G2" i="233"/>
  <c r="G2" i="309"/>
  <c r="G2" i="231"/>
  <c r="Q4" i="308"/>
  <c r="Q4" i="306"/>
  <c r="Q4" i="230"/>
  <c r="Q4" i="228"/>
  <c r="Q4" i="229"/>
  <c r="Q4" i="307"/>
  <c r="G2" i="299"/>
  <c r="G2" i="220"/>
  <c r="G2" i="219"/>
  <c r="G2" i="297"/>
  <c r="G2" i="221"/>
  <c r="G2" i="298"/>
  <c r="S2" i="230"/>
  <c r="S2" i="228"/>
  <c r="S2" i="229"/>
  <c r="S2" i="306"/>
  <c r="S2" i="308"/>
  <c r="S2" i="307"/>
  <c r="M4" i="221"/>
  <c r="M4" i="219"/>
  <c r="M4" i="298"/>
  <c r="M4" i="299"/>
  <c r="M4" i="297"/>
  <c r="M4" i="220"/>
  <c r="X2" i="221"/>
  <c r="X2" i="299"/>
  <c r="X2" i="219"/>
  <c r="X2" i="297"/>
  <c r="X2" i="220"/>
  <c r="X2" i="298"/>
  <c r="E2" i="311"/>
  <c r="E2" i="233"/>
  <c r="E2" i="309"/>
  <c r="E2" i="231"/>
  <c r="E2" i="232"/>
  <c r="E2" i="310"/>
  <c r="R4" i="298"/>
  <c r="R4" i="219"/>
  <c r="R4" i="297"/>
  <c r="R4" i="299"/>
  <c r="R4" i="220"/>
  <c r="R4" i="221"/>
  <c r="P4" i="307"/>
  <c r="P4" i="228"/>
  <c r="P4" i="308"/>
  <c r="P4" i="306"/>
  <c r="P4" i="230"/>
  <c r="P4" i="229"/>
  <c r="U2" i="220"/>
  <c r="U2" i="297"/>
  <c r="U2" i="299"/>
  <c r="U2" i="298"/>
  <c r="U2" i="221"/>
  <c r="U2" i="219"/>
  <c r="T4" i="224"/>
  <c r="T4" i="300"/>
  <c r="T4" i="301"/>
  <c r="T4" i="302"/>
  <c r="T4" i="223"/>
  <c r="T4" i="222"/>
  <c r="O3" i="307"/>
  <c r="O3" i="230"/>
  <c r="O3" i="308"/>
  <c r="O3" i="228"/>
  <c r="O3" i="306"/>
  <c r="O3" i="229"/>
  <c r="W4" i="202"/>
  <c r="W4" i="185"/>
  <c r="W4" i="203"/>
  <c r="J3" i="182"/>
  <c r="J3" i="194"/>
  <c r="J3" i="195"/>
  <c r="R3" i="182"/>
  <c r="R3" i="195"/>
  <c r="R3" i="194"/>
  <c r="K2" i="219"/>
  <c r="K2" i="220"/>
  <c r="K2" i="221"/>
  <c r="K2" i="299"/>
  <c r="K2" i="297"/>
  <c r="K2" i="298"/>
  <c r="G3" i="195"/>
  <c r="G3" i="194"/>
  <c r="G3" i="182"/>
  <c r="M2" i="185"/>
  <c r="M2" i="203"/>
  <c r="M2" i="202"/>
  <c r="H4" i="195"/>
  <c r="H4" i="182"/>
  <c r="H4" i="194"/>
  <c r="Q3" i="194"/>
  <c r="Q3" i="182"/>
  <c r="Q3" i="195"/>
  <c r="R4" i="311"/>
  <c r="R4" i="309"/>
  <c r="R4" i="231"/>
  <c r="R4" i="233"/>
  <c r="R4" i="232"/>
  <c r="R4" i="310"/>
  <c r="H3" i="185"/>
  <c r="H3" i="202"/>
  <c r="H3" i="203"/>
  <c r="X2" i="223"/>
  <c r="X2" i="301"/>
  <c r="X2" i="302"/>
  <c r="X2" i="300"/>
  <c r="X2" i="222"/>
  <c r="X2" i="224"/>
  <c r="F2" i="194"/>
  <c r="F2" i="182"/>
  <c r="F2" i="195"/>
  <c r="O2" i="184"/>
  <c r="O2" i="200"/>
  <c r="O2" i="201"/>
  <c r="Q2" i="184"/>
  <c r="Q2" i="201"/>
  <c r="Q2" i="200"/>
  <c r="J4" i="200"/>
  <c r="J4" i="201"/>
  <c r="J4" i="184"/>
  <c r="P2" i="196"/>
  <c r="P2" i="197"/>
  <c r="P2" i="183"/>
  <c r="C3" i="196"/>
  <c r="C3" i="183"/>
  <c r="C3" i="197"/>
  <c r="T2" i="185"/>
  <c r="T2" i="202"/>
  <c r="T2" i="203"/>
  <c r="X4" i="197"/>
  <c r="X4" i="183"/>
  <c r="X4" i="196"/>
  <c r="H3" i="196"/>
  <c r="H3" i="183"/>
  <c r="H3" i="197"/>
  <c r="S4" i="182"/>
  <c r="S4" i="195"/>
  <c r="S4" i="194"/>
  <c r="D3" i="184"/>
  <c r="D3" i="200"/>
  <c r="D3" i="201"/>
  <c r="P3" i="201"/>
  <c r="P3" i="200"/>
  <c r="P3" i="184"/>
  <c r="Y3" i="201"/>
  <c r="Y3" i="200"/>
  <c r="Y3" i="184"/>
  <c r="G3" i="201"/>
  <c r="G3" i="184"/>
  <c r="G3" i="200"/>
  <c r="K3" i="197"/>
  <c r="K3" i="183"/>
  <c r="K3" i="196"/>
  <c r="D2" i="202"/>
  <c r="D2" i="185"/>
  <c r="D2" i="203"/>
  <c r="K3" i="185"/>
  <c r="K3" i="202"/>
  <c r="K3" i="203"/>
  <c r="W4" i="195"/>
  <c r="W4" i="194"/>
  <c r="W4" i="182"/>
  <c r="Y2" i="196"/>
  <c r="Y2" i="183"/>
  <c r="Y2" i="197"/>
  <c r="D3" i="194"/>
  <c r="D3" i="182"/>
  <c r="D3" i="195"/>
  <c r="L4" i="185"/>
  <c r="L4" i="202"/>
  <c r="L4" i="203"/>
  <c r="L3" i="184"/>
  <c r="L3" i="200"/>
  <c r="L3" i="201"/>
  <c r="O2" i="185"/>
  <c r="O2" i="202"/>
  <c r="O2" i="203"/>
  <c r="N2" i="185"/>
  <c r="N2" i="203"/>
  <c r="N2" i="202"/>
  <c r="T3" i="197"/>
  <c r="T3" i="183"/>
  <c r="T3" i="196"/>
  <c r="R2" i="200"/>
  <c r="R2" i="201"/>
  <c r="R2" i="184"/>
  <c r="I4" i="301"/>
  <c r="I4" i="222"/>
  <c r="I4" i="302"/>
  <c r="I4" i="300"/>
  <c r="I4" i="223"/>
  <c r="I4" i="224"/>
  <c r="P3" i="223"/>
  <c r="P3" i="301"/>
  <c r="P3" i="302"/>
  <c r="P3" i="224"/>
  <c r="P3" i="300"/>
  <c r="P3" i="222"/>
  <c r="T3" i="301"/>
  <c r="T3" i="224"/>
  <c r="T3" i="302"/>
  <c r="T3" i="223"/>
  <c r="T3" i="300"/>
  <c r="T3" i="222"/>
  <c r="G4" i="306"/>
  <c r="G4" i="307"/>
  <c r="G4" i="230"/>
  <c r="G4" i="308"/>
  <c r="G4" i="229"/>
  <c r="G4" i="228"/>
  <c r="M4" i="229"/>
  <c r="M4" i="308"/>
  <c r="M4" i="230"/>
  <c r="M4" i="228"/>
  <c r="M4" i="306"/>
  <c r="M4" i="307"/>
  <c r="M2" i="311"/>
  <c r="M2" i="309"/>
  <c r="M2" i="233"/>
  <c r="M2" i="231"/>
  <c r="M2" i="232"/>
  <c r="M2" i="310"/>
  <c r="S2" i="231"/>
  <c r="S2" i="232"/>
  <c r="S2" i="309"/>
  <c r="S2" i="310"/>
  <c r="S2" i="233"/>
  <c r="S2" i="311"/>
  <c r="Y4" i="307"/>
  <c r="Y4" i="306"/>
  <c r="Y4" i="230"/>
  <c r="Y4" i="228"/>
  <c r="Y4" i="229"/>
  <c r="Y4" i="308"/>
  <c r="E2" i="297"/>
  <c r="E2" i="299"/>
  <c r="E2" i="221"/>
  <c r="E2" i="219"/>
  <c r="E2" i="220"/>
  <c r="E2" i="298"/>
  <c r="J3" i="233"/>
  <c r="J3" i="232"/>
  <c r="J3" i="309"/>
  <c r="J3" i="310"/>
  <c r="J3" i="311"/>
  <c r="J3" i="231"/>
  <c r="K4" i="297"/>
  <c r="K4" i="299"/>
  <c r="K4" i="219"/>
  <c r="K4" i="221"/>
  <c r="K4" i="298"/>
  <c r="K4" i="220"/>
  <c r="V2" i="298"/>
  <c r="V2" i="219"/>
  <c r="V2" i="220"/>
  <c r="V2" i="299"/>
  <c r="V2" i="221"/>
  <c r="V2" i="297"/>
  <c r="F4" i="228"/>
  <c r="F4" i="230"/>
  <c r="F4" i="229"/>
  <c r="F4" i="306"/>
  <c r="F4" i="308"/>
  <c r="F4" i="307"/>
  <c r="Q2" i="298"/>
  <c r="Q2" i="297"/>
  <c r="Q2" i="299"/>
  <c r="Q2" i="220"/>
  <c r="Q2" i="219"/>
  <c r="Q2" i="221"/>
  <c r="G2" i="308"/>
  <c r="G2" i="230"/>
  <c r="G2" i="228"/>
  <c r="G2" i="306"/>
  <c r="G2" i="229"/>
  <c r="G2" i="307"/>
  <c r="V3" i="299"/>
  <c r="V3" i="221"/>
  <c r="V3" i="220"/>
  <c r="V3" i="297"/>
  <c r="V3" i="298"/>
  <c r="V3" i="219"/>
  <c r="H3" i="302"/>
  <c r="H3" i="300"/>
  <c r="H3" i="301"/>
  <c r="H3" i="224"/>
  <c r="H3" i="222"/>
  <c r="H3" i="223"/>
  <c r="W4" i="306"/>
  <c r="W4" i="230"/>
  <c r="W4" i="229"/>
  <c r="W4" i="307"/>
  <c r="W4" i="228"/>
  <c r="W4" i="308"/>
  <c r="G3" i="183"/>
  <c r="G3" i="196"/>
  <c r="G3" i="197"/>
  <c r="Y2" i="203"/>
  <c r="Y2" i="202"/>
  <c r="Y2" i="185"/>
  <c r="V3" i="185"/>
  <c r="V3" i="203"/>
  <c r="V3" i="202"/>
  <c r="F3" i="183"/>
  <c r="F3" i="196"/>
  <c r="F3" i="197"/>
  <c r="Q2" i="194"/>
  <c r="Q2" i="195"/>
  <c r="Q2" i="182"/>
  <c r="U3" i="195"/>
  <c r="U3" i="182"/>
  <c r="U3" i="194"/>
  <c r="R4" i="200"/>
  <c r="R4" i="184"/>
  <c r="R4" i="201"/>
  <c r="F2" i="200"/>
  <c r="F2" i="184"/>
  <c r="F2" i="201"/>
  <c r="E4" i="201"/>
  <c r="E4" i="200"/>
  <c r="E4" i="184"/>
  <c r="I3" i="200"/>
  <c r="I3" i="201"/>
  <c r="I3" i="184"/>
  <c r="C4" i="185"/>
  <c r="C4" i="202"/>
  <c r="C4" i="203"/>
  <c r="M4" i="200"/>
  <c r="M4" i="201"/>
  <c r="M4" i="184"/>
  <c r="E4" i="298"/>
  <c r="E4" i="219"/>
  <c r="E4" i="221"/>
  <c r="E4" i="220"/>
  <c r="E4" i="299"/>
  <c r="E4" i="297"/>
  <c r="B4" i="298"/>
  <c r="B4" i="299"/>
  <c r="B4" i="219"/>
  <c r="B4" i="221"/>
  <c r="B4" i="220"/>
  <c r="B4" i="297"/>
  <c r="I3" i="297"/>
  <c r="I3" i="221"/>
  <c r="I3" i="298"/>
  <c r="I3" i="220"/>
  <c r="I3" i="219"/>
  <c r="I3" i="299"/>
  <c r="D3" i="230"/>
  <c r="D3" i="308"/>
  <c r="D3" i="229"/>
  <c r="D3" i="306"/>
  <c r="D3" i="228"/>
  <c r="D3" i="307"/>
  <c r="M2" i="308"/>
  <c r="M2" i="229"/>
  <c r="M2" i="228"/>
  <c r="M2" i="230"/>
  <c r="M2" i="306"/>
  <c r="M2" i="307"/>
  <c r="J4" i="309"/>
  <c r="J4" i="232"/>
  <c r="J4" i="231"/>
  <c r="J4" i="233"/>
  <c r="J4" i="310"/>
  <c r="J4" i="311"/>
  <c r="R3" i="308"/>
  <c r="R3" i="229"/>
  <c r="R3" i="306"/>
  <c r="R3" i="230"/>
  <c r="R3" i="228"/>
  <c r="R3" i="307"/>
  <c r="X3" i="302"/>
  <c r="X3" i="301"/>
  <c r="X3" i="222"/>
  <c r="X3" i="300"/>
  <c r="X3" i="223"/>
  <c r="X3" i="224"/>
  <c r="Q3" i="306"/>
  <c r="Q3" i="307"/>
  <c r="Q3" i="230"/>
  <c r="Q3" i="308"/>
  <c r="Q3" i="228"/>
  <c r="Q3" i="229"/>
  <c r="D3" i="301"/>
  <c r="D3" i="224"/>
  <c r="D3" i="302"/>
  <c r="D3" i="300"/>
  <c r="D3" i="223"/>
  <c r="D3" i="222"/>
  <c r="U4" i="233"/>
  <c r="U4" i="311"/>
  <c r="U4" i="232"/>
  <c r="U4" i="310"/>
  <c r="U4" i="309"/>
  <c r="U4" i="231"/>
  <c r="Y3" i="232"/>
  <c r="Y3" i="311"/>
  <c r="Y3" i="231"/>
  <c r="Y3" i="233"/>
  <c r="Y3" i="310"/>
  <c r="Y3" i="309"/>
  <c r="W4" i="232"/>
  <c r="W4" i="309"/>
  <c r="W4" i="311"/>
  <c r="W4" i="231"/>
  <c r="W4" i="233"/>
  <c r="W4" i="310"/>
  <c r="U3" i="298"/>
  <c r="U3" i="220"/>
  <c r="U3" i="221"/>
  <c r="U3" i="219"/>
  <c r="U3" i="297"/>
  <c r="U3" i="299"/>
  <c r="T2" i="301"/>
  <c r="T2" i="224"/>
  <c r="T2" i="302"/>
  <c r="T2" i="222"/>
  <c r="T2" i="300"/>
  <c r="T2" i="223"/>
  <c r="T3" i="299"/>
  <c r="T3" i="297"/>
  <c r="T3" i="221"/>
  <c r="T3" i="298"/>
  <c r="T3" i="219"/>
  <c r="T3" i="220"/>
  <c r="Y4" i="302"/>
  <c r="Y4" i="223"/>
  <c r="Y4" i="301"/>
  <c r="Y4" i="300"/>
  <c r="Y4" i="224"/>
  <c r="Y4" i="222"/>
  <c r="Y2" i="308"/>
  <c r="Y2" i="228"/>
  <c r="Y2" i="230"/>
  <c r="Y2" i="229"/>
  <c r="Y2" i="307"/>
  <c r="Y2" i="306"/>
</calcChain>
</file>

<file path=xl/sharedStrings.xml><?xml version="1.0" encoding="utf-8"?>
<sst xmlns="http://schemas.openxmlformats.org/spreadsheetml/2006/main" count="178" uniqueCount="19">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</sst>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9\case9_base.xlsx" TargetMode="External"/><Relationship Id="rId1" Type="http://schemas.openxmlformats.org/officeDocument/2006/relationships/externalLinkPath" Target="case9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0.01</v>
          </cell>
        </row>
        <row r="3">
          <cell r="B3">
            <v>2.5000000000000001E-2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28.640709882946304</v>
          </cell>
          <cell r="C2">
            <v>26.714573281418307</v>
          </cell>
          <cell r="D2">
            <v>25.312879159841337</v>
          </cell>
          <cell r="E2">
            <v>25.133776452667234</v>
          </cell>
          <cell r="F2">
            <v>25.436946861179031</v>
          </cell>
          <cell r="G2">
            <v>27.960696815854309</v>
          </cell>
          <cell r="H2">
            <v>33.363925378103289</v>
          </cell>
          <cell r="I2">
            <v>40.159994232752233</v>
          </cell>
          <cell r="J2">
            <v>43.723321027778113</v>
          </cell>
          <cell r="K2">
            <v>44.268543395713934</v>
          </cell>
          <cell r="L2">
            <v>43.073883742328519</v>
          </cell>
          <cell r="M2">
            <v>43.295892296382085</v>
          </cell>
          <cell r="N2">
            <v>43.260312945175158</v>
          </cell>
          <cell r="O2">
            <v>42.553895205510344</v>
          </cell>
          <cell r="P2">
            <v>40.128767731659636</v>
          </cell>
          <cell r="Q2">
            <v>38.979063710676506</v>
          </cell>
          <cell r="R2">
            <v>40.594711565011977</v>
          </cell>
          <cell r="S2">
            <v>45</v>
          </cell>
          <cell r="T2">
            <v>44.836875711706767</v>
          </cell>
          <cell r="U2">
            <v>43.908591159821562</v>
          </cell>
          <cell r="V2">
            <v>43.153477019322303</v>
          </cell>
          <cell r="W2">
            <v>40.446415007398876</v>
          </cell>
          <cell r="X2">
            <v>35.383087776062744</v>
          </cell>
          <cell r="Y2">
            <v>32.101442185583167</v>
          </cell>
        </row>
        <row r="3">
          <cell r="B3">
            <v>28.318710831598349</v>
          </cell>
          <cell r="C3">
            <v>26.315204214245814</v>
          </cell>
          <cell r="D3">
            <v>23.814013426539436</v>
          </cell>
          <cell r="E3">
            <v>25.613338402094083</v>
          </cell>
          <cell r="F3">
            <v>25.524009277571608</v>
          </cell>
          <cell r="G3">
            <v>26.608704012448104</v>
          </cell>
          <cell r="H3">
            <v>39.599618813370633</v>
          </cell>
          <cell r="I3">
            <v>44.104324438231103</v>
          </cell>
          <cell r="J3">
            <v>48.353801657343247</v>
          </cell>
          <cell r="K3">
            <v>48.379322308964795</v>
          </cell>
          <cell r="L3">
            <v>45.699473268620906</v>
          </cell>
          <cell r="M3">
            <v>50</v>
          </cell>
          <cell r="N3">
            <v>47.154254412376474</v>
          </cell>
          <cell r="O3">
            <v>44.142609525564225</v>
          </cell>
          <cell r="P3">
            <v>42.802683636622866</v>
          </cell>
          <cell r="Q3">
            <v>39.995217650477144</v>
          </cell>
          <cell r="R3">
            <v>40.020741039637507</v>
          </cell>
          <cell r="S3">
            <v>42.368805198038565</v>
          </cell>
          <cell r="T3">
            <v>42.368805198038565</v>
          </cell>
          <cell r="U3">
            <v>43.006857051434061</v>
          </cell>
          <cell r="V3">
            <v>41.845586666813716</v>
          </cell>
          <cell r="W3">
            <v>37.813044567870669</v>
          </cell>
          <cell r="X3">
            <v>31.981180223726628</v>
          </cell>
          <cell r="Y3">
            <v>30.947518572291692</v>
          </cell>
        </row>
        <row r="4">
          <cell r="B4">
            <v>41.161923557384661</v>
          </cell>
          <cell r="C4">
            <v>36.216924903815787</v>
          </cell>
          <cell r="D4">
            <v>34.096561117866841</v>
          </cell>
          <cell r="E4">
            <v>33.691648371190951</v>
          </cell>
          <cell r="F4">
            <v>35.265166706644465</v>
          </cell>
          <cell r="G4">
            <v>38.0759327548637</v>
          </cell>
          <cell r="H4">
            <v>45.945274418750067</v>
          </cell>
          <cell r="I4">
            <v>51.363857914252421</v>
          </cell>
          <cell r="J4">
            <v>54.36397226733289</v>
          </cell>
          <cell r="K4">
            <v>56.213389721513067</v>
          </cell>
          <cell r="L4">
            <v>56.727717165012599</v>
          </cell>
          <cell r="M4">
            <v>56.13602693224356</v>
          </cell>
          <cell r="N4">
            <v>55.817499446474862</v>
          </cell>
          <cell r="O4">
            <v>54.666430938587787</v>
          </cell>
          <cell r="P4">
            <v>52.926301971725778</v>
          </cell>
          <cell r="Q4">
            <v>51.96798375759154</v>
          </cell>
          <cell r="R4">
            <v>53.823207181536652</v>
          </cell>
          <cell r="S4">
            <v>60.935494732253488</v>
          </cell>
          <cell r="T4">
            <v>62.130997688214556</v>
          </cell>
          <cell r="U4">
            <v>62.5</v>
          </cell>
          <cell r="V4">
            <v>60.64144136208904</v>
          </cell>
          <cell r="W4">
            <v>57.869420599424572</v>
          </cell>
          <cell r="X4">
            <v>52.76844322838636</v>
          </cell>
          <cell r="Y4">
            <v>46.642389516869741</v>
          </cell>
        </row>
      </sheetData>
      <sheetData sheetId="7">
        <row r="2">
          <cell r="B2">
            <v>29.499931179434693</v>
          </cell>
          <cell r="C2">
            <v>27.516010479860856</v>
          </cell>
          <cell r="D2">
            <v>26.072265534636578</v>
          </cell>
          <cell r="E2">
            <v>25.88778974624725</v>
          </cell>
          <cell r="F2">
            <v>26.200055267014402</v>
          </cell>
          <cell r="G2">
            <v>28.799517720329941</v>
          </cell>
          <cell r="H2">
            <v>34.364843139446386</v>
          </cell>
          <cell r="I2">
            <v>41.364794059734798</v>
          </cell>
          <cell r="J2">
            <v>45.035020658611458</v>
          </cell>
          <cell r="K2">
            <v>45.596599697585361</v>
          </cell>
          <cell r="L2">
            <v>44.366100254598379</v>
          </cell>
          <cell r="M2">
            <v>44.594769065273553</v>
          </cell>
          <cell r="N2">
            <v>44.55812233353042</v>
          </cell>
          <cell r="O2">
            <v>43.830512061675655</v>
          </cell>
          <cell r="P2">
            <v>41.332630763609423</v>
          </cell>
          <cell r="Q2">
            <v>40.148435621996803</v>
          </cell>
          <cell r="R2">
            <v>41.812552911962335</v>
          </cell>
          <cell r="S2">
            <v>46.35</v>
          </cell>
          <cell r="T2">
            <v>46.181981983057973</v>
          </cell>
          <cell r="U2">
            <v>45.225848894616213</v>
          </cell>
          <cell r="V2">
            <v>44.448081329901974</v>
          </cell>
          <cell r="W2">
            <v>41.659807457620843</v>
          </cell>
          <cell r="X2">
            <v>36.444580409344631</v>
          </cell>
          <cell r="Y2">
            <v>33.064485451150667</v>
          </cell>
        </row>
        <row r="3">
          <cell r="B3">
            <v>29.168272156546298</v>
          </cell>
          <cell r="C3">
            <v>27.104660340673188</v>
          </cell>
          <cell r="D3">
            <v>24.528433829335619</v>
          </cell>
          <cell r="E3">
            <v>26.381738554156907</v>
          </cell>
          <cell r="F3">
            <v>26.289729555898756</v>
          </cell>
          <cell r="G3">
            <v>27.406965132821547</v>
          </cell>
          <cell r="H3">
            <v>40.787607377771756</v>
          </cell>
          <cell r="I3">
            <v>45.427454171378031</v>
          </cell>
          <cell r="J3">
            <v>49.804415707063548</v>
          </cell>
          <cell r="K3">
            <v>49.830701978233741</v>
          </cell>
          <cell r="L3">
            <v>47.070457466679535</v>
          </cell>
          <cell r="M3">
            <v>51.5</v>
          </cell>
          <cell r="N3">
            <v>48.568882044747767</v>
          </cell>
          <cell r="O3">
            <v>45.466887811331155</v>
          </cell>
          <cell r="P3">
            <v>44.08676414572156</v>
          </cell>
          <cell r="Q3">
            <v>41.195074179991458</v>
          </cell>
          <cell r="R3">
            <v>41.221363270826636</v>
          </cell>
          <cell r="S3">
            <v>43.639869353979726</v>
          </cell>
          <cell r="T3">
            <v>43.639869353979726</v>
          </cell>
          <cell r="U3">
            <v>44.297062762977085</v>
          </cell>
          <cell r="V3">
            <v>43.100954266818128</v>
          </cell>
          <cell r="W3">
            <v>38.94743590490679</v>
          </cell>
          <cell r="X3">
            <v>32.94061563043843</v>
          </cell>
          <cell r="Y3">
            <v>31.875944129460443</v>
          </cell>
        </row>
        <row r="4">
          <cell r="B4">
            <v>42.396781264106203</v>
          </cell>
          <cell r="C4">
            <v>37.303432650930269</v>
          </cell>
          <cell r="D4">
            <v>35.119457951402843</v>
          </cell>
          <cell r="E4">
            <v>34.702397822326681</v>
          </cell>
          <cell r="F4">
            <v>36.323121707843796</v>
          </cell>
          <cell r="G4">
            <v>39.218210737509615</v>
          </cell>
          <cell r="H4">
            <v>47.323632651312565</v>
          </cell>
          <cell r="I4">
            <v>52.904773651679996</v>
          </cell>
          <cell r="J4">
            <v>55.994891435352876</v>
          </cell>
          <cell r="K4">
            <v>57.899791413158461</v>
          </cell>
          <cell r="L4">
            <v>58.429548679962977</v>
          </cell>
          <cell r="M4">
            <v>57.820107740210865</v>
          </cell>
          <cell r="N4">
            <v>57.492024429869112</v>
          </cell>
          <cell r="O4">
            <v>56.306423866745419</v>
          </cell>
          <cell r="P4">
            <v>54.514091030877552</v>
          </cell>
          <cell r="Q4">
            <v>53.52702327031929</v>
          </cell>
          <cell r="R4">
            <v>55.437903396982755</v>
          </cell>
          <cell r="S4">
            <v>62.763559574221098</v>
          </cell>
          <cell r="T4">
            <v>63.994927618860999</v>
          </cell>
          <cell r="U4">
            <v>64.375</v>
          </cell>
          <cell r="V4">
            <v>62.460684602951716</v>
          </cell>
          <cell r="W4">
            <v>59.605503217407311</v>
          </cell>
          <cell r="X4">
            <v>54.351496525237955</v>
          </cell>
          <cell r="Y4">
            <v>48.041661202375835</v>
          </cell>
        </row>
      </sheetData>
      <sheetData sheetId="8">
        <row r="2">
          <cell r="B2">
            <v>28.067895685287372</v>
          </cell>
          <cell r="C2">
            <v>26.180281815789936</v>
          </cell>
          <cell r="D2">
            <v>24.80662157664451</v>
          </cell>
          <cell r="E2">
            <v>24.631100923613889</v>
          </cell>
          <cell r="F2">
            <v>24.928207923955451</v>
          </cell>
          <cell r="G2">
            <v>27.401482879537223</v>
          </cell>
          <cell r="H2">
            <v>32.696646870541223</v>
          </cell>
          <cell r="I2">
            <v>39.356794348097182</v>
          </cell>
          <cell r="J2">
            <v>42.848854607222549</v>
          </cell>
          <cell r="K2">
            <v>43.383172527799658</v>
          </cell>
          <cell r="L2">
            <v>42.212406067481943</v>
          </cell>
          <cell r="M2">
            <v>42.429974450454445</v>
          </cell>
          <cell r="N2">
            <v>42.39510668627166</v>
          </cell>
          <cell r="O2">
            <v>41.702817301400131</v>
          </cell>
          <cell r="P2">
            <v>39.326192377026437</v>
          </cell>
          <cell r="Q2">
            <v>38.199482436462979</v>
          </cell>
          <cell r="R2">
            <v>39.782817333711733</v>
          </cell>
          <cell r="S2">
            <v>44.1</v>
          </cell>
          <cell r="T2">
            <v>43.940138197472628</v>
          </cell>
          <cell r="U2">
            <v>43.03041933662513</v>
          </cell>
          <cell r="V2">
            <v>42.290407478935855</v>
          </cell>
          <cell r="W2">
            <v>39.637486707250901</v>
          </cell>
          <cell r="X2">
            <v>34.675426020541487</v>
          </cell>
          <cell r="Y2">
            <v>31.459413341871503</v>
          </cell>
        </row>
        <row r="3">
          <cell r="B3">
            <v>27.752336614966381</v>
          </cell>
          <cell r="C3">
            <v>25.788900129960897</v>
          </cell>
          <cell r="D3">
            <v>23.337733158008646</v>
          </cell>
          <cell r="E3">
            <v>25.101071634052204</v>
          </cell>
          <cell r="F3">
            <v>25.013529092020175</v>
          </cell>
          <cell r="G3">
            <v>26.07652993219914</v>
          </cell>
          <cell r="H3">
            <v>38.807626437103224</v>
          </cell>
          <cell r="I3">
            <v>43.222237949466482</v>
          </cell>
          <cell r="J3">
            <v>47.386725624196387</v>
          </cell>
          <cell r="K3">
            <v>47.411735862785498</v>
          </cell>
          <cell r="L3">
            <v>44.785483803248489</v>
          </cell>
          <cell r="M3">
            <v>49</v>
          </cell>
          <cell r="N3">
            <v>46.211169324128946</v>
          </cell>
          <cell r="O3">
            <v>43.259757335052939</v>
          </cell>
          <cell r="P3">
            <v>41.946629963890409</v>
          </cell>
          <cell r="Q3">
            <v>39.1953132974676</v>
          </cell>
          <cell r="R3">
            <v>39.220326218844761</v>
          </cell>
          <cell r="S3">
            <v>41.521429094077796</v>
          </cell>
          <cell r="T3">
            <v>41.521429094077796</v>
          </cell>
          <cell r="U3">
            <v>42.14671991040538</v>
          </cell>
          <cell r="V3">
            <v>41.008674933477437</v>
          </cell>
          <cell r="W3">
            <v>37.056783676513255</v>
          </cell>
          <cell r="X3">
            <v>31.341556619252099</v>
          </cell>
          <cell r="Y3">
            <v>30.328568200845858</v>
          </cell>
        </row>
        <row r="4">
          <cell r="B4">
            <v>40.338685086236971</v>
          </cell>
          <cell r="C4">
            <v>35.492586405739473</v>
          </cell>
          <cell r="D4">
            <v>33.414629895509499</v>
          </cell>
          <cell r="E4">
            <v>33.017815403767131</v>
          </cell>
          <cell r="F4">
            <v>34.559863372511572</v>
          </cell>
          <cell r="G4">
            <v>37.314414099766424</v>
          </cell>
          <cell r="H4">
            <v>45.026368930375057</v>
          </cell>
          <cell r="I4">
            <v>50.336580755967368</v>
          </cell>
          <cell r="J4">
            <v>53.276692821986231</v>
          </cell>
          <cell r="K4">
            <v>55.089121927082807</v>
          </cell>
          <cell r="L4">
            <v>55.593162821712347</v>
          </cell>
          <cell r="M4">
            <v>55.01330639359869</v>
          </cell>
          <cell r="N4">
            <v>54.70114945754537</v>
          </cell>
          <cell r="O4">
            <v>53.57310231981603</v>
          </cell>
          <cell r="P4">
            <v>51.867775932291266</v>
          </cell>
          <cell r="Q4">
            <v>50.928624082439704</v>
          </cell>
          <cell r="R4">
            <v>52.746743037905922</v>
          </cell>
          <cell r="S4">
            <v>59.716784837608415</v>
          </cell>
          <cell r="T4">
            <v>60.888377734450266</v>
          </cell>
          <cell r="U4">
            <v>61.25</v>
          </cell>
          <cell r="V4">
            <v>59.428612534847261</v>
          </cell>
          <cell r="W4">
            <v>56.712032187436073</v>
          </cell>
          <cell r="X4">
            <v>51.713074363818635</v>
          </cell>
          <cell r="Y4">
            <v>45.70954172653235</v>
          </cell>
        </row>
      </sheetData>
      <sheetData sheetId="9">
        <row r="2">
          <cell r="B2">
            <v>-12.469785513080238</v>
          </cell>
          <cell r="C2">
            <v>-13.552944458482951</v>
          </cell>
          <cell r="D2">
            <v>-14.59839275357499</v>
          </cell>
          <cell r="E2">
            <v>-14.492120196648649</v>
          </cell>
          <cell r="F2">
            <v>-15</v>
          </cell>
          <cell r="G2">
            <v>-13.35282359736305</v>
          </cell>
          <cell r="H2">
            <v>-9.9436551462545548</v>
          </cell>
          <cell r="I2">
            <v>-4.0930063124960201</v>
          </cell>
          <cell r="J2">
            <v>-1.2053668195189318</v>
          </cell>
          <cell r="K2">
            <v>-0.18855958103093676</v>
          </cell>
          <cell r="L2">
            <v>-1.6927804232274042</v>
          </cell>
          <cell r="M2">
            <v>-1.2444992949422855</v>
          </cell>
          <cell r="N2">
            <v>-1.7225564045393726</v>
          </cell>
          <cell r="O2">
            <v>-1.7376609171962816</v>
          </cell>
          <cell r="P2">
            <v>-4.3928558767051147</v>
          </cell>
          <cell r="Q2">
            <v>-6.3264040784546287</v>
          </cell>
          <cell r="R2">
            <v>-5.6261809952244768</v>
          </cell>
          <cell r="S2">
            <v>-1.9205124586372087</v>
          </cell>
          <cell r="T2">
            <v>-2.7936569679470304</v>
          </cell>
          <cell r="U2">
            <v>-3.5117603225567375</v>
          </cell>
          <cell r="V2">
            <v>-5.5163531393218799</v>
          </cell>
          <cell r="W2">
            <v>-7.1605846200922834</v>
          </cell>
          <cell r="X2">
            <v>-9.6068981828398492</v>
          </cell>
          <cell r="Y2">
            <v>-10.813381136149594</v>
          </cell>
        </row>
        <row r="3">
          <cell r="B3">
            <v>14.127545889467058</v>
          </cell>
          <cell r="C3">
            <v>17.5</v>
          </cell>
          <cell r="D3">
            <v>17.5</v>
          </cell>
          <cell r="E3">
            <v>17.5</v>
          </cell>
          <cell r="F3">
            <v>17.5</v>
          </cell>
          <cell r="G3">
            <v>14.179431683319915</v>
          </cell>
          <cell r="H3">
            <v>6.4314389736126669</v>
          </cell>
          <cell r="I3">
            <v>0.8279811071244515</v>
          </cell>
          <cell r="J3">
            <v>-4.8446504074823817</v>
          </cell>
          <cell r="K3">
            <v>-4.8446504074823817</v>
          </cell>
          <cell r="L3">
            <v>-0.41722598524226717</v>
          </cell>
          <cell r="M3">
            <v>-5.0521935828938114</v>
          </cell>
          <cell r="N3">
            <v>-5.0521935828938114</v>
          </cell>
          <cell r="O3">
            <v>-3.9107469480985446</v>
          </cell>
          <cell r="P3">
            <v>-0.4864070437127439</v>
          </cell>
          <cell r="Q3">
            <v>2.9379217305387932</v>
          </cell>
          <cell r="R3">
            <v>4.0793646552893064</v>
          </cell>
          <cell r="S3">
            <v>4.0793646552893064</v>
          </cell>
          <cell r="T3">
            <v>4.0793646552893064</v>
          </cell>
          <cell r="U3">
            <v>4.0793646552893064</v>
          </cell>
          <cell r="V3">
            <v>4.0793646552893064</v>
          </cell>
          <cell r="W3">
            <v>8.5067890385788196</v>
          </cell>
          <cell r="X3">
            <v>13.00339451928941</v>
          </cell>
          <cell r="Y3">
            <v>13.00339451928941</v>
          </cell>
        </row>
        <row r="4">
          <cell r="B4">
            <v>9.5862253418707848</v>
          </cell>
          <cell r="C4">
            <v>7.3945508941769083</v>
          </cell>
          <cell r="D4">
            <v>6.3301139872096703</v>
          </cell>
          <cell r="E4">
            <v>6.1944372172834452</v>
          </cell>
          <cell r="F4">
            <v>7.0403543352236237</v>
          </cell>
          <cell r="G4">
            <v>8.7415700230074709</v>
          </cell>
          <cell r="H4">
            <v>13.562617537809391</v>
          </cell>
          <cell r="I4">
            <v>16.557360904182715</v>
          </cell>
          <cell r="J4">
            <v>19.129685301172859</v>
          </cell>
          <cell r="K4">
            <v>21.065303619522883</v>
          </cell>
          <cell r="L4">
            <v>21.243078629058768</v>
          </cell>
          <cell r="M4">
            <v>20.862173033119678</v>
          </cell>
          <cell r="N4">
            <v>20.95102394649771</v>
          </cell>
          <cell r="O4">
            <v>20.737230794477721</v>
          </cell>
          <cell r="P4">
            <v>18.707375853174536</v>
          </cell>
          <cell r="Q4">
            <v>17.77368689804371</v>
          </cell>
          <cell r="R4">
            <v>18.342498955643656</v>
          </cell>
          <cell r="S4">
            <v>25</v>
          </cell>
          <cell r="T4">
            <v>24.963707582812827</v>
          </cell>
          <cell r="U4">
            <v>24.201932642157256</v>
          </cell>
          <cell r="V4">
            <v>22.401441623691078</v>
          </cell>
          <cell r="W4">
            <v>19.922348287051417</v>
          </cell>
          <cell r="X4">
            <v>16.249130246379966</v>
          </cell>
          <cell r="Y4">
            <v>12.466213225438899</v>
          </cell>
        </row>
      </sheetData>
      <sheetData sheetId="10">
        <row r="2">
          <cell r="B2">
            <v>-12.843879078472645</v>
          </cell>
          <cell r="C2">
            <v>-13.959532792237439</v>
          </cell>
          <cell r="D2">
            <v>-15.03634453618224</v>
          </cell>
          <cell r="E2">
            <v>-14.92688380254811</v>
          </cell>
          <cell r="F2">
            <v>-15.450000000000001</v>
          </cell>
          <cell r="G2">
            <v>-13.753408305283942</v>
          </cell>
          <cell r="H2">
            <v>-10.24196480064219</v>
          </cell>
          <cell r="I2">
            <v>-4.2157965018709005</v>
          </cell>
          <cell r="J2">
            <v>-1.2415278241044996</v>
          </cell>
          <cell r="K2">
            <v>-0.19421636846186485</v>
          </cell>
          <cell r="L2">
            <v>-1.7435638359242263</v>
          </cell>
          <cell r="M2">
            <v>-1.2818342737905541</v>
          </cell>
          <cell r="N2">
            <v>-1.774233096675554</v>
          </cell>
          <cell r="O2">
            <v>-1.7897907447121701</v>
          </cell>
          <cell r="P2">
            <v>-4.5246415530062682</v>
          </cell>
          <cell r="Q2">
            <v>-6.5161962008082677</v>
          </cell>
          <cell r="R2">
            <v>-5.7949664250812116</v>
          </cell>
          <cell r="S2">
            <v>-1.9781278323963249</v>
          </cell>
          <cell r="T2">
            <v>-2.8774666769854416</v>
          </cell>
          <cell r="U2">
            <v>-3.6171131322334396</v>
          </cell>
          <cell r="V2">
            <v>-5.6818437335015366</v>
          </cell>
          <cell r="W2">
            <v>-7.375402158695052</v>
          </cell>
          <cell r="X2">
            <v>-9.8951051283250457</v>
          </cell>
          <cell r="Y2">
            <v>-11.137782570234082</v>
          </cell>
        </row>
        <row r="3">
          <cell r="B3">
            <v>14.55137226615107</v>
          </cell>
          <cell r="C3">
            <v>18.025000000000002</v>
          </cell>
          <cell r="D3">
            <v>18.025000000000002</v>
          </cell>
          <cell r="E3">
            <v>18.025000000000002</v>
          </cell>
          <cell r="F3">
            <v>18.025000000000002</v>
          </cell>
          <cell r="G3">
            <v>14.604814633819514</v>
          </cell>
          <cell r="H3">
            <v>6.6243821428210472</v>
          </cell>
          <cell r="I3">
            <v>0.85282054033818511</v>
          </cell>
          <cell r="J3">
            <v>-4.9899899197068533</v>
          </cell>
          <cell r="K3">
            <v>-4.9899899197068533</v>
          </cell>
          <cell r="L3">
            <v>-0.42974276479953516</v>
          </cell>
          <cell r="M3">
            <v>-5.2037593903806263</v>
          </cell>
          <cell r="N3">
            <v>-5.2037593903806263</v>
          </cell>
          <cell r="O3">
            <v>-4.0280693565415007</v>
          </cell>
          <cell r="P3">
            <v>-0.50099925502412623</v>
          </cell>
          <cell r="Q3">
            <v>3.0260593824549575</v>
          </cell>
          <cell r="R3">
            <v>4.2017455949479858</v>
          </cell>
          <cell r="S3">
            <v>4.2017455949479858</v>
          </cell>
          <cell r="T3">
            <v>4.2017455949479858</v>
          </cell>
          <cell r="U3">
            <v>4.2017455949479858</v>
          </cell>
          <cell r="V3">
            <v>4.2017455949479858</v>
          </cell>
          <cell r="W3">
            <v>8.7619927097361838</v>
          </cell>
          <cell r="X3">
            <v>13.393496354868093</v>
          </cell>
          <cell r="Y3">
            <v>13.393496354868093</v>
          </cell>
        </row>
        <row r="4">
          <cell r="B4">
            <v>9.8738121021269087</v>
          </cell>
          <cell r="C4">
            <v>7.6163874210022158</v>
          </cell>
          <cell r="D4">
            <v>6.5200174068259606</v>
          </cell>
          <cell r="E4">
            <v>6.3802703338019491</v>
          </cell>
          <cell r="F4">
            <v>7.2515649652803322</v>
          </cell>
          <cell r="G4">
            <v>9.0038171236976954</v>
          </cell>
          <cell r="H4">
            <v>13.969496063943673</v>
          </cell>
          <cell r="I4">
            <v>17.054081731308198</v>
          </cell>
          <cell r="J4">
            <v>19.703575860208048</v>
          </cell>
          <cell r="K4">
            <v>21.697262728108569</v>
          </cell>
          <cell r="L4">
            <v>21.880370987930529</v>
          </cell>
          <cell r="M4">
            <v>21.488038224113268</v>
          </cell>
          <cell r="N4">
            <v>21.57955466489264</v>
          </cell>
          <cell r="O4">
            <v>21.359347718312051</v>
          </cell>
          <cell r="P4">
            <v>19.268597128769773</v>
          </cell>
          <cell r="Q4">
            <v>18.306897504985024</v>
          </cell>
          <cell r="R4">
            <v>18.892773924312966</v>
          </cell>
          <cell r="S4">
            <v>25.75</v>
          </cell>
          <cell r="T4">
            <v>25.712618810297212</v>
          </cell>
          <cell r="U4">
            <v>24.927990621421976</v>
          </cell>
          <cell r="V4">
            <v>23.07348487240181</v>
          </cell>
          <cell r="W4">
            <v>20.520018735662958</v>
          </cell>
          <cell r="X4">
            <v>16.736604153771367</v>
          </cell>
          <cell r="Y4">
            <v>12.840199622202068</v>
          </cell>
        </row>
      </sheetData>
      <sheetData sheetId="11">
        <row r="2">
          <cell r="B2">
            <v>-12.220389802818632</v>
          </cell>
          <cell r="C2">
            <v>-13.281885569313291</v>
          </cell>
          <cell r="D2">
            <v>-14.30642489850349</v>
          </cell>
          <cell r="E2">
            <v>-14.202277792715677</v>
          </cell>
          <cell r="F2">
            <v>-14.7</v>
          </cell>
          <cell r="G2">
            <v>-13.08576712541579</v>
          </cell>
          <cell r="H2">
            <v>-9.7447820433294616</v>
          </cell>
          <cell r="I2">
            <v>-4.0111461862460995</v>
          </cell>
          <cell r="J2">
            <v>-1.181259483128553</v>
          </cell>
          <cell r="K2">
            <v>-0.18478838941031803</v>
          </cell>
          <cell r="L2">
            <v>-1.6589248147628561</v>
          </cell>
          <cell r="M2">
            <v>-1.2196093090434397</v>
          </cell>
          <cell r="N2">
            <v>-1.6881052764485851</v>
          </cell>
          <cell r="O2">
            <v>-1.7029076988523559</v>
          </cell>
          <cell r="P2">
            <v>-4.3049987591710126</v>
          </cell>
          <cell r="Q2">
            <v>-6.1998759968855355</v>
          </cell>
          <cell r="R2">
            <v>-5.5136573753199869</v>
          </cell>
          <cell r="S2">
            <v>-1.8821022094644642</v>
          </cell>
          <cell r="T2">
            <v>-2.73778382858809</v>
          </cell>
          <cell r="U2">
            <v>-3.4415251161056029</v>
          </cell>
          <cell r="V2">
            <v>-5.4060260765354426</v>
          </cell>
          <cell r="W2">
            <v>-7.0173729276904373</v>
          </cell>
          <cell r="X2">
            <v>-9.4147602191830515</v>
          </cell>
          <cell r="Y2">
            <v>-10.597113513426603</v>
          </cell>
        </row>
        <row r="3">
          <cell r="B3">
            <v>13.844994971677718</v>
          </cell>
          <cell r="C3">
            <v>17.149999999999999</v>
          </cell>
          <cell r="D3">
            <v>17.149999999999999</v>
          </cell>
          <cell r="E3">
            <v>17.149999999999999</v>
          </cell>
          <cell r="F3">
            <v>17.149999999999999</v>
          </cell>
          <cell r="G3">
            <v>13.895843049653516</v>
          </cell>
          <cell r="H3">
            <v>6.302810194140414</v>
          </cell>
          <cell r="I3">
            <v>0.81142148498196243</v>
          </cell>
          <cell r="J3">
            <v>-4.7477573993327349</v>
          </cell>
          <cell r="K3">
            <v>-4.7477573993327349</v>
          </cell>
          <cell r="L3">
            <v>-0.40888146553742183</v>
          </cell>
          <cell r="M3">
            <v>-4.9511497112359351</v>
          </cell>
          <cell r="N3">
            <v>-4.9511497112359351</v>
          </cell>
          <cell r="O3">
            <v>-3.8325320091365733</v>
          </cell>
          <cell r="P3">
            <v>-0.47667890283848902</v>
          </cell>
          <cell r="Q3">
            <v>2.8791632959280173</v>
          </cell>
          <cell r="R3">
            <v>3.9977773621835202</v>
          </cell>
          <cell r="S3">
            <v>3.9977773621835202</v>
          </cell>
          <cell r="T3">
            <v>3.9977773621835202</v>
          </cell>
          <cell r="U3">
            <v>3.9977773621835202</v>
          </cell>
          <cell r="V3">
            <v>3.9977773621835202</v>
          </cell>
          <cell r="W3">
            <v>8.3366532578072423</v>
          </cell>
          <cell r="X3">
            <v>12.743326628903622</v>
          </cell>
          <cell r="Y3">
            <v>12.743326628903622</v>
          </cell>
        </row>
        <row r="4">
          <cell r="B4">
            <v>9.3945008350333676</v>
          </cell>
          <cell r="C4">
            <v>7.2466598762933714</v>
          </cell>
          <cell r="D4">
            <v>6.2035117074654771</v>
          </cell>
          <cell r="E4">
            <v>6.0705484729377766</v>
          </cell>
          <cell r="F4">
            <v>6.8995472485191511</v>
          </cell>
          <cell r="G4">
            <v>8.5667386225473212</v>
          </cell>
          <cell r="H4">
            <v>13.291365187053202</v>
          </cell>
          <cell r="I4">
            <v>16.226213686099062</v>
          </cell>
          <cell r="J4">
            <v>18.747091595149403</v>
          </cell>
          <cell r="K4">
            <v>20.643997547132422</v>
          </cell>
          <cell r="L4">
            <v>20.818217056477593</v>
          </cell>
          <cell r="M4">
            <v>20.444929572457283</v>
          </cell>
          <cell r="N4">
            <v>20.532003467567755</v>
          </cell>
          <cell r="O4">
            <v>20.322486178588168</v>
          </cell>
          <cell r="P4">
            <v>18.333228336111045</v>
          </cell>
          <cell r="Q4">
            <v>17.418213160082839</v>
          </cell>
          <cell r="R4">
            <v>17.975648976530785</v>
          </cell>
          <cell r="S4">
            <v>24.5</v>
          </cell>
          <cell r="T4">
            <v>24.464433431156571</v>
          </cell>
          <cell r="U4">
            <v>23.71789398931411</v>
          </cell>
          <cell r="V4">
            <v>21.953412791217257</v>
          </cell>
          <cell r="W4">
            <v>19.52390132131039</v>
          </cell>
          <cell r="X4">
            <v>15.924147641452368</v>
          </cell>
          <cell r="Y4">
            <v>12.21688896093012</v>
          </cell>
        </row>
      </sheetData>
      <sheetData sheetId="12">
        <row r="2">
          <cell r="B2">
            <v>29.804176869297603</v>
          </cell>
          <cell r="C2">
            <v>26.644820270777611</v>
          </cell>
          <cell r="D2">
            <v>25.411595180390687</v>
          </cell>
          <cell r="E2">
            <v>25.353147791464139</v>
          </cell>
          <cell r="F2">
            <v>25.039313582222675</v>
          </cell>
          <cell r="G2">
            <v>26.165973821904611</v>
          </cell>
          <cell r="H2">
            <v>29.430377367433447</v>
          </cell>
          <cell r="I2">
            <v>36.732334527504271</v>
          </cell>
          <cell r="J2">
            <v>39.367123462487584</v>
          </cell>
          <cell r="K2">
            <v>41.249793296271953</v>
          </cell>
          <cell r="L2">
            <v>42.613662696283143</v>
          </cell>
          <cell r="M2">
            <v>41.488990378462901</v>
          </cell>
          <cell r="N2">
            <v>42.144125178070063</v>
          </cell>
          <cell r="O2">
            <v>42.992097653227766</v>
          </cell>
          <cell r="P2">
            <v>39.479340247125904</v>
          </cell>
          <cell r="Q2">
            <v>36.428881355961025</v>
          </cell>
          <cell r="R2">
            <v>37.805851311810983</v>
          </cell>
          <cell r="S2">
            <v>39.734333964177125</v>
          </cell>
          <cell r="T2">
            <v>42.111111160488811</v>
          </cell>
          <cell r="U2">
            <v>41.372677006938666</v>
          </cell>
          <cell r="V2">
            <v>39.85772609006446</v>
          </cell>
          <cell r="W2">
            <v>41.307497267714197</v>
          </cell>
          <cell r="X2">
            <v>34.612315009335632</v>
          </cell>
          <cell r="Y2">
            <v>34.755218765474922</v>
          </cell>
        </row>
        <row r="3">
          <cell r="B3">
            <v>28.875350957191564</v>
          </cell>
          <cell r="C3">
            <v>27.891355389404048</v>
          </cell>
          <cell r="D3">
            <v>25.050316632719948</v>
          </cell>
          <cell r="E3">
            <v>25.982571774500563</v>
          </cell>
          <cell r="F3">
            <v>25.103250102643042</v>
          </cell>
          <cell r="G3">
            <v>27.844198263445165</v>
          </cell>
          <cell r="H3">
            <v>36.289512364289422</v>
          </cell>
          <cell r="I3">
            <v>42.769788910744744</v>
          </cell>
          <cell r="J3">
            <v>46.473808680087728</v>
          </cell>
          <cell r="K3">
            <v>45.159921141297353</v>
          </cell>
          <cell r="L3">
            <v>42.634595816865414</v>
          </cell>
          <cell r="M3">
            <v>46.5</v>
          </cell>
          <cell r="N3">
            <v>44.729999659053554</v>
          </cell>
          <cell r="O3">
            <v>42.891339429203121</v>
          </cell>
          <cell r="P3">
            <v>42.251485069560395</v>
          </cell>
          <cell r="Q3">
            <v>40.546316489666197</v>
          </cell>
          <cell r="R3">
            <v>37.68679268613819</v>
          </cell>
          <cell r="S3">
            <v>41.229757874939587</v>
          </cell>
          <cell r="T3">
            <v>41.405066520114509</v>
          </cell>
          <cell r="U3">
            <v>40.281515628413231</v>
          </cell>
          <cell r="V3">
            <v>38.517973643105648</v>
          </cell>
          <cell r="W3">
            <v>37.941956418315435</v>
          </cell>
          <cell r="X3">
            <v>34.925716207720136</v>
          </cell>
          <cell r="Y3">
            <v>32.345827987123428</v>
          </cell>
        </row>
        <row r="4">
          <cell r="B4">
            <v>40.138293234919523</v>
          </cell>
          <cell r="C4">
            <v>34.945146189419937</v>
          </cell>
          <cell r="D4">
            <v>35.238338785050757</v>
          </cell>
          <cell r="E4">
            <v>32.442569312376285</v>
          </cell>
          <cell r="F4">
            <v>34.614280706719995</v>
          </cell>
          <cell r="G4">
            <v>34.120402260241164</v>
          </cell>
          <cell r="H4">
            <v>39.887077093422469</v>
          </cell>
          <cell r="I4">
            <v>44.302198024984683</v>
          </cell>
          <cell r="J4">
            <v>51.252381832168346</v>
          </cell>
          <cell r="K4">
            <v>52.588558489906255</v>
          </cell>
          <cell r="L4">
            <v>54.479497589850986</v>
          </cell>
          <cell r="M4">
            <v>57.45934099700068</v>
          </cell>
          <cell r="N4">
            <v>57.834456662186497</v>
          </cell>
          <cell r="O4">
            <v>57.395412652249817</v>
          </cell>
          <cell r="P4">
            <v>54.188584333481991</v>
          </cell>
          <cell r="Q4">
            <v>54.751525291537526</v>
          </cell>
          <cell r="R4">
            <v>54.536650589645262</v>
          </cell>
          <cell r="S4">
            <v>56.295189884377749</v>
          </cell>
          <cell r="T4">
            <v>56.248056207175203</v>
          </cell>
          <cell r="U4">
            <v>55.102772670021572</v>
          </cell>
          <cell r="V4">
            <v>53.811540954047096</v>
          </cell>
          <cell r="W4">
            <v>56.384843977543227</v>
          </cell>
          <cell r="X4">
            <v>51.819161667131951</v>
          </cell>
          <cell r="Y4">
            <v>47.11949991002956</v>
          </cell>
        </row>
      </sheetData>
      <sheetData sheetId="13">
        <row r="2">
          <cell r="B2">
            <v>30.698302175376529</v>
          </cell>
          <cell r="C2">
            <v>27.444164878900942</v>
          </cell>
          <cell r="D2">
            <v>26.173943035802409</v>
          </cell>
          <cell r="E2">
            <v>26.113742225208064</v>
          </cell>
          <cell r="F2">
            <v>25.790492989689358</v>
          </cell>
          <cell r="G2">
            <v>26.950953036561749</v>
          </cell>
          <cell r="H2">
            <v>30.313288688456449</v>
          </cell>
          <cell r="I2">
            <v>37.834304563329397</v>
          </cell>
          <cell r="J2">
            <v>40.54813716636221</v>
          </cell>
          <cell r="K2">
            <v>42.487287095160113</v>
          </cell>
          <cell r="L2">
            <v>43.892072577171639</v>
          </cell>
          <cell r="M2">
            <v>42.733660089816794</v>
          </cell>
          <cell r="N2">
            <v>43.408448933412167</v>
          </cell>
          <cell r="O2">
            <v>44.281860582824599</v>
          </cell>
          <cell r="P2">
            <v>40.663720454539686</v>
          </cell>
          <cell r="Q2">
            <v>37.521747796639858</v>
          </cell>
          <cell r="R2">
            <v>38.940026851165314</v>
          </cell>
          <cell r="S2">
            <v>40.926363983102441</v>
          </cell>
          <cell r="T2">
            <v>43.374444495303479</v>
          </cell>
          <cell r="U2">
            <v>42.613857317146824</v>
          </cell>
          <cell r="V2">
            <v>41.053457872766394</v>
          </cell>
          <cell r="W2">
            <v>42.546722185745622</v>
          </cell>
          <cell r="X2">
            <v>35.650684459615697</v>
          </cell>
          <cell r="Y2">
            <v>35.797875328439176</v>
          </cell>
        </row>
        <row r="3">
          <cell r="B3">
            <v>29.74161148590731</v>
          </cell>
          <cell r="C3">
            <v>28.728096051086172</v>
          </cell>
          <cell r="D3">
            <v>25.801826131701549</v>
          </cell>
          <cell r="E3">
            <v>26.762048927735581</v>
          </cell>
          <cell r="F3">
            <v>25.856347605722334</v>
          </cell>
          <cell r="G3">
            <v>28.679524211348518</v>
          </cell>
          <cell r="H3">
            <v>37.378197735218102</v>
          </cell>
          <cell r="I3">
            <v>44.052882578067084</v>
          </cell>
          <cell r="J3">
            <v>47.868022940490363</v>
          </cell>
          <cell r="K3">
            <v>46.514718775536281</v>
          </cell>
          <cell r="L3">
            <v>43.913633691371381</v>
          </cell>
          <cell r="M3">
            <v>47.895000000000003</v>
          </cell>
          <cell r="N3">
            <v>46.071899648825159</v>
          </cell>
          <cell r="O3">
            <v>44.178079612079216</v>
          </cell>
          <cell r="P3">
            <v>43.519029621647206</v>
          </cell>
          <cell r="Q3">
            <v>41.762705984356181</v>
          </cell>
          <cell r="R3">
            <v>38.817396466722343</v>
          </cell>
          <cell r="S3">
            <v>42.466650611187781</v>
          </cell>
          <cell r="T3">
            <v>42.647218515717945</v>
          </cell>
          <cell r="U3">
            <v>41.489961097265635</v>
          </cell>
          <cell r="V3">
            <v>39.673512852398822</v>
          </cell>
          <cell r="W3">
            <v>39.080215110864899</v>
          </cell>
          <cell r="X3">
            <v>35.973487693951739</v>
          </cell>
          <cell r="Y3">
            <v>33.316202826737126</v>
          </cell>
        </row>
        <row r="4">
          <cell r="B4">
            <v>41.34244203196711</v>
          </cell>
          <cell r="C4">
            <v>35.99350057510253</v>
          </cell>
          <cell r="D4">
            <v>36.295488948602284</v>
          </cell>
          <cell r="E4">
            <v>33.415846391747579</v>
          </cell>
          <cell r="F4">
            <v>35.652709127921597</v>
          </cell>
          <cell r="G4">
            <v>35.144014328048399</v>
          </cell>
          <cell r="H4">
            <v>41.08368940622514</v>
          </cell>
          <cell r="I4">
            <v>45.631263965734227</v>
          </cell>
          <cell r="J4">
            <v>52.7899532871334</v>
          </cell>
          <cell r="K4">
            <v>54.166215244603443</v>
          </cell>
          <cell r="L4">
            <v>56.113882517546521</v>
          </cell>
          <cell r="M4">
            <v>59.183121226910707</v>
          </cell>
          <cell r="N4">
            <v>59.5694903620521</v>
          </cell>
          <cell r="O4">
            <v>59.117275031817307</v>
          </cell>
          <cell r="P4">
            <v>55.814241863486451</v>
          </cell>
          <cell r="Q4">
            <v>56.394071050283657</v>
          </cell>
          <cell r="R4">
            <v>56.172750107334622</v>
          </cell>
          <cell r="S4">
            <v>57.984045580909083</v>
          </cell>
          <cell r="T4">
            <v>57.935497893390462</v>
          </cell>
          <cell r="U4">
            <v>56.755855850122224</v>
          </cell>
          <cell r="V4">
            <v>55.425887182668511</v>
          </cell>
          <cell r="W4">
            <v>58.076389296869522</v>
          </cell>
          <cell r="X4">
            <v>53.373736517145907</v>
          </cell>
          <cell r="Y4">
            <v>48.533084907330448</v>
          </cell>
        </row>
      </sheetData>
      <sheetData sheetId="14">
        <row r="2">
          <cell r="B2">
            <v>29.208093331911648</v>
          </cell>
          <cell r="C2">
            <v>26.111923865362058</v>
          </cell>
          <cell r="D2">
            <v>24.903363276782876</v>
          </cell>
          <cell r="E2">
            <v>24.846084835634855</v>
          </cell>
          <cell r="F2">
            <v>24.538527310578218</v>
          </cell>
          <cell r="G2">
            <v>25.642654345466518</v>
          </cell>
          <cell r="H2">
            <v>28.841769820084778</v>
          </cell>
          <cell r="I2">
            <v>35.997687836954178</v>
          </cell>
          <cell r="J2">
            <v>38.579780993237826</v>
          </cell>
          <cell r="K2">
            <v>40.424797430346516</v>
          </cell>
          <cell r="L2">
            <v>41.761389442357483</v>
          </cell>
          <cell r="M2">
            <v>40.659210570893649</v>
          </cell>
          <cell r="N2">
            <v>41.301242674508664</v>
          </cell>
          <cell r="O2">
            <v>42.132255700163206</v>
          </cell>
          <cell r="P2">
            <v>38.689753442183388</v>
          </cell>
          <cell r="Q2">
            <v>35.700303728841803</v>
          </cell>
          <cell r="R2">
            <v>37.049734285574765</v>
          </cell>
          <cell r="S2">
            <v>38.939647284893582</v>
          </cell>
          <cell r="T2">
            <v>41.26888893727903</v>
          </cell>
          <cell r="U2">
            <v>40.545223466799889</v>
          </cell>
          <cell r="V2">
            <v>39.060571568263171</v>
          </cell>
          <cell r="W2">
            <v>40.481347322359916</v>
          </cell>
          <cell r="X2">
            <v>33.920068709148914</v>
          </cell>
          <cell r="Y2">
            <v>34.060114390165424</v>
          </cell>
        </row>
        <row r="3">
          <cell r="B3">
            <v>28.297843938047734</v>
          </cell>
          <cell r="C3">
            <v>27.333528281615965</v>
          </cell>
          <cell r="D3">
            <v>24.549310300065549</v>
          </cell>
          <cell r="E3">
            <v>25.462920339010552</v>
          </cell>
          <cell r="F3">
            <v>24.601185100590182</v>
          </cell>
          <cell r="G3">
            <v>27.287314298176256</v>
          </cell>
          <cell r="H3">
            <v>35.563722117003636</v>
          </cell>
          <cell r="I3">
            <v>41.914393132529845</v>
          </cell>
          <cell r="J3">
            <v>45.544332506485972</v>
          </cell>
          <cell r="K3">
            <v>44.256722718471408</v>
          </cell>
          <cell r="L3">
            <v>41.781903900528107</v>
          </cell>
          <cell r="M3">
            <v>45.57</v>
          </cell>
          <cell r="N3">
            <v>43.83539966587248</v>
          </cell>
          <cell r="O3">
            <v>42.033512640619058</v>
          </cell>
          <cell r="P3">
            <v>41.40645536816919</v>
          </cell>
          <cell r="Q3">
            <v>39.735390159872871</v>
          </cell>
          <cell r="R3">
            <v>36.933056832415431</v>
          </cell>
          <cell r="S3">
            <v>40.405162717440795</v>
          </cell>
          <cell r="T3">
            <v>40.576965189712219</v>
          </cell>
          <cell r="U3">
            <v>39.47588531584497</v>
          </cell>
          <cell r="V3">
            <v>37.747614170243537</v>
          </cell>
          <cell r="W3">
            <v>37.183117289949124</v>
          </cell>
          <cell r="X3">
            <v>34.227201883565733</v>
          </cell>
          <cell r="Y3">
            <v>31.69891142738096</v>
          </cell>
        </row>
        <row r="4">
          <cell r="B4">
            <v>39.335527370221129</v>
          </cell>
          <cell r="C4">
            <v>34.246243265631534</v>
          </cell>
          <cell r="D4">
            <v>34.53357200934974</v>
          </cell>
          <cell r="E4">
            <v>31.793717926128764</v>
          </cell>
          <cell r="F4">
            <v>33.92199509258559</v>
          </cell>
          <cell r="G4">
            <v>33.437994215036341</v>
          </cell>
          <cell r="H4">
            <v>39.089335551554022</v>
          </cell>
          <cell r="I4">
            <v>43.416154064484985</v>
          </cell>
          <cell r="J4">
            <v>50.227334195524975</v>
          </cell>
          <cell r="K4">
            <v>51.536787320108125</v>
          </cell>
          <cell r="L4">
            <v>53.38990763805397</v>
          </cell>
          <cell r="M4">
            <v>56.310154177060667</v>
          </cell>
          <cell r="N4">
            <v>56.677767528942766</v>
          </cell>
          <cell r="O4">
            <v>56.247504399204821</v>
          </cell>
          <cell r="P4">
            <v>53.104812646812348</v>
          </cell>
          <cell r="Q4">
            <v>53.656494785706776</v>
          </cell>
          <cell r="R4">
            <v>53.445917577852356</v>
          </cell>
          <cell r="S4">
            <v>55.169286086690185</v>
          </cell>
          <cell r="T4">
            <v>55.1230950830317</v>
          </cell>
          <cell r="U4">
            <v>54.00071721662114</v>
          </cell>
          <cell r="V4">
            <v>52.735310134966156</v>
          </cell>
          <cell r="W4">
            <v>55.257147097992359</v>
          </cell>
          <cell r="X4">
            <v>50.782778433789311</v>
          </cell>
          <cell r="Y4">
            <v>46.177109911828964</v>
          </cell>
        </row>
      </sheetData>
      <sheetData sheetId="15">
        <row r="2">
          <cell r="B2">
            <v>-11.088841925983788</v>
          </cell>
          <cell r="C2">
            <v>-13.065323033043761</v>
          </cell>
          <cell r="D2">
            <v>-14.684923998850405</v>
          </cell>
          <cell r="E2">
            <v>-13.830347092910559</v>
          </cell>
          <cell r="F2">
            <v>-13.969399347096569</v>
          </cell>
          <cell r="G2">
            <v>-13.733839083829603</v>
          </cell>
          <cell r="H2">
            <v>-11.42434438615695</v>
          </cell>
          <cell r="I2">
            <v>-2.7372853032067219</v>
          </cell>
          <cell r="J2">
            <v>3.067458834337967</v>
          </cell>
          <cell r="K2">
            <v>5.5999989790138986</v>
          </cell>
          <cell r="L2">
            <v>3.6701180867174648</v>
          </cell>
          <cell r="M2">
            <v>5.0444104809313339</v>
          </cell>
          <cell r="N2">
            <v>4.4223529988851746</v>
          </cell>
          <cell r="O2">
            <v>4.4212663008034578</v>
          </cell>
          <cell r="P2">
            <v>1.0160953442116454</v>
          </cell>
          <cell r="Q2">
            <v>-1.8396861042081714</v>
          </cell>
          <cell r="R2">
            <v>-0.79459390599102997</v>
          </cell>
          <cell r="S2">
            <v>1.137649286212379</v>
          </cell>
          <cell r="T2">
            <v>6.8719547083179386E-2</v>
          </cell>
          <cell r="U2">
            <v>-1.4718026832605351</v>
          </cell>
          <cell r="V2">
            <v>-2.987202385176956</v>
          </cell>
          <cell r="W2">
            <v>-3.2933486610726868</v>
          </cell>
          <cell r="X2">
            <v>-6.3080766097708816</v>
          </cell>
          <cell r="Y2">
            <v>-7.9487186287736025</v>
          </cell>
        </row>
        <row r="3">
          <cell r="B3">
            <v>-2.0416492018416124</v>
          </cell>
          <cell r="C3">
            <v>-0.62549122389476985</v>
          </cell>
          <cell r="D3">
            <v>-2.6193939123207386</v>
          </cell>
          <cell r="E3">
            <v>-3.8149999999999995</v>
          </cell>
          <cell r="F3">
            <v>-2.8000000000000007</v>
          </cell>
          <cell r="G3">
            <v>-4.2802514138049919</v>
          </cell>
          <cell r="H3">
            <v>-1.4658471276391805</v>
          </cell>
          <cell r="I3">
            <v>1.1643132923190587</v>
          </cell>
          <cell r="J3">
            <v>0.66692099127970028</v>
          </cell>
          <cell r="K3">
            <v>0.80169965916860464</v>
          </cell>
          <cell r="L3">
            <v>2.1379066004862848</v>
          </cell>
          <cell r="M3">
            <v>1.2887270380343245</v>
          </cell>
          <cell r="N3">
            <v>2.3609502665246009</v>
          </cell>
          <cell r="O3">
            <v>3.3430240018811648</v>
          </cell>
          <cell r="P3">
            <v>2.4042439160597446</v>
          </cell>
          <cell r="Q3">
            <v>3.2723933788967976</v>
          </cell>
          <cell r="R3">
            <v>1.2337607500799099</v>
          </cell>
          <cell r="S3">
            <v>1.1521734569741238</v>
          </cell>
          <cell r="T3">
            <v>1.2337607500799099</v>
          </cell>
          <cell r="U3">
            <v>1.1368511337022784</v>
          </cell>
          <cell r="V3">
            <v>-0.58773988762411578</v>
          </cell>
          <cell r="W3">
            <v>0.53037799112387607</v>
          </cell>
          <cell r="X3">
            <v>-2.9395683403642692</v>
          </cell>
          <cell r="Y3">
            <v>-2.6512951820839734</v>
          </cell>
        </row>
        <row r="4">
          <cell r="B4">
            <v>9.4393191010555899</v>
          </cell>
          <cell r="C4">
            <v>7.4966547713080836</v>
          </cell>
          <cell r="D4">
            <v>6.9597908049056638</v>
          </cell>
          <cell r="E4">
            <v>6.4288857936403154</v>
          </cell>
          <cell r="F4">
            <v>6.859975883228171</v>
          </cell>
          <cell r="G4">
            <v>5.3109564507033715</v>
          </cell>
          <cell r="H4">
            <v>9.085447883450259</v>
          </cell>
          <cell r="I4">
            <v>13.092182632975129</v>
          </cell>
          <cell r="J4">
            <v>17.717818939306181</v>
          </cell>
          <cell r="K4">
            <v>20.848274955873382</v>
          </cell>
          <cell r="L4">
            <v>21.195241729266453</v>
          </cell>
          <cell r="M4">
            <v>21.511095728825421</v>
          </cell>
          <cell r="N4">
            <v>23.100164598932942</v>
          </cell>
          <cell r="O4">
            <v>22.244892317791091</v>
          </cell>
          <cell r="P4">
            <v>20.660467992445859</v>
          </cell>
          <cell r="Q4">
            <v>20.502954463113181</v>
          </cell>
          <cell r="R4">
            <v>19.903721709814427</v>
          </cell>
          <cell r="S4">
            <v>20.929236545383567</v>
          </cell>
          <cell r="T4">
            <v>20.783883202483562</v>
          </cell>
          <cell r="U4">
            <v>20.53977177214384</v>
          </cell>
          <cell r="V4">
            <v>17.673466241030393</v>
          </cell>
          <cell r="W4">
            <v>19.175684953740713</v>
          </cell>
          <cell r="X4">
            <v>16.189065446942021</v>
          </cell>
          <cell r="Y4">
            <v>13.449246788708443</v>
          </cell>
        </row>
      </sheetData>
      <sheetData sheetId="16">
        <row r="2">
          <cell r="B2">
            <v>-11.421507183763302</v>
          </cell>
          <cell r="C2">
            <v>-13.457282724035073</v>
          </cell>
          <cell r="D2">
            <v>-15.125471718815918</v>
          </cell>
          <cell r="E2">
            <v>-14.245257505697877</v>
          </cell>
          <cell r="F2">
            <v>-14.388481327509467</v>
          </cell>
          <cell r="G2">
            <v>-14.145854256344492</v>
          </cell>
          <cell r="H2">
            <v>-11.767074717741659</v>
          </cell>
          <cell r="I2">
            <v>-2.8194038623029241</v>
          </cell>
          <cell r="J2">
            <v>3.1594825993681059</v>
          </cell>
          <cell r="K2">
            <v>5.7679989483843155</v>
          </cell>
          <cell r="L2">
            <v>3.780221629318989</v>
          </cell>
          <cell r="M2">
            <v>5.1957427953592745</v>
          </cell>
          <cell r="N2">
            <v>4.5550235888517303</v>
          </cell>
          <cell r="O2">
            <v>4.5539042898275621</v>
          </cell>
          <cell r="P2">
            <v>1.0465782045379948</v>
          </cell>
          <cell r="Q2">
            <v>-1.8948766873344167</v>
          </cell>
          <cell r="R2">
            <v>-0.81843172317076096</v>
          </cell>
          <cell r="S2">
            <v>1.1717787647987503</v>
          </cell>
          <cell r="T2">
            <v>7.0781133495674775E-2</v>
          </cell>
          <cell r="U2">
            <v>-1.5159567637583511</v>
          </cell>
          <cell r="V2">
            <v>-3.0768184567322647</v>
          </cell>
          <cell r="W2">
            <v>-3.3921491209048673</v>
          </cell>
          <cell r="X2">
            <v>-6.4973189080640088</v>
          </cell>
          <cell r="Y2">
            <v>-8.1871801876368107</v>
          </cell>
        </row>
        <row r="3">
          <cell r="B3">
            <v>-2.1028986778968606</v>
          </cell>
          <cell r="C3">
            <v>-0.64425596061161305</v>
          </cell>
          <cell r="D3">
            <v>-2.6979757296903606</v>
          </cell>
          <cell r="E3">
            <v>-3.9294499999999997</v>
          </cell>
          <cell r="F3">
            <v>-2.8840000000000003</v>
          </cell>
          <cell r="G3">
            <v>-4.4086589562191421</v>
          </cell>
          <cell r="H3">
            <v>-1.5098225414683557</v>
          </cell>
          <cell r="I3">
            <v>1.1992426910886305</v>
          </cell>
          <cell r="J3">
            <v>0.68692862101809127</v>
          </cell>
          <cell r="K3">
            <v>0.82575064894366279</v>
          </cell>
          <cell r="L3">
            <v>2.2020437985008732</v>
          </cell>
          <cell r="M3">
            <v>1.3273888491753543</v>
          </cell>
          <cell r="N3">
            <v>2.4317787745203394</v>
          </cell>
          <cell r="O3">
            <v>3.4433147219375995</v>
          </cell>
          <cell r="P3">
            <v>2.4763712335415375</v>
          </cell>
          <cell r="Q3">
            <v>3.3705651802637018</v>
          </cell>
          <cell r="R3">
            <v>1.2707735725823071</v>
          </cell>
          <cell r="S3">
            <v>1.1867386606833474</v>
          </cell>
          <cell r="T3">
            <v>1.2707735725823071</v>
          </cell>
          <cell r="U3">
            <v>1.1709566677133467</v>
          </cell>
          <cell r="V3">
            <v>-0.60537208425283928</v>
          </cell>
          <cell r="W3">
            <v>0.54628933085759235</v>
          </cell>
          <cell r="X3">
            <v>-3.0277553905751975</v>
          </cell>
          <cell r="Y3">
            <v>-2.7308340375464923</v>
          </cell>
        </row>
        <row r="4">
          <cell r="B4">
            <v>9.722498674087257</v>
          </cell>
          <cell r="C4">
            <v>7.7215544144473265</v>
          </cell>
          <cell r="D4">
            <v>7.1685845290528336</v>
          </cell>
          <cell r="E4">
            <v>6.6217523674495249</v>
          </cell>
          <cell r="F4">
            <v>7.0657751597250167</v>
          </cell>
          <cell r="G4">
            <v>5.4702851442244729</v>
          </cell>
          <cell r="H4">
            <v>9.3580113199537678</v>
          </cell>
          <cell r="I4">
            <v>13.484948111964384</v>
          </cell>
          <cell r="J4">
            <v>18.249353507485367</v>
          </cell>
          <cell r="K4">
            <v>21.473723204549586</v>
          </cell>
          <cell r="L4">
            <v>21.831098981144446</v>
          </cell>
          <cell r="M4">
            <v>22.156428600690184</v>
          </cell>
          <cell r="N4">
            <v>23.793169536900933</v>
          </cell>
          <cell r="O4">
            <v>22.912239087324824</v>
          </cell>
          <cell r="P4">
            <v>21.280282032219233</v>
          </cell>
          <cell r="Q4">
            <v>21.118043097006577</v>
          </cell>
          <cell r="R4">
            <v>20.500833361108857</v>
          </cell>
          <cell r="S4">
            <v>21.557113641745072</v>
          </cell>
          <cell r="T4">
            <v>21.407399698558073</v>
          </cell>
          <cell r="U4">
            <v>21.155964925308155</v>
          </cell>
          <cell r="V4">
            <v>18.203670228261306</v>
          </cell>
          <cell r="W4">
            <v>19.750955502352934</v>
          </cell>
          <cell r="X4">
            <v>16.674737410350279</v>
          </cell>
          <cell r="Y4">
            <v>13.852724192369697</v>
          </cell>
        </row>
      </sheetData>
      <sheetData sheetId="17">
        <row r="2">
          <cell r="B2">
            <v>-10.867065087464113</v>
          </cell>
          <cell r="C2">
            <v>-12.804016572382885</v>
          </cell>
          <cell r="D2">
            <v>-14.391225518873396</v>
          </cell>
          <cell r="E2">
            <v>-13.553740151052347</v>
          </cell>
          <cell r="F2">
            <v>-13.690011360154639</v>
          </cell>
          <cell r="G2">
            <v>-13.459162302153011</v>
          </cell>
          <cell r="H2">
            <v>-11.19585749843381</v>
          </cell>
          <cell r="I2">
            <v>-2.6825395971425876</v>
          </cell>
          <cell r="J2">
            <v>3.0061096576512076</v>
          </cell>
          <cell r="K2">
            <v>5.4879989994336205</v>
          </cell>
          <cell r="L2">
            <v>3.5967157249831154</v>
          </cell>
          <cell r="M2">
            <v>4.9435222713127063</v>
          </cell>
          <cell r="N2">
            <v>4.3339059389074706</v>
          </cell>
          <cell r="O2">
            <v>4.3328409747873895</v>
          </cell>
          <cell r="P2">
            <v>0.99577343732741241</v>
          </cell>
          <cell r="Q2">
            <v>-1.8028923821240079</v>
          </cell>
          <cell r="R2">
            <v>-0.77870202787120935</v>
          </cell>
          <cell r="S2">
            <v>1.1148963004881314</v>
          </cell>
          <cell r="T2">
            <v>6.7345156141515802E-2</v>
          </cell>
          <cell r="U2">
            <v>-1.4423666295953244</v>
          </cell>
          <cell r="V2">
            <v>-2.9274583374734164</v>
          </cell>
          <cell r="W2">
            <v>-3.2274816878512329</v>
          </cell>
          <cell r="X2">
            <v>-6.1819150775754643</v>
          </cell>
          <cell r="Y2">
            <v>-7.7897442561981309</v>
          </cell>
        </row>
        <row r="3">
          <cell r="B3">
            <v>-2.0008162178047799</v>
          </cell>
          <cell r="C3">
            <v>-0.61298139941687446</v>
          </cell>
          <cell r="D3">
            <v>-2.5670060340743235</v>
          </cell>
          <cell r="E3">
            <v>-3.7386999999999992</v>
          </cell>
          <cell r="F3">
            <v>-2.7440000000000002</v>
          </cell>
          <cell r="G3">
            <v>-4.194646385528892</v>
          </cell>
          <cell r="H3">
            <v>-1.4365301850863967</v>
          </cell>
          <cell r="I3">
            <v>1.1410270264726776</v>
          </cell>
          <cell r="J3">
            <v>0.65358257145410625</v>
          </cell>
          <cell r="K3">
            <v>0.78566566598523246</v>
          </cell>
          <cell r="L3">
            <v>2.0951484684765593</v>
          </cell>
          <cell r="M3">
            <v>1.2629524972736379</v>
          </cell>
          <cell r="N3">
            <v>2.3137312611941092</v>
          </cell>
          <cell r="O3">
            <v>3.2761635218435416</v>
          </cell>
          <cell r="P3">
            <v>2.35615903773855</v>
          </cell>
          <cell r="Q3">
            <v>3.2069455113188612</v>
          </cell>
          <cell r="R3">
            <v>1.2090855350783116</v>
          </cell>
          <cell r="S3">
            <v>1.1291299878346415</v>
          </cell>
          <cell r="T3">
            <v>1.2090855350783116</v>
          </cell>
          <cell r="U3">
            <v>1.1141141110282329</v>
          </cell>
          <cell r="V3">
            <v>-0.57598508987163344</v>
          </cell>
          <cell r="W3">
            <v>0.51977043130139855</v>
          </cell>
          <cell r="X3">
            <v>-2.8807769735569835</v>
          </cell>
          <cell r="Y3">
            <v>-2.5982692784422938</v>
          </cell>
        </row>
        <row r="4">
          <cell r="B4">
            <v>9.2505327190344762</v>
          </cell>
          <cell r="C4">
            <v>7.3467216758819216</v>
          </cell>
          <cell r="D4">
            <v>6.8205949888075503</v>
          </cell>
          <cell r="E4">
            <v>6.3003080777675091</v>
          </cell>
          <cell r="F4">
            <v>6.7227763655636084</v>
          </cell>
          <cell r="G4">
            <v>5.2047373216893043</v>
          </cell>
          <cell r="H4">
            <v>8.9037389257812549</v>
          </cell>
          <cell r="I4">
            <v>12.830338980315629</v>
          </cell>
          <cell r="J4">
            <v>17.363462560520055</v>
          </cell>
          <cell r="K4">
            <v>20.431309456755915</v>
          </cell>
          <cell r="L4">
            <v>20.771336894681124</v>
          </cell>
          <cell r="M4">
            <v>21.080873814248914</v>
          </cell>
          <cell r="N4">
            <v>22.638161306954281</v>
          </cell>
          <cell r="O4">
            <v>21.799994471435269</v>
          </cell>
          <cell r="P4">
            <v>20.247258632596939</v>
          </cell>
          <cell r="Q4">
            <v>20.092895373850919</v>
          </cell>
          <cell r="R4">
            <v>19.505647275618138</v>
          </cell>
          <cell r="S4">
            <v>20.510651814475896</v>
          </cell>
          <cell r="T4">
            <v>20.368205538433891</v>
          </cell>
          <cell r="U4">
            <v>20.128976336700962</v>
          </cell>
          <cell r="V4">
            <v>17.319996916209789</v>
          </cell>
          <cell r="W4">
            <v>18.792171254665899</v>
          </cell>
          <cell r="X4">
            <v>15.865284138003178</v>
          </cell>
          <cell r="Y4">
            <v>13.180261852934274</v>
          </cell>
        </row>
      </sheetData>
      <sheetData sheetId="18">
        <row r="2">
          <cell r="B2">
            <v>32.817375945180018</v>
          </cell>
          <cell r="C2">
            <v>29.816054647595806</v>
          </cell>
          <cell r="D2">
            <v>29.295245664706428</v>
          </cell>
          <cell r="E2">
            <v>29.220409083340382</v>
          </cell>
          <cell r="F2">
            <v>29.222712823617609</v>
          </cell>
          <cell r="G2">
            <v>28.964275690097171</v>
          </cell>
          <cell r="H2">
            <v>31.269521157901131</v>
          </cell>
          <cell r="I2">
            <v>37.124561006189111</v>
          </cell>
          <cell r="J2">
            <v>42.311443296985573</v>
          </cell>
          <cell r="K2">
            <v>43.611591410751721</v>
          </cell>
          <cell r="L2">
            <v>43.170253740394109</v>
          </cell>
          <cell r="M2">
            <v>44.391048414605869</v>
          </cell>
          <cell r="N2">
            <v>45</v>
          </cell>
          <cell r="O2">
            <v>44.167584304461947</v>
          </cell>
          <cell r="P2">
            <v>42.441726729097923</v>
          </cell>
          <cell r="Q2">
            <v>40.733520449221196</v>
          </cell>
          <cell r="R2">
            <v>41.444186883530428</v>
          </cell>
          <cell r="S2">
            <v>41.853645097091622</v>
          </cell>
          <cell r="T2">
            <v>42.03129827269828</v>
          </cell>
          <cell r="U2">
            <v>41.335487053836879</v>
          </cell>
          <cell r="V2">
            <v>41.459681983858381</v>
          </cell>
          <cell r="W2">
            <v>43.176857843221036</v>
          </cell>
          <cell r="X2">
            <v>40.246057516386649</v>
          </cell>
          <cell r="Y2">
            <v>36.893336517241856</v>
          </cell>
        </row>
        <row r="3">
          <cell r="B3">
            <v>33.274803251773768</v>
          </cell>
          <cell r="C3">
            <v>30.29770808896906</v>
          </cell>
          <cell r="D3">
            <v>28.814738182842035</v>
          </cell>
          <cell r="E3">
            <v>27.788929416265447</v>
          </cell>
          <cell r="F3">
            <v>27.788929416265447</v>
          </cell>
          <cell r="G3">
            <v>29.795954262951184</v>
          </cell>
          <cell r="H3">
            <v>37.333448032961321</v>
          </cell>
          <cell r="I3">
            <v>45.941338459596224</v>
          </cell>
          <cell r="J3">
            <v>47.948365710769622</v>
          </cell>
          <cell r="K3">
            <v>46.944850889217129</v>
          </cell>
          <cell r="L3">
            <v>46.922554552261445</v>
          </cell>
          <cell r="M3">
            <v>50</v>
          </cell>
          <cell r="N3">
            <v>50</v>
          </cell>
          <cell r="O3">
            <v>50</v>
          </cell>
          <cell r="P3">
            <v>47.491214142084559</v>
          </cell>
          <cell r="Q3">
            <v>44.960127160211236</v>
          </cell>
          <cell r="R3">
            <v>41.882686499474886</v>
          </cell>
          <cell r="S3">
            <v>41.882686499474886</v>
          </cell>
          <cell r="T3">
            <v>41.882686499474886</v>
          </cell>
          <cell r="U3">
            <v>41.882686499474886</v>
          </cell>
          <cell r="V3">
            <v>41.882686499474886</v>
          </cell>
          <cell r="W3">
            <v>41.882686499474886</v>
          </cell>
          <cell r="X3">
            <v>40.377425040255353</v>
          </cell>
          <cell r="Y3">
            <v>37.779446643027327</v>
          </cell>
        </row>
        <row r="4">
          <cell r="B4">
            <v>44.865864987387084</v>
          </cell>
          <cell r="C4">
            <v>39.495523010342957</v>
          </cell>
          <cell r="D4">
            <v>37.347251859751694</v>
          </cell>
          <cell r="E4">
            <v>36.162740690435101</v>
          </cell>
          <cell r="F4">
            <v>38.335890154838715</v>
          </cell>
          <cell r="G4">
            <v>35.113211958178042</v>
          </cell>
          <cell r="H4">
            <v>41.181390873337726</v>
          </cell>
          <cell r="I4">
            <v>47.798535510840388</v>
          </cell>
          <cell r="J4">
            <v>53.84827683750818</v>
          </cell>
          <cell r="K4">
            <v>57.793534551430149</v>
          </cell>
          <cell r="L4">
            <v>59.64305265787354</v>
          </cell>
          <cell r="M4">
            <v>60.586991450795175</v>
          </cell>
          <cell r="N4">
            <v>61.776626940151822</v>
          </cell>
          <cell r="O4">
            <v>62.282600162562005</v>
          </cell>
          <cell r="P4">
            <v>62.5</v>
          </cell>
          <cell r="Q4">
            <v>60.143799765726357</v>
          </cell>
          <cell r="R4">
            <v>60.173902963837676</v>
          </cell>
          <cell r="S4">
            <v>57.827884042529625</v>
          </cell>
          <cell r="T4">
            <v>58.132149240630504</v>
          </cell>
          <cell r="U4">
            <v>58.610095416705747</v>
          </cell>
          <cell r="V4">
            <v>58.128308238547049</v>
          </cell>
          <cell r="W4">
            <v>60.212093727850366</v>
          </cell>
          <cell r="X4">
            <v>58.828061556194697</v>
          </cell>
          <cell r="Y4">
            <v>52.576544886746582</v>
          </cell>
        </row>
      </sheetData>
      <sheetData sheetId="19">
        <row r="2">
          <cell r="B2">
            <v>33.80189722353542</v>
          </cell>
          <cell r="C2">
            <v>30.710536287023682</v>
          </cell>
          <cell r="D2">
            <v>30.174103034647622</v>
          </cell>
          <cell r="E2">
            <v>30.097021355840596</v>
          </cell>
          <cell r="F2">
            <v>30.099394208326139</v>
          </cell>
          <cell r="G2">
            <v>29.833203960800088</v>
          </cell>
          <cell r="H2">
            <v>32.207606792638167</v>
          </cell>
          <cell r="I2">
            <v>38.238297836374784</v>
          </cell>
          <cell r="J2">
            <v>43.580786595895141</v>
          </cell>
          <cell r="K2">
            <v>44.919939153074274</v>
          </cell>
          <cell r="L2">
            <v>44.465361352605932</v>
          </cell>
          <cell r="M2">
            <v>45.722779867044046</v>
          </cell>
          <cell r="N2">
            <v>46.35</v>
          </cell>
          <cell r="O2">
            <v>45.492611833595802</v>
          </cell>
          <cell r="P2">
            <v>43.714978530970861</v>
          </cell>
          <cell r="Q2">
            <v>41.955526062697835</v>
          </cell>
          <cell r="R2">
            <v>42.68751249003634</v>
          </cell>
          <cell r="S2">
            <v>43.109254450004372</v>
          </cell>
          <cell r="T2">
            <v>43.29223722087923</v>
          </cell>
          <cell r="U2">
            <v>42.575551665451982</v>
          </cell>
          <cell r="V2">
            <v>42.703472443374132</v>
          </cell>
          <cell r="W2">
            <v>44.472163578517666</v>
          </cell>
          <cell r="X2">
            <v>41.45343924187825</v>
          </cell>
          <cell r="Y2">
            <v>38.000136612759107</v>
          </cell>
        </row>
        <row r="3">
          <cell r="B3">
            <v>34.27304734932698</v>
          </cell>
          <cell r="C3">
            <v>31.206639331638129</v>
          </cell>
          <cell r="D3">
            <v>29.679180328327298</v>
          </cell>
          <cell r="E3">
            <v>28.622597298753412</v>
          </cell>
          <cell r="F3">
            <v>28.622597298753412</v>
          </cell>
          <cell r="G3">
            <v>30.689832890839725</v>
          </cell>
          <cell r="H3">
            <v>38.45345147395016</v>
          </cell>
          <cell r="I3">
            <v>47.319578613384117</v>
          </cell>
          <cell r="J3">
            <v>49.386816682092714</v>
          </cell>
          <cell r="K3">
            <v>48.353196415893649</v>
          </cell>
          <cell r="L3">
            <v>48.330231188829295</v>
          </cell>
          <cell r="M3">
            <v>51.5</v>
          </cell>
          <cell r="N3">
            <v>51.5</v>
          </cell>
          <cell r="O3">
            <v>51.5</v>
          </cell>
          <cell r="P3">
            <v>48.915950566347099</v>
          </cell>
          <cell r="Q3">
            <v>46.308930975017574</v>
          </cell>
          <cell r="R3">
            <v>43.139167094459133</v>
          </cell>
          <cell r="S3">
            <v>43.139167094459133</v>
          </cell>
          <cell r="T3">
            <v>43.139167094459133</v>
          </cell>
          <cell r="U3">
            <v>43.139167094459133</v>
          </cell>
          <cell r="V3">
            <v>43.139167094459133</v>
          </cell>
          <cell r="W3">
            <v>43.139167094459133</v>
          </cell>
          <cell r="X3">
            <v>41.588747791463014</v>
          </cell>
          <cell r="Y3">
            <v>38.912830042318149</v>
          </cell>
        </row>
        <row r="4">
          <cell r="B4">
            <v>46.211840937008702</v>
          </cell>
          <cell r="C4">
            <v>40.680388700653246</v>
          </cell>
          <cell r="D4">
            <v>38.467669415544243</v>
          </cell>
          <cell r="E4">
            <v>37.247622911148156</v>
          </cell>
          <cell r="F4">
            <v>39.485966859483874</v>
          </cell>
          <cell r="G4">
            <v>36.166608316923387</v>
          </cell>
          <cell r="H4">
            <v>42.416832599537855</v>
          </cell>
          <cell r="I4">
            <v>49.2324915761656</v>
          </cell>
          <cell r="J4">
            <v>55.463725142633429</v>
          </cell>
          <cell r="K4">
            <v>59.527340587973057</v>
          </cell>
          <cell r="L4">
            <v>61.432344237609755</v>
          </cell>
          <cell r="M4">
            <v>62.404601194319028</v>
          </cell>
          <cell r="N4">
            <v>63.629925748356378</v>
          </cell>
          <cell r="O4">
            <v>64.151078167438868</v>
          </cell>
          <cell r="P4">
            <v>64.375</v>
          </cell>
          <cell r="Q4">
            <v>61.948113758698142</v>
          </cell>
          <cell r="R4">
            <v>61.979120052752805</v>
          </cell>
          <cell r="S4">
            <v>59.562720563805513</v>
          </cell>
          <cell r="T4">
            <v>59.876113717849421</v>
          </cell>
          <cell r="U4">
            <v>60.368398279206922</v>
          </cell>
          <cell r="V4">
            <v>59.872157485703461</v>
          </cell>
          <cell r="W4">
            <v>62.018456539685879</v>
          </cell>
          <cell r="X4">
            <v>60.592903402880538</v>
          </cell>
          <cell r="Y4">
            <v>54.153841233348977</v>
          </cell>
        </row>
      </sheetData>
      <sheetData sheetId="20">
        <row r="2">
          <cell r="B2">
            <v>32.161028426276417</v>
          </cell>
          <cell r="C2">
            <v>29.219733554643891</v>
          </cell>
          <cell r="D2">
            <v>28.709340751412302</v>
          </cell>
          <cell r="E2">
            <v>28.636000901673572</v>
          </cell>
          <cell r="F2">
            <v>28.638258567145257</v>
          </cell>
          <cell r="G2">
            <v>28.384990176295229</v>
          </cell>
          <cell r="H2">
            <v>30.644130734743111</v>
          </cell>
          <cell r="I2">
            <v>36.38206978606533</v>
          </cell>
          <cell r="J2">
            <v>41.465214431045865</v>
          </cell>
          <cell r="K2">
            <v>42.739359582536679</v>
          </cell>
          <cell r="L2">
            <v>42.30684866558623</v>
          </cell>
          <cell r="M2">
            <v>43.503227446313751</v>
          </cell>
          <cell r="N2">
            <v>44.1</v>
          </cell>
          <cell r="O2">
            <v>43.284232618372705</v>
          </cell>
          <cell r="P2">
            <v>41.592892194515962</v>
          </cell>
          <cell r="Q2">
            <v>39.918850040236777</v>
          </cell>
          <cell r="R2">
            <v>40.615303145859812</v>
          </cell>
          <cell r="S2">
            <v>41.016572195149791</v>
          </cell>
          <cell r="T2">
            <v>41.190672307244313</v>
          </cell>
          <cell r="U2">
            <v>40.508777312760138</v>
          </cell>
          <cell r="V2">
            <v>40.630488344181209</v>
          </cell>
          <cell r="W2">
            <v>42.313320686356619</v>
          </cell>
          <cell r="X2">
            <v>39.44113636605892</v>
          </cell>
          <cell r="Y2">
            <v>36.155469786897015</v>
          </cell>
        </row>
        <row r="3">
          <cell r="B3">
            <v>32.609307186738292</v>
          </cell>
          <cell r="C3">
            <v>29.69175392718968</v>
          </cell>
          <cell r="D3">
            <v>28.238443419185195</v>
          </cell>
          <cell r="E3">
            <v>27.233150827940133</v>
          </cell>
          <cell r="F3">
            <v>27.233150827940133</v>
          </cell>
          <cell r="G3">
            <v>29.200035177692165</v>
          </cell>
          <cell r="H3">
            <v>36.586779072302093</v>
          </cell>
          <cell r="I3">
            <v>45.022511690404301</v>
          </cell>
          <cell r="J3">
            <v>46.989398396554236</v>
          </cell>
          <cell r="K3">
            <v>46.005953871432787</v>
          </cell>
          <cell r="L3">
            <v>45.984103461216222</v>
          </cell>
          <cell r="M3">
            <v>49</v>
          </cell>
          <cell r="N3">
            <v>49</v>
          </cell>
          <cell r="O3">
            <v>49</v>
          </cell>
          <cell r="P3">
            <v>46.541389859242862</v>
          </cell>
          <cell r="Q3">
            <v>44.060924617007011</v>
          </cell>
          <cell r="R3">
            <v>41.045032769485388</v>
          </cell>
          <cell r="S3">
            <v>41.045032769485388</v>
          </cell>
          <cell r="T3">
            <v>41.045032769485388</v>
          </cell>
          <cell r="U3">
            <v>41.045032769485388</v>
          </cell>
          <cell r="V3">
            <v>41.045032769485388</v>
          </cell>
          <cell r="W3">
            <v>41.045032769485388</v>
          </cell>
          <cell r="X3">
            <v>39.569876539450249</v>
          </cell>
          <cell r="Y3">
            <v>37.02385771016678</v>
          </cell>
        </row>
        <row r="4">
          <cell r="B4">
            <v>43.968547687639344</v>
          </cell>
          <cell r="C4">
            <v>38.705612550136102</v>
          </cell>
          <cell r="D4">
            <v>36.600306822556654</v>
          </cell>
          <cell r="E4">
            <v>35.439485876626406</v>
          </cell>
          <cell r="F4">
            <v>37.56917235174194</v>
          </cell>
          <cell r="G4">
            <v>34.410947719014487</v>
          </cell>
          <cell r="H4">
            <v>40.357763055870976</v>
          </cell>
          <cell r="I4">
            <v>46.842564800623578</v>
          </cell>
          <cell r="J4">
            <v>52.771311300758015</v>
          </cell>
          <cell r="K4">
            <v>56.637663860401545</v>
          </cell>
          <cell r="L4">
            <v>58.450191604716068</v>
          </cell>
          <cell r="M4">
            <v>59.375251621779263</v>
          </cell>
          <cell r="N4">
            <v>60.541094401348786</v>
          </cell>
          <cell r="O4">
            <v>61.036948159310768</v>
          </cell>
          <cell r="P4">
            <v>61.25</v>
          </cell>
          <cell r="Q4">
            <v>58.940923770411821</v>
          </cell>
          <cell r="R4">
            <v>58.970424904560922</v>
          </cell>
          <cell r="S4">
            <v>56.671326361679036</v>
          </cell>
          <cell r="T4">
            <v>56.96950625581789</v>
          </cell>
          <cell r="U4">
            <v>57.43789350837163</v>
          </cell>
          <cell r="V4">
            <v>56.965742073776106</v>
          </cell>
          <cell r="W4">
            <v>59.00785185329336</v>
          </cell>
          <cell r="X4">
            <v>57.651500325070799</v>
          </cell>
          <cell r="Y4">
            <v>51.525013989011654</v>
          </cell>
        </row>
      </sheetData>
      <sheetData sheetId="21">
        <row r="2">
          <cell r="B2">
            <v>-10.460555889122473</v>
          </cell>
          <cell r="C2">
            <v>-13.60000711137498</v>
          </cell>
          <cell r="D2">
            <v>-14.989832438442269</v>
          </cell>
          <cell r="E2">
            <v>-13.679007427684805</v>
          </cell>
          <cell r="F2">
            <v>-14.662055579958459</v>
          </cell>
          <cell r="G2">
            <v>-15</v>
          </cell>
          <cell r="H2">
            <v>-13.000354277337081</v>
          </cell>
          <cell r="I2">
            <v>-2.0225630497432934</v>
          </cell>
          <cell r="J2">
            <v>6.4922785620283223</v>
          </cell>
          <cell r="K2">
            <v>9.4514956358025533</v>
          </cell>
          <cell r="L2">
            <v>7.4297205539571705</v>
          </cell>
          <cell r="M2">
            <v>9.8965917745325651</v>
          </cell>
          <cell r="N2">
            <v>8.7824322348813109</v>
          </cell>
          <cell r="O2">
            <v>9.0468606034475183</v>
          </cell>
          <cell r="P2">
            <v>4.6678480617715037</v>
          </cell>
          <cell r="Q2">
            <v>1.1800884944323786</v>
          </cell>
          <cell r="R2">
            <v>2.6252266815345489</v>
          </cell>
          <cell r="S2">
            <v>3.188742745063061</v>
          </cell>
          <cell r="T2">
            <v>1.9210974177443787</v>
          </cell>
          <cell r="U2">
            <v>-0.35837393675904172</v>
          </cell>
          <cell r="V2">
            <v>-1.39903428216524</v>
          </cell>
          <cell r="W2">
            <v>-0.97334439700275344</v>
          </cell>
          <cell r="X2">
            <v>-4.6679092230400974</v>
          </cell>
          <cell r="Y2">
            <v>-6.3183951985649145</v>
          </cell>
        </row>
        <row r="3">
          <cell r="B3">
            <v>-13.238700041483979</v>
          </cell>
          <cell r="C3">
            <v>-13.238700041483979</v>
          </cell>
          <cell r="D3">
            <v>-15.369350020741987</v>
          </cell>
          <cell r="E3">
            <v>-17.5</v>
          </cell>
          <cell r="F3">
            <v>-17.5</v>
          </cell>
          <cell r="G3">
            <v>-17.5</v>
          </cell>
          <cell r="H3">
            <v>-6.9778717969972428</v>
          </cell>
          <cell r="I3">
            <v>1.4463903636619411</v>
          </cell>
          <cell r="J3">
            <v>4.5932017328260173</v>
          </cell>
          <cell r="K3">
            <v>4.5932017328260173</v>
          </cell>
          <cell r="L3">
            <v>4.1998437124476347</v>
          </cell>
          <cell r="M3">
            <v>5.9043552318562922</v>
          </cell>
          <cell r="N3">
            <v>8.0022247716433341</v>
          </cell>
          <cell r="O3">
            <v>8.248077956938614</v>
          </cell>
          <cell r="P3">
            <v>4.6259786379411887</v>
          </cell>
          <cell r="Q3">
            <v>3.6098172295789577</v>
          </cell>
          <cell r="R3">
            <v>-0.58592188690745695</v>
          </cell>
          <cell r="S3">
            <v>-0.58592188690745695</v>
          </cell>
          <cell r="T3">
            <v>-0.58592188690745695</v>
          </cell>
          <cell r="U3">
            <v>-0.58592188690745695</v>
          </cell>
          <cell r="V3">
            <v>-3.7327367719711662</v>
          </cell>
          <cell r="W3">
            <v>-4.7816750669924017</v>
          </cell>
          <cell r="X3">
            <v>-13.369807661944664</v>
          </cell>
          <cell r="Y3">
            <v>-13.369807661944664</v>
          </cell>
        </row>
        <row r="4">
          <cell r="B4">
            <v>10.686627055883104</v>
          </cell>
          <cell r="C4">
            <v>8.1880271442666093</v>
          </cell>
          <cell r="D4">
            <v>7.7593821892689059</v>
          </cell>
          <cell r="E4">
            <v>6.7768420089803687</v>
          </cell>
          <cell r="F4">
            <v>7.8014863947853508</v>
          </cell>
          <cell r="G4">
            <v>3.6207907522596137</v>
          </cell>
          <cell r="H4">
            <v>6.3174342491118045</v>
          </cell>
          <cell r="I4">
            <v>12.13969632964368</v>
          </cell>
          <cell r="J4">
            <v>17.659552313749185</v>
          </cell>
          <cell r="K4">
            <v>20.984459895034021</v>
          </cell>
          <cell r="L4">
            <v>22.908570953690287</v>
          </cell>
          <cell r="M4">
            <v>23.744937648225861</v>
          </cell>
          <cell r="N4">
            <v>24.812272019843068</v>
          </cell>
          <cell r="O4">
            <v>25</v>
          </cell>
          <cell r="P4">
            <v>24.822550505179802</v>
          </cell>
          <cell r="Q4">
            <v>23.996243323270871</v>
          </cell>
          <cell r="R4">
            <v>22.836253635655485</v>
          </cell>
          <cell r="S4">
            <v>20.264603803871577</v>
          </cell>
          <cell r="T4">
            <v>20.17084909066174</v>
          </cell>
          <cell r="U4">
            <v>19.188566278503806</v>
          </cell>
          <cell r="V4">
            <v>17.296536957439471</v>
          </cell>
          <cell r="W4">
            <v>20.735169960805727</v>
          </cell>
          <cell r="X4">
            <v>18.579467024338225</v>
          </cell>
          <cell r="Y4">
            <v>14.952007043816234</v>
          </cell>
        </row>
      </sheetData>
      <sheetData sheetId="22">
        <row r="2">
          <cell r="B2">
            <v>-10.774372565796146</v>
          </cell>
          <cell r="C2">
            <v>-14.00800732471623</v>
          </cell>
          <cell r="D2">
            <v>-15.439527411595538</v>
          </cell>
          <cell r="E2">
            <v>-14.089377650515351</v>
          </cell>
          <cell r="F2">
            <v>-15.101917247357211</v>
          </cell>
          <cell r="G2">
            <v>-15.450000000000001</v>
          </cell>
          <cell r="H2">
            <v>-13.390364905657194</v>
          </cell>
          <cell r="I2">
            <v>-2.0832399412355924</v>
          </cell>
          <cell r="J2">
            <v>6.6870469188891724</v>
          </cell>
          <cell r="K2">
            <v>9.7350405048766291</v>
          </cell>
          <cell r="L2">
            <v>7.6526121705758863</v>
          </cell>
          <cell r="M2">
            <v>10.193489527768541</v>
          </cell>
          <cell r="N2">
            <v>9.0459052019277504</v>
          </cell>
          <cell r="O2">
            <v>9.318266421550943</v>
          </cell>
          <cell r="P2">
            <v>4.807883503624649</v>
          </cell>
          <cell r="Q2">
            <v>1.21549114926535</v>
          </cell>
          <cell r="R2">
            <v>2.7039834819805852</v>
          </cell>
          <cell r="S2">
            <v>3.284405027414953</v>
          </cell>
          <cell r="T2">
            <v>1.97873034027671</v>
          </cell>
          <cell r="U2">
            <v>-0.36912515486181302</v>
          </cell>
          <cell r="V2">
            <v>-1.4410053106301972</v>
          </cell>
          <cell r="W2">
            <v>-1.002544728912836</v>
          </cell>
          <cell r="X2">
            <v>-4.8079464997313011</v>
          </cell>
          <cell r="Y2">
            <v>-6.5079470545218614</v>
          </cell>
        </row>
        <row r="3">
          <cell r="B3">
            <v>-13.635861042728497</v>
          </cell>
          <cell r="C3">
            <v>-13.635861042728497</v>
          </cell>
          <cell r="D3">
            <v>-15.830430521364248</v>
          </cell>
          <cell r="E3">
            <v>-18.025000000000002</v>
          </cell>
          <cell r="F3">
            <v>-18.025000000000002</v>
          </cell>
          <cell r="G3">
            <v>-18.025000000000002</v>
          </cell>
          <cell r="H3">
            <v>-7.18720795090716</v>
          </cell>
          <cell r="I3">
            <v>1.4897820745717996</v>
          </cell>
          <cell r="J3">
            <v>4.730997784810798</v>
          </cell>
          <cell r="K3">
            <v>4.730997784810798</v>
          </cell>
          <cell r="L3">
            <v>4.3258390238210636</v>
          </cell>
          <cell r="M3">
            <v>6.0814858888119803</v>
          </cell>
          <cell r="N3">
            <v>8.2422915147926332</v>
          </cell>
          <cell r="O3">
            <v>8.4955202956467719</v>
          </cell>
          <cell r="P3">
            <v>4.7647579970794247</v>
          </cell>
          <cell r="Q3">
            <v>3.7181117464663269</v>
          </cell>
          <cell r="R3">
            <v>-0.6034995435146806</v>
          </cell>
          <cell r="S3">
            <v>-0.6034995435146806</v>
          </cell>
          <cell r="T3">
            <v>-0.6034995435146806</v>
          </cell>
          <cell r="U3">
            <v>-0.6034995435146806</v>
          </cell>
          <cell r="V3">
            <v>-3.8447188751303014</v>
          </cell>
          <cell r="W3">
            <v>-4.9251253190021744</v>
          </cell>
          <cell r="X3">
            <v>-13.770901891803005</v>
          </cell>
          <cell r="Y3">
            <v>-13.770901891803005</v>
          </cell>
        </row>
        <row r="4">
          <cell r="B4">
            <v>11.007225867559598</v>
          </cell>
          <cell r="C4">
            <v>8.4336679585946062</v>
          </cell>
          <cell r="D4">
            <v>7.9921636549469728</v>
          </cell>
          <cell r="E4">
            <v>6.9801472692497795</v>
          </cell>
          <cell r="F4">
            <v>8.0355309866289115</v>
          </cell>
          <cell r="G4">
            <v>3.7294144748274021</v>
          </cell>
          <cell r="H4">
            <v>6.5069572765851582</v>
          </cell>
          <cell r="I4">
            <v>12.503887219532992</v>
          </cell>
          <cell r="J4">
            <v>18.189338883161664</v>
          </cell>
          <cell r="K4">
            <v>21.613993691885042</v>
          </cell>
          <cell r="L4">
            <v>23.595828082300997</v>
          </cell>
          <cell r="M4">
            <v>24.457285777672638</v>
          </cell>
          <cell r="N4">
            <v>25.556640180438361</v>
          </cell>
          <cell r="O4">
            <v>25.75</v>
          </cell>
          <cell r="P4">
            <v>25.567227020335199</v>
          </cell>
          <cell r="Q4">
            <v>24.716130622968997</v>
          </cell>
          <cell r="R4">
            <v>23.52134124472515</v>
          </cell>
          <cell r="S4">
            <v>20.872541917987725</v>
          </cell>
          <cell r="T4">
            <v>20.775974563381595</v>
          </cell>
          <cell r="U4">
            <v>19.76422326685892</v>
          </cell>
          <cell r="V4">
            <v>17.815433066162655</v>
          </cell>
          <cell r="W4">
            <v>21.357225059629901</v>
          </cell>
          <cell r="X4">
            <v>19.136851035068371</v>
          </cell>
          <cell r="Y4">
            <v>15.400567255130722</v>
          </cell>
        </row>
      </sheetData>
      <sheetData sheetId="23">
        <row r="2">
          <cell r="B2">
            <v>-10.251344771340023</v>
          </cell>
          <cell r="C2">
            <v>-13.328006969147481</v>
          </cell>
          <cell r="D2">
            <v>-14.690035789673422</v>
          </cell>
          <cell r="E2">
            <v>-13.405427279131109</v>
          </cell>
          <cell r="F2">
            <v>-14.36881446835929</v>
          </cell>
          <cell r="G2">
            <v>-14.7</v>
          </cell>
          <cell r="H2">
            <v>-12.740347191790338</v>
          </cell>
          <cell r="I2">
            <v>-1.9821117887484276</v>
          </cell>
          <cell r="J2">
            <v>6.3624329907877559</v>
          </cell>
          <cell r="K2">
            <v>9.2624657230865015</v>
          </cell>
          <cell r="L2">
            <v>7.2811261428780272</v>
          </cell>
          <cell r="M2">
            <v>9.6986599390419137</v>
          </cell>
          <cell r="N2">
            <v>8.6067835901836851</v>
          </cell>
          <cell r="O2">
            <v>8.8659233913785673</v>
          </cell>
          <cell r="P2">
            <v>4.5744911005360738</v>
          </cell>
          <cell r="Q2">
            <v>1.1564867245437309</v>
          </cell>
          <cell r="R2">
            <v>2.5727221479038578</v>
          </cell>
          <cell r="S2">
            <v>3.1249678901617997</v>
          </cell>
          <cell r="T2">
            <v>1.8826754693894914</v>
          </cell>
          <cell r="U2">
            <v>-0.35120645802386091</v>
          </cell>
          <cell r="V2">
            <v>-1.371053596521935</v>
          </cell>
          <cell r="W2">
            <v>-0.9538775090626983</v>
          </cell>
          <cell r="X2">
            <v>-4.5745510385792958</v>
          </cell>
          <cell r="Y2">
            <v>-6.1920272945936166</v>
          </cell>
        </row>
        <row r="3">
          <cell r="B3">
            <v>-12.973926040654298</v>
          </cell>
          <cell r="C3">
            <v>-12.973926040654298</v>
          </cell>
          <cell r="D3">
            <v>-15.061963020327148</v>
          </cell>
          <cell r="E3">
            <v>-17.149999999999999</v>
          </cell>
          <cell r="F3">
            <v>-17.149999999999999</v>
          </cell>
          <cell r="G3">
            <v>-17.149999999999999</v>
          </cell>
          <cell r="H3">
            <v>-6.8383143610572974</v>
          </cell>
          <cell r="I3">
            <v>1.4174625563887022</v>
          </cell>
          <cell r="J3">
            <v>4.5013376981694968</v>
          </cell>
          <cell r="K3">
            <v>4.5013376981694968</v>
          </cell>
          <cell r="L3">
            <v>4.1158468381986815</v>
          </cell>
          <cell r="M3">
            <v>5.7862681272191665</v>
          </cell>
          <cell r="N3">
            <v>7.8421802762104669</v>
          </cell>
          <cell r="O3">
            <v>8.0831163977998415</v>
          </cell>
          <cell r="P3">
            <v>4.533459065182365</v>
          </cell>
          <cell r="Q3">
            <v>3.5376208849873785</v>
          </cell>
          <cell r="R3">
            <v>-0.57420344916930777</v>
          </cell>
          <cell r="S3">
            <v>-0.57420344916930777</v>
          </cell>
          <cell r="T3">
            <v>-0.57420344916930777</v>
          </cell>
          <cell r="U3">
            <v>-0.57420344916930777</v>
          </cell>
          <cell r="V3">
            <v>-3.6580820365317428</v>
          </cell>
          <cell r="W3">
            <v>-4.6860415656525536</v>
          </cell>
          <cell r="X3">
            <v>-13.102411508705773</v>
          </cell>
          <cell r="Y3">
            <v>-13.102411508705773</v>
          </cell>
        </row>
        <row r="4">
          <cell r="B4">
            <v>10.472894514765443</v>
          </cell>
          <cell r="C4">
            <v>8.0242666013812762</v>
          </cell>
          <cell r="D4">
            <v>7.6041945454835265</v>
          </cell>
          <cell r="E4">
            <v>6.6413051688007609</v>
          </cell>
          <cell r="F4">
            <v>7.6454566668896442</v>
          </cell>
          <cell r="G4">
            <v>3.5483749372144215</v>
          </cell>
          <cell r="H4">
            <v>6.1910855641295681</v>
          </cell>
          <cell r="I4">
            <v>11.896902403050806</v>
          </cell>
          <cell r="J4">
            <v>17.306361267474202</v>
          </cell>
          <cell r="K4">
            <v>20.564770697133341</v>
          </cell>
          <cell r="L4">
            <v>22.450399534616484</v>
          </cell>
          <cell r="M4">
            <v>23.270038895261344</v>
          </cell>
          <cell r="N4">
            <v>24.316026579446206</v>
          </cell>
          <cell r="O4">
            <v>24.5</v>
          </cell>
          <cell r="P4">
            <v>24.326099495076207</v>
          </cell>
          <cell r="Q4">
            <v>23.516318456805454</v>
          </cell>
          <cell r="R4">
            <v>22.379528562942376</v>
          </cell>
          <cell r="S4">
            <v>19.859311727794147</v>
          </cell>
          <cell r="T4">
            <v>19.767432108848507</v>
          </cell>
          <cell r="U4">
            <v>18.804794952933733</v>
          </cell>
          <cell r="V4">
            <v>16.95060621829068</v>
          </cell>
          <cell r="W4">
            <v>20.320466561589612</v>
          </cell>
          <cell r="X4">
            <v>18.207877683851461</v>
          </cell>
          <cell r="Y4">
            <v>14.652966902939909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4.9164000000000003</v>
          </cell>
          <cell r="C2">
            <v>5.0804</v>
          </cell>
          <cell r="D2">
            <v>4.5491999999999999</v>
          </cell>
          <cell r="E2">
            <v>4.3120000000000003</v>
          </cell>
          <cell r="F2">
            <v>3.5327999999999999</v>
          </cell>
          <cell r="G2">
            <v>2.9984000000000002</v>
          </cell>
          <cell r="H2">
            <v>3.6667999999999998</v>
          </cell>
          <cell r="I2">
            <v>0.63680000000000003</v>
          </cell>
          <cell r="J2">
            <v>0.56000000000000005</v>
          </cell>
          <cell r="K2">
            <v>0.81640000000000001</v>
          </cell>
          <cell r="L2">
            <v>0.48080000000000001</v>
          </cell>
          <cell r="M2">
            <v>0.6008</v>
          </cell>
          <cell r="N2">
            <v>0.95720000000000005</v>
          </cell>
          <cell r="O2">
            <v>1.7636000000000001</v>
          </cell>
          <cell r="P2">
            <v>1.8815999999999999</v>
          </cell>
          <cell r="Q2">
            <v>1.8504</v>
          </cell>
          <cell r="R2">
            <v>1.038</v>
          </cell>
          <cell r="S2">
            <v>2.1143999999999998</v>
          </cell>
          <cell r="T2">
            <v>1.2407999999999999</v>
          </cell>
          <cell r="U2">
            <v>0.87239999999999995</v>
          </cell>
          <cell r="V2">
            <v>1.3248</v>
          </cell>
          <cell r="W2">
            <v>0.81879999999999997</v>
          </cell>
          <cell r="X2">
            <v>3.7372000000000001</v>
          </cell>
          <cell r="Y2">
            <v>4.5052000000000003</v>
          </cell>
        </row>
        <row r="3">
          <cell r="B3">
            <v>-11.1</v>
          </cell>
          <cell r="C3">
            <v>-11.8696</v>
          </cell>
          <cell r="D3">
            <v>-13.349600000000001</v>
          </cell>
          <cell r="E3">
            <v>-14.400399999999999</v>
          </cell>
          <cell r="F3">
            <v>-15.391999999999999</v>
          </cell>
          <cell r="G3">
            <v>-16.797999999999998</v>
          </cell>
          <cell r="H3">
            <v>-16.028400000000001</v>
          </cell>
          <cell r="I3">
            <v>-17.979759999999999</v>
          </cell>
          <cell r="J3">
            <v>-16.307359999999999</v>
          </cell>
          <cell r="K3">
            <v>-23.952839999999998</v>
          </cell>
          <cell r="L3">
            <v>-23.707360000000001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</v>
          </cell>
          <cell r="Q3">
            <v>-17.204239999999999</v>
          </cell>
          <cell r="R3">
            <v>-16.086960000000001</v>
          </cell>
          <cell r="S3">
            <v>-14.396240000000001</v>
          </cell>
          <cell r="T3">
            <v>-9.1377199999999998</v>
          </cell>
          <cell r="U3">
            <v>-10.22648</v>
          </cell>
          <cell r="V3">
            <v>-10.809839999999999</v>
          </cell>
          <cell r="W3">
            <v>-11.605399999999999</v>
          </cell>
          <cell r="X3">
            <v>-9.2203999999999997</v>
          </cell>
          <cell r="Y3">
            <v>-9.7975999999999992</v>
          </cell>
        </row>
        <row r="4">
          <cell r="B4">
            <v>10.69356</v>
          </cell>
          <cell r="C4">
            <v>11.44032</v>
          </cell>
          <cell r="D4">
            <v>12.82724</v>
          </cell>
          <cell r="E4">
            <v>13.802440000000001</v>
          </cell>
          <cell r="F4">
            <v>14.6914</v>
          </cell>
          <cell r="G4">
            <v>16.042000000000002</v>
          </cell>
          <cell r="H4">
            <v>15.294</v>
          </cell>
          <cell r="I4">
            <v>17.259160000000001</v>
          </cell>
          <cell r="J4">
            <v>15.80916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</v>
          </cell>
          <cell r="Q4">
            <v>13.671480000000001</v>
          </cell>
          <cell r="R4">
            <v>12.736039999999999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</v>
          </cell>
          <cell r="W4">
            <v>11.41456</v>
          </cell>
          <cell r="X4">
            <v>8.8819999999999997</v>
          </cell>
          <cell r="Y4">
            <v>9.4448000000000008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4" sqref="B4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2041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1.2323919403474466</v>
      </c>
    </row>
    <row r="6" spans="1:11" x14ac:dyDescent="0.3">
      <c r="A6" t="s">
        <v>10</v>
      </c>
      <c r="B6" s="7">
        <f>((1+[1]Main!$B$3)^($B$3-2020))*$B$4</f>
        <v>1.6795818512976552</v>
      </c>
    </row>
    <row r="7" spans="1:11" x14ac:dyDescent="0.3">
      <c r="A7" t="s">
        <v>12</v>
      </c>
      <c r="B7" s="2">
        <f>SUM('RES installed'!$C$2:$C$7)</f>
        <v>335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H42" sqref="H42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>
        <v>4</v>
      </c>
      <c r="B2">
        <v>4</v>
      </c>
      <c r="C2" s="4">
        <v>45</v>
      </c>
    </row>
    <row r="3" spans="1:3" x14ac:dyDescent="0.3">
      <c r="A3">
        <v>5</v>
      </c>
      <c r="B3">
        <v>6</v>
      </c>
      <c r="C3" s="4">
        <v>60</v>
      </c>
    </row>
    <row r="4" spans="1:3" x14ac:dyDescent="0.3">
      <c r="A4">
        <v>6</v>
      </c>
      <c r="B4">
        <v>8</v>
      </c>
      <c r="C4" s="4">
        <v>45</v>
      </c>
    </row>
    <row r="5" spans="1:3" x14ac:dyDescent="0.3">
      <c r="A5">
        <v>7</v>
      </c>
      <c r="B5">
        <v>4</v>
      </c>
      <c r="C5" s="4">
        <v>75</v>
      </c>
    </row>
    <row r="6" spans="1:3" x14ac:dyDescent="0.3">
      <c r="A6">
        <v>8</v>
      </c>
      <c r="B6">
        <v>6</v>
      </c>
      <c r="C6" s="4">
        <v>50</v>
      </c>
    </row>
    <row r="7" spans="1:3" x14ac:dyDescent="0.3">
      <c r="A7">
        <v>9</v>
      </c>
      <c r="B7">
        <v>8</v>
      </c>
      <c r="C7" s="4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B2" sqref="B2:B4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21"/>
  <sheetViews>
    <sheetView workbookViewId="0">
      <selection activeCell="A7" sqref="A7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f>1/COUNT($A$2:$A$21)</f>
        <v>0.33333333333333331</v>
      </c>
    </row>
    <row r="3" spans="1:2" x14ac:dyDescent="0.3">
      <c r="A3">
        <v>2</v>
      </c>
      <c r="B3" s="1">
        <f t="shared" ref="B3:B4" si="0">1/COUNT($A$2:$A$21)</f>
        <v>0.33333333333333331</v>
      </c>
    </row>
    <row r="4" spans="1:2" x14ac:dyDescent="0.3">
      <c r="A4">
        <v>3</v>
      </c>
      <c r="B4" s="1">
        <f t="shared" si="0"/>
        <v>0.33333333333333331</v>
      </c>
    </row>
    <row r="5" spans="1:2" x14ac:dyDescent="0.3">
      <c r="B5" s="1"/>
    </row>
    <row r="6" spans="1:2" x14ac:dyDescent="0.3">
      <c r="B6" s="1"/>
    </row>
    <row r="7" spans="1:2" x14ac:dyDescent="0.3">
      <c r="B7" s="1"/>
    </row>
    <row r="8" spans="1:2" x14ac:dyDescent="0.3">
      <c r="B8" s="1"/>
    </row>
    <row r="9" spans="1:2" x14ac:dyDescent="0.3">
      <c r="B9" s="1"/>
    </row>
    <row r="10" spans="1:2" x14ac:dyDescent="0.3">
      <c r="B10" s="1"/>
    </row>
    <row r="11" spans="1:2" x14ac:dyDescent="0.3">
      <c r="B11" s="1"/>
    </row>
    <row r="12" spans="1:2" x14ac:dyDescent="0.3">
      <c r="B12" s="1"/>
    </row>
    <row r="13" spans="1:2" x14ac:dyDescent="0.3">
      <c r="B13" s="1"/>
    </row>
    <row r="14" spans="1:2" x14ac:dyDescent="0.3">
      <c r="B14" s="1"/>
    </row>
    <row r="15" spans="1:2" x14ac:dyDescent="0.3">
      <c r="B15" s="1"/>
    </row>
    <row r="16" spans="1:2" x14ac:dyDescent="0.3">
      <c r="B16" s="1"/>
    </row>
    <row r="17" spans="2:2" x14ac:dyDescent="0.3">
      <c r="B17" s="1"/>
    </row>
    <row r="18" spans="2:2" x14ac:dyDescent="0.3">
      <c r="B18" s="1"/>
    </row>
    <row r="19" spans="2:2" x14ac:dyDescent="0.3">
      <c r="B19" s="1"/>
    </row>
    <row r="20" spans="2:2" x14ac:dyDescent="0.3">
      <c r="B20" s="1"/>
    </row>
    <row r="21" spans="2:2" x14ac:dyDescent="0.3">
      <c r="B2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:Y4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8.2574962137197936</v>
      </c>
      <c r="C2" s="2">
        <f>'[1]EV Profiles'!C2*Main!$B$6</f>
        <v>8.5329476373326081</v>
      </c>
      <c r="D2" s="2">
        <f>'[1]EV Profiles'!D2*Main!$B$6</f>
        <v>7.6407537579232931</v>
      </c>
      <c r="E2" s="2">
        <f>'[1]EV Profiles'!E2*Main!$B$6</f>
        <v>7.2423569427954897</v>
      </c>
      <c r="F2" s="2">
        <f>'[1]EV Profiles'!F2*Main!$B$6</f>
        <v>5.9336267642643561</v>
      </c>
      <c r="G2" s="2">
        <f>'[1]EV Profiles'!G2*Main!$B$6</f>
        <v>5.0360582229308894</v>
      </c>
      <c r="H2" s="2">
        <f>'[1]EV Profiles'!H2*Main!$B$6</f>
        <v>6.1586907323382416</v>
      </c>
      <c r="I2" s="2">
        <f>'[1]EV Profiles'!I2*Main!$B$6</f>
        <v>1.0695577229063469</v>
      </c>
      <c r="J2" s="2">
        <f>'[1]EV Profiles'!J2*Main!$B$6</f>
        <v>0.94056583672668703</v>
      </c>
      <c r="K2" s="2">
        <f>'[1]EV Profiles'!K2*Main!$B$6</f>
        <v>1.3712106233994057</v>
      </c>
      <c r="L2" s="2">
        <f>'[1]EV Profiles'!L2*Main!$B$6</f>
        <v>0.80754295410391264</v>
      </c>
      <c r="M2" s="2">
        <f>'[1]EV Profiles'!M2*Main!$B$6</f>
        <v>1.0090927762596313</v>
      </c>
      <c r="N2" s="2">
        <f>'[1]EV Profiles'!N2*Main!$B$6</f>
        <v>1.6076957480621157</v>
      </c>
      <c r="O2" s="2">
        <f>'[1]EV Profiles'!O2*Main!$B$6</f>
        <v>2.9621105529485448</v>
      </c>
      <c r="P2" s="2">
        <f>'[1]EV Profiles'!P2*Main!$B$6</f>
        <v>3.1603012114016682</v>
      </c>
      <c r="Q2" s="2">
        <f>'[1]EV Profiles'!Q2*Main!$B$6</f>
        <v>3.1078982576411813</v>
      </c>
      <c r="R2" s="2">
        <f>'[1]EV Profiles'!R2*Main!$B$6</f>
        <v>1.7434059616469662</v>
      </c>
      <c r="S2" s="2">
        <f>'[1]EV Profiles'!S2*Main!$B$6</f>
        <v>3.5513078663837621</v>
      </c>
      <c r="T2" s="2">
        <f>'[1]EV Profiles'!T2*Main!$B$6</f>
        <v>2.0840251610901306</v>
      </c>
      <c r="U2" s="2">
        <f>'[1]EV Profiles'!U2*Main!$B$6</f>
        <v>1.4652672070720743</v>
      </c>
      <c r="V2" s="2">
        <f>'[1]EV Profiles'!V2*Main!$B$6</f>
        <v>2.2251100365991334</v>
      </c>
      <c r="W2" s="2">
        <f>'[1]EV Profiles'!W2*Main!$B$6</f>
        <v>1.3752416198425201</v>
      </c>
      <c r="X2" s="2">
        <f>'[1]EV Profiles'!X2*Main!$B$6</f>
        <v>6.2769332946695977</v>
      </c>
      <c r="Y2" s="2">
        <f>'[1]EV Profiles'!Y2*Main!$B$6</f>
        <v>7.5668521564661972</v>
      </c>
    </row>
    <row r="3" spans="1:25" x14ac:dyDescent="0.3">
      <c r="A3" t="s">
        <v>17</v>
      </c>
      <c r="B3" s="2">
        <f>'[1]EV Profiles'!B3*Main!$B$6</f>
        <v>-18.643358549403974</v>
      </c>
      <c r="C3" s="2">
        <f>'[1]EV Profiles'!C3*Main!$B$6</f>
        <v>-19.93596474216265</v>
      </c>
      <c r="D3" s="2">
        <f>'[1]EV Profiles'!D3*Main!$B$6</f>
        <v>-22.421745882083179</v>
      </c>
      <c r="E3" s="2">
        <f>'[1]EV Profiles'!E3*Main!$B$6</f>
        <v>-24.186650491426754</v>
      </c>
      <c r="F3" s="2">
        <f>'[1]EV Profiles'!F3*Main!$B$6</f>
        <v>-25.85212385517351</v>
      </c>
      <c r="G3" s="2">
        <f>'[1]EV Profiles'!G3*Main!$B$6</f>
        <v>-28.213615938098009</v>
      </c>
      <c r="H3" s="2">
        <f>'[1]EV Profiles'!H3*Main!$B$6</f>
        <v>-26.92100974533934</v>
      </c>
      <c r="I3" s="2">
        <f>'[1]EV Profiles'!I3*Main!$B$6</f>
        <v>-30.198478586687528</v>
      </c>
      <c r="J3" s="2">
        <f>'[1]EV Profiles'!J3*Main!$B$6</f>
        <v>-27.389545898577332</v>
      </c>
      <c r="K3" s="2">
        <f>'[1]EV Profiles'!K3*Main!$B$6</f>
        <v>-40.230755351036528</v>
      </c>
      <c r="L3" s="2">
        <f>'[1]EV Profiles'!L3*Main!$B$6</f>
        <v>-39.818451598179983</v>
      </c>
      <c r="M3" s="2">
        <f>'[1]EV Profiles'!M3*Main!$B$6</f>
        <v>-36.400166614418993</v>
      </c>
      <c r="N3" s="2">
        <f>'[1]EV Profiles'!N3*Main!$B$6</f>
        <v>-34.89257394469422</v>
      </c>
      <c r="O3" s="2">
        <f>'[1]EV Profiles'!O3*Main!$B$6</f>
        <v>-33.688179390765697</v>
      </c>
      <c r="P3" s="2">
        <f>'[1]EV Profiles'!P3*Main!$B$6</f>
        <v>-31.753637014441054</v>
      </c>
      <c r="Q3" s="2">
        <f>'[1]EV Profiles'!Q3*Main!$B$6</f>
        <v>-28.895929269369169</v>
      </c>
      <c r="R3" s="2">
        <f>'[1]EV Profiles'!R3*Main!$B$6</f>
        <v>-27.019366058551331</v>
      </c>
      <c r="S3" s="2">
        <f>'[1]EV Profiles'!S3*Main!$B$6</f>
        <v>-24.179663430925359</v>
      </c>
      <c r="T3" s="2">
        <f>'[1]EV Profiles'!T3*Main!$B$6</f>
        <v>-15.34754867423961</v>
      </c>
      <c r="U3" s="2">
        <f>'[1]EV Profiles'!U3*Main!$B$6</f>
        <v>-17.176210210658446</v>
      </c>
      <c r="V3" s="2">
        <f>'[1]EV Profiles'!V3*Main!$B$6</f>
        <v>-18.156011079431444</v>
      </c>
      <c r="W3" s="2">
        <f>'[1]EV Profiles'!W3*Main!$B$6</f>
        <v>-19.492219217049808</v>
      </c>
      <c r="X3" s="2">
        <f>'[1]EV Profiles'!X3*Main!$B$6</f>
        <v>-15.4864165017049</v>
      </c>
      <c r="Y3" s="2">
        <f>'[1]EV Profiles'!Y3*Main!$B$6</f>
        <v>-16.455871146273907</v>
      </c>
    </row>
    <row r="4" spans="1:25" x14ac:dyDescent="0.3">
      <c r="A4" t="s">
        <v>18</v>
      </c>
      <c r="B4" s="2">
        <f>'[1]EV Profiles'!B4*Main!$B$6</f>
        <v>17.960709301762552</v>
      </c>
      <c r="C4" s="2">
        <f>'[1]EV Profiles'!C4*Main!$B$6</f>
        <v>19.214953845037591</v>
      </c>
      <c r="D4" s="2">
        <f>'[1]EV Profiles'!D4*Main!$B$6</f>
        <v>21.544399506239333</v>
      </c>
      <c r="E4" s="2">
        <f>'[1]EV Profiles'!E4*Main!$B$6</f>
        <v>23.182327727624809</v>
      </c>
      <c r="F4" s="2">
        <f>'[1]EV Profiles'!F4*Main!$B$6</f>
        <v>24.675408810154373</v>
      </c>
      <c r="G4" s="2">
        <f>'[1]EV Profiles'!G4*Main!$B$6</f>
        <v>26.943852058516988</v>
      </c>
      <c r="H4" s="2">
        <f>'[1]EV Profiles'!H4*Main!$B$6</f>
        <v>25.687524833746341</v>
      </c>
      <c r="I4" s="2">
        <f>'[1]EV Profiles'!I4*Main!$B$6</f>
        <v>28.988171904642442</v>
      </c>
      <c r="J4" s="2">
        <f>'[1]EV Profiles'!J4*Main!$B$6</f>
        <v>26.552778220260841</v>
      </c>
      <c r="K4" s="2">
        <f>'[1]EV Profiles'!K4*Main!$B$6</f>
        <v>30.298716031572972</v>
      </c>
      <c r="L4" s="2">
        <f>'[1]EV Profiles'!L4*Main!$B$6</f>
        <v>30.537283837731295</v>
      </c>
      <c r="M4" s="2">
        <f>'[1]EV Profiles'!M4*Main!$B$6</f>
        <v>28.585878459619625</v>
      </c>
      <c r="N4" s="2">
        <f>'[1]EV Profiles'!N4*Main!$B$6</f>
        <v>27.622403126441242</v>
      </c>
      <c r="O4" s="2">
        <f>'[1]EV Profiles'!O4*Main!$B$6</f>
        <v>26.912410286260695</v>
      </c>
      <c r="P4" s="2">
        <f>'[1]EV Profiles'!P4*Main!$B$6</f>
        <v>25.221138545278006</v>
      </c>
      <c r="Q4" s="2">
        <f>'[1]EV Profiles'!Q4*Main!$B$6</f>
        <v>22.962369688378867</v>
      </c>
      <c r="R4" s="2">
        <f>'[1]EV Profiles'!R4*Main!$B$6</f>
        <v>21.391221641400989</v>
      </c>
      <c r="S4" s="2">
        <f>'[1]EV Profiles'!S4*Main!$B$6</f>
        <v>19.118478663499054</v>
      </c>
      <c r="T4" s="2">
        <f>'[1]EV Profiles'!T4*Main!$B$6</f>
        <v>14.963999362677276</v>
      </c>
      <c r="U4" s="2">
        <f>'[1]EV Profiles'!U4*Main!$B$6</f>
        <v>16.749058954236428</v>
      </c>
      <c r="V4" s="2">
        <f>'[1]EV Profiles'!V4*Main!$B$6</f>
        <v>17.797789862186683</v>
      </c>
      <c r="W4" s="2">
        <f>'[1]EV Profiles'!W4*Main!$B$6</f>
        <v>19.171687816548165</v>
      </c>
      <c r="X4" s="2">
        <f>'[1]EV Profiles'!X4*Main!$B$6</f>
        <v>14.918046003225774</v>
      </c>
      <c r="Y4" s="2">
        <f>'[1]EV Profiles'!Y4*Main!$B$6</f>
        <v>15.863314669136095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35.296580025572489</v>
      </c>
      <c r="C2" s="2">
        <f>('[1]Pc, Winter, S1'!C2*Main!$B$5)+(_xlfn.IFNA(VLOOKUP($A2,'FL Ratio'!$A$3:$B$10,2,FALSE),0)*'FL Characterization'!C$2)</f>
        <v>32.922824801841159</v>
      </c>
      <c r="D2" s="2">
        <f>('[1]Pc, Winter, S1'!D2*Main!$B$5)+(_xlfn.IFNA(VLOOKUP($A2,'FL Ratio'!$A$3:$B$10,2,FALSE),0)*'FL Characterization'!D$2)</f>
        <v>31.195388263577311</v>
      </c>
      <c r="E2" s="2">
        <f>('[1]Pc, Winter, S1'!E2*Main!$B$5)+(_xlfn.IFNA(VLOOKUP($A2,'FL Ratio'!$A$3:$B$10,2,FALSE),0)*'FL Characterization'!E$2)</f>
        <v>30.974663530761536</v>
      </c>
      <c r="F2" s="2">
        <f>('[1]Pc, Winter, S1'!F2*Main!$B$5)+(_xlfn.IFNA(VLOOKUP($A2,'FL Ratio'!$A$3:$B$10,2,FALSE),0)*'FL Characterization'!F$2)</f>
        <v>31.348288298763318</v>
      </c>
      <c r="G2" s="2">
        <f>('[1]Pc, Winter, S1'!G2*Main!$B$5)+(_xlfn.IFNA(VLOOKUP($A2,'FL Ratio'!$A$3:$B$10,2,FALSE),0)*'FL Characterization'!G$2)</f>
        <v>34.458537402357365</v>
      </c>
      <c r="H2" s="2">
        <f>('[1]Pc, Winter, S1'!H2*Main!$B$5)+(_xlfn.IFNA(VLOOKUP($A2,'FL Ratio'!$A$3:$B$10,2,FALSE),0)*'FL Characterization'!H$2)</f>
        <v>41.117432734328126</v>
      </c>
      <c r="I2" s="2">
        <f>('[1]Pc, Winter, S1'!I2*Main!$B$5)+(_xlfn.IFNA(VLOOKUP($A2,'FL Ratio'!$A$3:$B$10,2,FALSE),0)*'FL Characterization'!I$2)</f>
        <v>49.492853216843791</v>
      </c>
      <c r="J2" s="2">
        <f>('[1]Pc, Winter, S1'!J2*Main!$B$5)+(_xlfn.IFNA(VLOOKUP($A2,'FL Ratio'!$A$3:$B$10,2,FALSE),0)*'FL Characterization'!J$2)</f>
        <v>53.884268439857777</v>
      </c>
      <c r="K2" s="2">
        <f>('[1]Pc, Winter, S1'!K2*Main!$B$5)+(_xlfn.IFNA(VLOOKUP($A2,'FL Ratio'!$A$3:$B$10,2,FALSE),0)*'FL Characterization'!K$2)</f>
        <v>54.556196091799038</v>
      </c>
      <c r="L2" s="2">
        <f>('[1]Pc, Winter, S1'!L2*Main!$B$5)+(_xlfn.IFNA(VLOOKUP($A2,'FL Ratio'!$A$3:$B$10,2,FALSE),0)*'FL Characterization'!L$2)</f>
        <v>53.083907163508577</v>
      </c>
      <c r="M2" s="2">
        <f>('[1]Pc, Winter, S1'!M2*Main!$B$5)+(_xlfn.IFNA(VLOOKUP($A2,'FL Ratio'!$A$3:$B$10,2,FALSE),0)*'FL Characterization'!M$2)</f>
        <v>53.357508716212386</v>
      </c>
      <c r="N2" s="2">
        <f>('[1]Pc, Winter, S1'!N2*Main!$B$5)+(_xlfn.IFNA(VLOOKUP($A2,'FL Ratio'!$A$3:$B$10,2,FALSE),0)*'FL Characterization'!N$2)</f>
        <v>53.313661010542177</v>
      </c>
      <c r="O2" s="2">
        <f>('[1]Pc, Winter, S1'!O2*Main!$B$5)+(_xlfn.IFNA(VLOOKUP($A2,'FL Ratio'!$A$3:$B$10,2,FALSE),0)*'FL Characterization'!O$2)</f>
        <v>52.443077481660794</v>
      </c>
      <c r="P2" s="2">
        <f>('[1]Pc, Winter, S1'!P2*Main!$B$5)+(_xlfn.IFNA(VLOOKUP($A2,'FL Ratio'!$A$3:$B$10,2,FALSE),0)*'FL Characterization'!P$2)</f>
        <v>49.454369928572021</v>
      </c>
      <c r="Q2" s="2">
        <f>('[1]Pc, Winter, S1'!Q2*Main!$B$5)+(_xlfn.IFNA(VLOOKUP($A2,'FL Ratio'!$A$3:$B$10,2,FALSE),0)*'FL Characterization'!Q$2)</f>
        <v>48.037483959327361</v>
      </c>
      <c r="R2" s="2">
        <f>('[1]Pc, Winter, S1'!R2*Main!$B$5)+(_xlfn.IFNA(VLOOKUP($A2,'FL Ratio'!$A$3:$B$10,2,FALSE),0)*'FL Characterization'!R$2)</f>
        <v>50.028595353450044</v>
      </c>
      <c r="S2" s="2">
        <f>('[1]Pc, Winter, S1'!S2*Main!$B$5)+(_xlfn.IFNA(VLOOKUP($A2,'FL Ratio'!$A$3:$B$10,2,FALSE),0)*'FL Characterization'!S$2)</f>
        <v>55.457637315635097</v>
      </c>
      <c r="T2" s="2">
        <f>('[1]Pc, Winter, S1'!T2*Main!$B$5)+(_xlfn.IFNA(VLOOKUP($A2,'FL Ratio'!$A$3:$B$10,2,FALSE),0)*'FL Characterization'!T$2)</f>
        <v>55.2566042574676</v>
      </c>
      <c r="U2" s="2">
        <f>('[1]Pc, Winter, S1'!U2*Main!$B$5)+(_xlfn.IFNA(VLOOKUP($A2,'FL Ratio'!$A$3:$B$10,2,FALSE),0)*'FL Characterization'!U$2)</f>
        <v>54.112593857375238</v>
      </c>
      <c r="V2" s="2">
        <f>('[1]Pc, Winter, S1'!V2*Main!$B$5)+(_xlfn.IFNA(VLOOKUP($A2,'FL Ratio'!$A$3:$B$10,2,FALSE),0)*'FL Characterization'!V$2)</f>
        <v>53.181997276581555</v>
      </c>
      <c r="W2" s="2">
        <f>('[1]Pc, Winter, S1'!W2*Main!$B$5)+(_xlfn.IFNA(VLOOKUP($A2,'FL Ratio'!$A$3:$B$10,2,FALSE),0)*'FL Characterization'!W$2)</f>
        <v>49.845835871066384</v>
      </c>
      <c r="X2" s="2">
        <f>('[1]Pc, Winter, S1'!X2*Main!$B$5)+(_xlfn.IFNA(VLOOKUP($A2,'FL Ratio'!$A$3:$B$10,2,FALSE),0)*'FL Characterization'!X$2)</f>
        <v>43.605832199825983</v>
      </c>
      <c r="Y2" s="2">
        <f>('[1]Pc, Winter, S1'!Y2*Main!$B$5)+(_xlfn.IFNA(VLOOKUP($A2,'FL Ratio'!$A$3:$B$10,2,FALSE),0)*'FL Characterization'!Y$2)</f>
        <v>39.561558623042217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37.652249727798342</v>
      </c>
      <c r="C3" s="2">
        <f>('[1]Pc, Winter, S1'!C3*Main!$B$5)+(_xlfn.IFNA(VLOOKUP($A3,'FL Ratio'!$A$3:$B$10,2,FALSE),0)*'FL Characterization'!C$2)</f>
        <v>35.274961461344574</v>
      </c>
      <c r="D3" s="2">
        <f>('[1]Pc, Winter, S1'!D3*Main!$B$5)+(_xlfn.IFNA(VLOOKUP($A3,'FL Ratio'!$A$3:$B$10,2,FALSE),0)*'FL Characterization'!D$2)</f>
        <v>31.895116133500842</v>
      </c>
      <c r="E3" s="2">
        <f>('[1]Pc, Winter, S1'!E3*Main!$B$5)+(_xlfn.IFNA(VLOOKUP($A3,'FL Ratio'!$A$3:$B$10,2,FALSE),0)*'FL Characterization'!E$2)</f>
        <v>33.979790793064325</v>
      </c>
      <c r="F3" s="2">
        <f>('[1]Pc, Winter, S1'!F3*Main!$B$5)+(_xlfn.IFNA(VLOOKUP($A3,'FL Ratio'!$A$3:$B$10,2,FALSE),0)*'FL Characterization'!F$2)</f>
        <v>33.433458907120823</v>
      </c>
      <c r="G3" s="2">
        <f>('[1]Pc, Winter, S1'!G3*Main!$B$5)+(_xlfn.IFNA(VLOOKUP($A3,'FL Ratio'!$A$3:$B$10,2,FALSE),0)*'FL Characterization'!G$2)</f>
        <v>34.471038442342106</v>
      </c>
      <c r="H3" s="2">
        <f>('[1]Pc, Winter, S1'!H3*Main!$B$5)+(_xlfn.IFNA(VLOOKUP($A3,'FL Ratio'!$A$3:$B$10,2,FALSE),0)*'FL Characterization'!H$2)</f>
        <v>50.855147977208503</v>
      </c>
      <c r="I3" s="2">
        <f>('[1]Pc, Winter, S1'!I3*Main!$B$5)+(_xlfn.IFNA(VLOOKUP($A3,'FL Ratio'!$A$3:$B$10,2,FALSE),0)*'FL Characterization'!I$2)</f>
        <v>54.710333213113714</v>
      </c>
      <c r="J3" s="2">
        <f>('[1]Pc, Winter, S1'!J3*Main!$B$5)+(_xlfn.IFNA(VLOOKUP($A3,'FL Ratio'!$A$3:$B$10,2,FALSE),0)*'FL Characterization'!J$2)</f>
        <v>59.904357393244382</v>
      </c>
      <c r="K3" s="2">
        <f>('[1]Pc, Winter, S1'!K3*Main!$B$5)+(_xlfn.IFNA(VLOOKUP($A3,'FL Ratio'!$A$3:$B$10,2,FALSE),0)*'FL Characterization'!K$2)</f>
        <v>60.079357100839438</v>
      </c>
      <c r="L3" s="2">
        <f>('[1]Pc, Winter, S1'!L3*Main!$B$5)+(_xlfn.IFNA(VLOOKUP($A3,'FL Ratio'!$A$3:$B$10,2,FALSE),0)*'FL Characterization'!L$2)</f>
        <v>56.588843519073293</v>
      </c>
      <c r="M3" s="2">
        <f>('[1]Pc, Winter, S1'!M3*Main!$B$5)+(_xlfn.IFNA(VLOOKUP($A3,'FL Ratio'!$A$3:$B$10,2,FALSE),0)*'FL Characterization'!M$2)</f>
        <v>61.955961276125535</v>
      </c>
      <c r="N3" s="2">
        <f>('[1]Pc, Winter, S1'!N3*Main!$B$5)+(_xlfn.IFNA(VLOOKUP($A3,'FL Ratio'!$A$3:$B$10,2,FALSE),0)*'FL Characterization'!N$2)</f>
        <v>58.648421673593162</v>
      </c>
      <c r="O3" s="2">
        <f>('[1]Pc, Winter, S1'!O3*Main!$B$5)+(_xlfn.IFNA(VLOOKUP($A3,'FL Ratio'!$A$3:$B$10,2,FALSE),0)*'FL Characterization'!O$2)</f>
        <v>55.388366389525956</v>
      </c>
      <c r="P3" s="2">
        <f>('[1]Pc, Winter, S1'!P3*Main!$B$5)+(_xlfn.IFNA(VLOOKUP($A3,'FL Ratio'!$A$3:$B$10,2,FALSE),0)*'FL Characterization'!P$2)</f>
        <v>53.803116076149443</v>
      </c>
      <c r="Q3" s="2">
        <f>('[1]Pc, Winter, S1'!Q3*Main!$B$5)+(_xlfn.IFNA(VLOOKUP($A3,'FL Ratio'!$A$3:$B$10,2,FALSE),0)*'FL Characterization'!Q$2)</f>
        <v>50.325749970770367</v>
      </c>
      <c r="R3" s="2">
        <f>('[1]Pc, Winter, S1'!R3*Main!$B$5)+(_xlfn.IFNA(VLOOKUP($A3,'FL Ratio'!$A$3:$B$10,2,FALSE),0)*'FL Characterization'!R$2)</f>
        <v>49.902374024530545</v>
      </c>
      <c r="S3" s="2">
        <f>('[1]Pc, Winter, S1'!S3*Main!$B$5)+(_xlfn.IFNA(VLOOKUP($A3,'FL Ratio'!$A$3:$B$10,2,FALSE),0)*'FL Characterization'!S$2)</f>
        <v>53.398743337008312</v>
      </c>
      <c r="T3" s="2">
        <f>('[1]Pc, Winter, S1'!T3*Main!$B$5)+(_xlfn.IFNA(VLOOKUP($A3,'FL Ratio'!$A$3:$B$10,2,FALSE),0)*'FL Characterization'!T$2)</f>
        <v>52.909649101910439</v>
      </c>
      <c r="U3" s="2">
        <f>('[1]Pc, Winter, S1'!U3*Main!$B$5)+(_xlfn.IFNA(VLOOKUP($A3,'FL Ratio'!$A$3:$B$10,2,FALSE),0)*'FL Characterization'!U$2)</f>
        <v>53.489726412219447</v>
      </c>
      <c r="V3" s="2">
        <f>('[1]Pc, Winter, S1'!V3*Main!$B$5)+(_xlfn.IFNA(VLOOKUP($A3,'FL Ratio'!$A$3:$B$10,2,FALSE),0)*'FL Characterization'!V$2)</f>
        <v>52.311867092824841</v>
      </c>
      <c r="W3" s="2">
        <f>('[1]Pc, Winter, S1'!W3*Main!$B$5)+(_xlfn.IFNA(VLOOKUP($A3,'FL Ratio'!$A$3:$B$10,2,FALSE),0)*'FL Characterization'!W$2)</f>
        <v>47.058905238723447</v>
      </c>
      <c r="X3" s="2">
        <f>('[1]Pc, Winter, S1'!X3*Main!$B$5)+(_xlfn.IFNA(VLOOKUP($A3,'FL Ratio'!$A$3:$B$10,2,FALSE),0)*'FL Characterization'!X$2)</f>
        <v>41.505659848743043</v>
      </c>
      <c r="Y3" s="2">
        <f>('[1]Pc, Winter, S1'!Y3*Main!$B$5)+(_xlfn.IFNA(VLOOKUP($A3,'FL Ratio'!$A$3:$B$10,2,FALSE),0)*'FL Characterization'!Y$2)</f>
        <v>40.661756514400601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53.480121579225155</v>
      </c>
      <c r="C4" s="2">
        <f>('[1]Pc, Winter, S1'!C4*Main!$B$5)+(_xlfn.IFNA(VLOOKUP($A4,'FL Ratio'!$A$3:$B$10,2,FALSE),0)*'FL Characterization'!C$2)</f>
        <v>47.477762234742173</v>
      </c>
      <c r="D4" s="2">
        <f>('[1]Pc, Winter, S1'!D4*Main!$B$5)+(_xlfn.IFNA(VLOOKUP($A4,'FL Ratio'!$A$3:$B$10,2,FALSE),0)*'FL Characterization'!D$2)</f>
        <v>44.567245034530984</v>
      </c>
      <c r="E4" s="2">
        <f>('[1]Pc, Winter, S1'!E4*Main!$B$5)+(_xlfn.IFNA(VLOOKUP($A4,'FL Ratio'!$A$3:$B$10,2,FALSE),0)*'FL Characterization'!E$2)</f>
        <v>43.935434890607738</v>
      </c>
      <c r="F4" s="2">
        <f>('[1]Pc, Winter, S1'!F4*Main!$B$5)+(_xlfn.IFNA(VLOOKUP($A4,'FL Ratio'!$A$3:$B$10,2,FALSE),0)*'FL Characterization'!F$2)</f>
        <v>45.438382812365859</v>
      </c>
      <c r="G4" s="2">
        <f>('[1]Pc, Winter, S1'!G4*Main!$B$5)+(_xlfn.IFNA(VLOOKUP($A4,'FL Ratio'!$A$3:$B$10,2,FALSE),0)*'FL Characterization'!G$2)</f>
        <v>48.603158722615674</v>
      </c>
      <c r="H4" s="2">
        <f>('[1]Pc, Winter, S1'!H4*Main!$B$5)+(_xlfn.IFNA(VLOOKUP($A4,'FL Ratio'!$A$3:$B$10,2,FALSE),0)*'FL Characterization'!H$2)</f>
        <v>58.67548280149871</v>
      </c>
      <c r="I4" s="2">
        <f>('[1]Pc, Winter, S1'!I4*Main!$B$5)+(_xlfn.IFNA(VLOOKUP($A4,'FL Ratio'!$A$3:$B$10,2,FALSE),0)*'FL Characterization'!I$2)</f>
        <v>63.656923759644869</v>
      </c>
      <c r="J4" s="2">
        <f>('[1]Pc, Winter, S1'!J4*Main!$B$5)+(_xlfn.IFNA(VLOOKUP($A4,'FL Ratio'!$A$3:$B$10,2,FALSE),0)*'FL Characterization'!J$2)</f>
        <v>67.31124321310871</v>
      </c>
      <c r="K4" s="2">
        <f>('[1]Pc, Winter, S1'!K4*Main!$B$5)+(_xlfn.IFNA(VLOOKUP($A4,'FL Ratio'!$A$3:$B$10,2,FALSE),0)*'FL Characterization'!K$2)</f>
        <v>69.7339986402025</v>
      </c>
      <c r="L4" s="2">
        <f>('[1]Pc, Winter, S1'!L4*Main!$B$5)+(_xlfn.IFNA(VLOOKUP($A4,'FL Ratio'!$A$3:$B$10,2,FALSE),0)*'FL Characterization'!L$2)</f>
        <v>70.179962413172333</v>
      </c>
      <c r="M4" s="2">
        <f>('[1]Pc, Winter, S1'!M4*Main!$B$5)+(_xlfn.IFNA(VLOOKUP($A4,'FL Ratio'!$A$3:$B$10,2,FALSE),0)*'FL Characterization'!M$2)</f>
        <v>69.517951413177371</v>
      </c>
      <c r="N4" s="2">
        <f>('[1]Pc, Winter, S1'!N4*Main!$B$5)+(_xlfn.IFNA(VLOOKUP($A4,'FL Ratio'!$A$3:$B$10,2,FALSE),0)*'FL Characterization'!N$2)</f>
        <v>69.324935030871046</v>
      </c>
      <c r="O4" s="2">
        <f>('[1]Pc, Winter, S1'!O4*Main!$B$5)+(_xlfn.IFNA(VLOOKUP($A4,'FL Ratio'!$A$3:$B$10,2,FALSE),0)*'FL Characterization'!O$2)</f>
        <v>68.357839080592072</v>
      </c>
      <c r="P4" s="2">
        <f>('[1]Pc, Winter, S1'!P4*Main!$B$5)+(_xlfn.IFNA(VLOOKUP($A4,'FL Ratio'!$A$3:$B$10,2,FALSE),0)*'FL Characterization'!P$2)</f>
        <v>66.279381719483908</v>
      </c>
      <c r="Q4" s="2">
        <f>('[1]Pc, Winter, S1'!Q4*Main!$B$5)+(_xlfn.IFNA(VLOOKUP($A4,'FL Ratio'!$A$3:$B$10,2,FALSE),0)*'FL Characterization'!Q$2)</f>
        <v>65.080890424843219</v>
      </c>
      <c r="R4" s="2">
        <f>('[1]Pc, Winter, S1'!R4*Main!$B$5)+(_xlfn.IFNA(VLOOKUP($A4,'FL Ratio'!$A$3:$B$10,2,FALSE),0)*'FL Characterization'!R$2)</f>
        <v>66.912422054725567</v>
      </c>
      <c r="S4" s="2">
        <f>('[1]Pc, Winter, S1'!S4*Main!$B$5)+(_xlfn.IFNA(VLOOKUP($A4,'FL Ratio'!$A$3:$B$10,2,FALSE),0)*'FL Characterization'!S$2)</f>
        <v>76.280181877908078</v>
      </c>
      <c r="T4" s="2">
        <f>('[1]Pc, Winter, S1'!T4*Main!$B$5)+(_xlfn.IFNA(VLOOKUP($A4,'FL Ratio'!$A$3:$B$10,2,FALSE),0)*'FL Characterization'!T$2)</f>
        <v>77.264415850398166</v>
      </c>
      <c r="U4" s="2">
        <f>('[1]Pc, Winter, S1'!U4*Main!$B$5)+(_xlfn.IFNA(VLOOKUP($A4,'FL Ratio'!$A$3:$B$10,2,FALSE),0)*'FL Characterization'!U$2)</f>
        <v>77.512918674072765</v>
      </c>
      <c r="V4" s="2">
        <f>('[1]Pc, Winter, S1'!V4*Main!$B$5)+(_xlfn.IFNA(VLOOKUP($A4,'FL Ratio'!$A$3:$B$10,2,FALSE),0)*'FL Characterization'!V$2)</f>
        <v>75.475726931223861</v>
      </c>
      <c r="W4" s="2">
        <f>('[1]Pc, Winter, S1'!W4*Main!$B$5)+(_xlfn.IFNA(VLOOKUP($A4,'FL Ratio'!$A$3:$B$10,2,FALSE),0)*'FL Characterization'!W$2)</f>
        <v>71.776221412588185</v>
      </c>
      <c r="X4" s="2">
        <f>('[1]Pc, Winter, S1'!X4*Main!$B$5)+(_xlfn.IFNA(VLOOKUP($A4,'FL Ratio'!$A$3:$B$10,2,FALSE),0)*'FL Characterization'!X$2)</f>
        <v>67.123715237568348</v>
      </c>
      <c r="Y4" s="2">
        <f>('[1]Pc, Winter, S1'!Y4*Main!$B$5)+(_xlfn.IFNA(VLOOKUP($A4,'FL Ratio'!$A$3:$B$10,2,FALSE),0)*'FL Characterization'!Y$2)</f>
        <v>60.003988971291903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35.296580025572489</v>
      </c>
      <c r="C2" s="2">
        <f>('[1]Pc, Winter, S1'!C2*Main!$B$5)+(_xlfn.IFNA(VLOOKUP($A2,'FL Ratio'!$A$3:$B$10,2,FALSE),0)*'FL Characterization'!C$2)</f>
        <v>32.922824801841159</v>
      </c>
      <c r="D2" s="2">
        <f>('[1]Pc, Winter, S1'!D2*Main!$B$5)+(_xlfn.IFNA(VLOOKUP($A2,'FL Ratio'!$A$3:$B$10,2,FALSE),0)*'FL Characterization'!D$2)</f>
        <v>31.195388263577311</v>
      </c>
      <c r="E2" s="2">
        <f>('[1]Pc, Winter, S1'!E2*Main!$B$5)+(_xlfn.IFNA(VLOOKUP($A2,'FL Ratio'!$A$3:$B$10,2,FALSE),0)*'FL Characterization'!E$2)</f>
        <v>30.974663530761536</v>
      </c>
      <c r="F2" s="2">
        <f>('[1]Pc, Winter, S1'!F2*Main!$B$5)+(_xlfn.IFNA(VLOOKUP($A2,'FL Ratio'!$A$3:$B$10,2,FALSE),0)*'FL Characterization'!F$2)</f>
        <v>31.348288298763318</v>
      </c>
      <c r="G2" s="2">
        <f>('[1]Pc, Winter, S1'!G2*Main!$B$5)+(_xlfn.IFNA(VLOOKUP($A2,'FL Ratio'!$A$3:$B$10,2,FALSE),0)*'FL Characterization'!G$2)</f>
        <v>34.458537402357365</v>
      </c>
      <c r="H2" s="2">
        <f>('[1]Pc, Winter, S1'!H2*Main!$B$5)+(_xlfn.IFNA(VLOOKUP($A2,'FL Ratio'!$A$3:$B$10,2,FALSE),0)*'FL Characterization'!H$2)</f>
        <v>41.117432734328126</v>
      </c>
      <c r="I2" s="2">
        <f>('[1]Pc, Winter, S1'!I2*Main!$B$5)+(_xlfn.IFNA(VLOOKUP($A2,'FL Ratio'!$A$3:$B$10,2,FALSE),0)*'FL Characterization'!I$2)</f>
        <v>49.492853216843791</v>
      </c>
      <c r="J2" s="2">
        <f>('[1]Pc, Winter, S1'!J2*Main!$B$5)+(_xlfn.IFNA(VLOOKUP($A2,'FL Ratio'!$A$3:$B$10,2,FALSE),0)*'FL Characterization'!J$2)</f>
        <v>53.884268439857777</v>
      </c>
      <c r="K2" s="2">
        <f>('[1]Pc, Winter, S1'!K2*Main!$B$5)+(_xlfn.IFNA(VLOOKUP($A2,'FL Ratio'!$A$3:$B$10,2,FALSE),0)*'FL Characterization'!K$2)</f>
        <v>54.556196091799038</v>
      </c>
      <c r="L2" s="2">
        <f>('[1]Pc, Winter, S1'!L2*Main!$B$5)+(_xlfn.IFNA(VLOOKUP($A2,'FL Ratio'!$A$3:$B$10,2,FALSE),0)*'FL Characterization'!L$2)</f>
        <v>53.083907163508577</v>
      </c>
      <c r="M2" s="2">
        <f>('[1]Pc, Winter, S1'!M2*Main!$B$5)+(_xlfn.IFNA(VLOOKUP($A2,'FL Ratio'!$A$3:$B$10,2,FALSE),0)*'FL Characterization'!M$2)</f>
        <v>53.357508716212386</v>
      </c>
      <c r="N2" s="2">
        <f>('[1]Pc, Winter, S1'!N2*Main!$B$5)+(_xlfn.IFNA(VLOOKUP($A2,'FL Ratio'!$A$3:$B$10,2,FALSE),0)*'FL Characterization'!N$2)</f>
        <v>53.313661010542177</v>
      </c>
      <c r="O2" s="2">
        <f>('[1]Pc, Winter, S1'!O2*Main!$B$5)+(_xlfn.IFNA(VLOOKUP($A2,'FL Ratio'!$A$3:$B$10,2,FALSE),0)*'FL Characterization'!O$2)</f>
        <v>52.443077481660794</v>
      </c>
      <c r="P2" s="2">
        <f>('[1]Pc, Winter, S1'!P2*Main!$B$5)+(_xlfn.IFNA(VLOOKUP($A2,'FL Ratio'!$A$3:$B$10,2,FALSE),0)*'FL Characterization'!P$2)</f>
        <v>49.454369928572021</v>
      </c>
      <c r="Q2" s="2">
        <f>('[1]Pc, Winter, S1'!Q2*Main!$B$5)+(_xlfn.IFNA(VLOOKUP($A2,'FL Ratio'!$A$3:$B$10,2,FALSE),0)*'FL Characterization'!Q$2)</f>
        <v>48.037483959327361</v>
      </c>
      <c r="R2" s="2">
        <f>('[1]Pc, Winter, S1'!R2*Main!$B$5)+(_xlfn.IFNA(VLOOKUP($A2,'FL Ratio'!$A$3:$B$10,2,FALSE),0)*'FL Characterization'!R$2)</f>
        <v>50.028595353450044</v>
      </c>
      <c r="S2" s="2">
        <f>('[1]Pc, Winter, S1'!S2*Main!$B$5)+(_xlfn.IFNA(VLOOKUP($A2,'FL Ratio'!$A$3:$B$10,2,FALSE),0)*'FL Characterization'!S$2)</f>
        <v>55.457637315635097</v>
      </c>
      <c r="T2" s="2">
        <f>('[1]Pc, Winter, S1'!T2*Main!$B$5)+(_xlfn.IFNA(VLOOKUP($A2,'FL Ratio'!$A$3:$B$10,2,FALSE),0)*'FL Characterization'!T$2)</f>
        <v>55.2566042574676</v>
      </c>
      <c r="U2" s="2">
        <f>('[1]Pc, Winter, S1'!U2*Main!$B$5)+(_xlfn.IFNA(VLOOKUP($A2,'FL Ratio'!$A$3:$B$10,2,FALSE),0)*'FL Characterization'!U$2)</f>
        <v>54.112593857375238</v>
      </c>
      <c r="V2" s="2">
        <f>('[1]Pc, Winter, S1'!V2*Main!$B$5)+(_xlfn.IFNA(VLOOKUP($A2,'FL Ratio'!$A$3:$B$10,2,FALSE),0)*'FL Characterization'!V$2)</f>
        <v>53.181997276581555</v>
      </c>
      <c r="W2" s="2">
        <f>('[1]Pc, Winter, S1'!W2*Main!$B$5)+(_xlfn.IFNA(VLOOKUP($A2,'FL Ratio'!$A$3:$B$10,2,FALSE),0)*'FL Characterization'!W$2)</f>
        <v>49.845835871066384</v>
      </c>
      <c r="X2" s="2">
        <f>('[1]Pc, Winter, S1'!X2*Main!$B$5)+(_xlfn.IFNA(VLOOKUP($A2,'FL Ratio'!$A$3:$B$10,2,FALSE),0)*'FL Characterization'!X$2)</f>
        <v>43.605832199825983</v>
      </c>
      <c r="Y2" s="2">
        <f>('[1]Pc, Winter, S1'!Y2*Main!$B$5)+(_xlfn.IFNA(VLOOKUP($A2,'FL Ratio'!$A$3:$B$10,2,FALSE),0)*'FL Characterization'!Y$2)</f>
        <v>39.561558623042217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37.652249727798342</v>
      </c>
      <c r="C3" s="2">
        <f>('[1]Pc, Winter, S1'!C3*Main!$B$5)+(_xlfn.IFNA(VLOOKUP($A3,'FL Ratio'!$A$3:$B$10,2,FALSE),0)*'FL Characterization'!C$2)</f>
        <v>35.274961461344574</v>
      </c>
      <c r="D3" s="2">
        <f>('[1]Pc, Winter, S1'!D3*Main!$B$5)+(_xlfn.IFNA(VLOOKUP($A3,'FL Ratio'!$A$3:$B$10,2,FALSE),0)*'FL Characterization'!D$2)</f>
        <v>31.895116133500842</v>
      </c>
      <c r="E3" s="2">
        <f>('[1]Pc, Winter, S1'!E3*Main!$B$5)+(_xlfn.IFNA(VLOOKUP($A3,'FL Ratio'!$A$3:$B$10,2,FALSE),0)*'FL Characterization'!E$2)</f>
        <v>33.979790793064325</v>
      </c>
      <c r="F3" s="2">
        <f>('[1]Pc, Winter, S1'!F3*Main!$B$5)+(_xlfn.IFNA(VLOOKUP($A3,'FL Ratio'!$A$3:$B$10,2,FALSE),0)*'FL Characterization'!F$2)</f>
        <v>33.433458907120823</v>
      </c>
      <c r="G3" s="2">
        <f>('[1]Pc, Winter, S1'!G3*Main!$B$5)+(_xlfn.IFNA(VLOOKUP($A3,'FL Ratio'!$A$3:$B$10,2,FALSE),0)*'FL Characterization'!G$2)</f>
        <v>34.471038442342106</v>
      </c>
      <c r="H3" s="2">
        <f>('[1]Pc, Winter, S1'!H3*Main!$B$5)+(_xlfn.IFNA(VLOOKUP($A3,'FL Ratio'!$A$3:$B$10,2,FALSE),0)*'FL Characterization'!H$2)</f>
        <v>50.855147977208503</v>
      </c>
      <c r="I3" s="2">
        <f>('[1]Pc, Winter, S1'!I3*Main!$B$5)+(_xlfn.IFNA(VLOOKUP($A3,'FL Ratio'!$A$3:$B$10,2,FALSE),0)*'FL Characterization'!I$2)</f>
        <v>54.710333213113714</v>
      </c>
      <c r="J3" s="2">
        <f>('[1]Pc, Winter, S1'!J3*Main!$B$5)+(_xlfn.IFNA(VLOOKUP($A3,'FL Ratio'!$A$3:$B$10,2,FALSE),0)*'FL Characterization'!J$2)</f>
        <v>59.904357393244382</v>
      </c>
      <c r="K3" s="2">
        <f>('[1]Pc, Winter, S1'!K3*Main!$B$5)+(_xlfn.IFNA(VLOOKUP($A3,'FL Ratio'!$A$3:$B$10,2,FALSE),0)*'FL Characterization'!K$2)</f>
        <v>60.079357100839438</v>
      </c>
      <c r="L3" s="2">
        <f>('[1]Pc, Winter, S1'!L3*Main!$B$5)+(_xlfn.IFNA(VLOOKUP($A3,'FL Ratio'!$A$3:$B$10,2,FALSE),0)*'FL Characterization'!L$2)</f>
        <v>56.588843519073293</v>
      </c>
      <c r="M3" s="2">
        <f>('[1]Pc, Winter, S1'!M3*Main!$B$5)+(_xlfn.IFNA(VLOOKUP($A3,'FL Ratio'!$A$3:$B$10,2,FALSE),0)*'FL Characterization'!M$2)</f>
        <v>61.955961276125535</v>
      </c>
      <c r="N3" s="2">
        <f>('[1]Pc, Winter, S1'!N3*Main!$B$5)+(_xlfn.IFNA(VLOOKUP($A3,'FL Ratio'!$A$3:$B$10,2,FALSE),0)*'FL Characterization'!N$2)</f>
        <v>58.648421673593162</v>
      </c>
      <c r="O3" s="2">
        <f>('[1]Pc, Winter, S1'!O3*Main!$B$5)+(_xlfn.IFNA(VLOOKUP($A3,'FL Ratio'!$A$3:$B$10,2,FALSE),0)*'FL Characterization'!O$2)</f>
        <v>55.388366389525956</v>
      </c>
      <c r="P3" s="2">
        <f>('[1]Pc, Winter, S1'!P3*Main!$B$5)+(_xlfn.IFNA(VLOOKUP($A3,'FL Ratio'!$A$3:$B$10,2,FALSE),0)*'FL Characterization'!P$2)</f>
        <v>53.803116076149443</v>
      </c>
      <c r="Q3" s="2">
        <f>('[1]Pc, Winter, S1'!Q3*Main!$B$5)+(_xlfn.IFNA(VLOOKUP($A3,'FL Ratio'!$A$3:$B$10,2,FALSE),0)*'FL Characterization'!Q$2)</f>
        <v>50.325749970770367</v>
      </c>
      <c r="R3" s="2">
        <f>('[1]Pc, Winter, S1'!R3*Main!$B$5)+(_xlfn.IFNA(VLOOKUP($A3,'FL Ratio'!$A$3:$B$10,2,FALSE),0)*'FL Characterization'!R$2)</f>
        <v>49.902374024530545</v>
      </c>
      <c r="S3" s="2">
        <f>('[1]Pc, Winter, S1'!S3*Main!$B$5)+(_xlfn.IFNA(VLOOKUP($A3,'FL Ratio'!$A$3:$B$10,2,FALSE),0)*'FL Characterization'!S$2)</f>
        <v>53.398743337008312</v>
      </c>
      <c r="T3" s="2">
        <f>('[1]Pc, Winter, S1'!T3*Main!$B$5)+(_xlfn.IFNA(VLOOKUP($A3,'FL Ratio'!$A$3:$B$10,2,FALSE),0)*'FL Characterization'!T$2)</f>
        <v>52.909649101910439</v>
      </c>
      <c r="U3" s="2">
        <f>('[1]Pc, Winter, S1'!U3*Main!$B$5)+(_xlfn.IFNA(VLOOKUP($A3,'FL Ratio'!$A$3:$B$10,2,FALSE),0)*'FL Characterization'!U$2)</f>
        <v>53.489726412219447</v>
      </c>
      <c r="V3" s="2">
        <f>('[1]Pc, Winter, S1'!V3*Main!$B$5)+(_xlfn.IFNA(VLOOKUP($A3,'FL Ratio'!$A$3:$B$10,2,FALSE),0)*'FL Characterization'!V$2)</f>
        <v>52.311867092824841</v>
      </c>
      <c r="W3" s="2">
        <f>('[1]Pc, Winter, S1'!W3*Main!$B$5)+(_xlfn.IFNA(VLOOKUP($A3,'FL Ratio'!$A$3:$B$10,2,FALSE),0)*'FL Characterization'!W$2)</f>
        <v>47.058905238723447</v>
      </c>
      <c r="X3" s="2">
        <f>('[1]Pc, Winter, S1'!X3*Main!$B$5)+(_xlfn.IFNA(VLOOKUP($A3,'FL Ratio'!$A$3:$B$10,2,FALSE),0)*'FL Characterization'!X$2)</f>
        <v>41.505659848743043</v>
      </c>
      <c r="Y3" s="2">
        <f>('[1]Pc, Winter, S1'!Y3*Main!$B$5)+(_xlfn.IFNA(VLOOKUP($A3,'FL Ratio'!$A$3:$B$10,2,FALSE),0)*'FL Characterization'!Y$2)</f>
        <v>40.661756514400601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53.480121579225155</v>
      </c>
      <c r="C4" s="2">
        <f>('[1]Pc, Winter, S1'!C4*Main!$B$5)+(_xlfn.IFNA(VLOOKUP($A4,'FL Ratio'!$A$3:$B$10,2,FALSE),0)*'FL Characterization'!C$2)</f>
        <v>47.477762234742173</v>
      </c>
      <c r="D4" s="2">
        <f>('[1]Pc, Winter, S1'!D4*Main!$B$5)+(_xlfn.IFNA(VLOOKUP($A4,'FL Ratio'!$A$3:$B$10,2,FALSE),0)*'FL Characterization'!D$2)</f>
        <v>44.567245034530984</v>
      </c>
      <c r="E4" s="2">
        <f>('[1]Pc, Winter, S1'!E4*Main!$B$5)+(_xlfn.IFNA(VLOOKUP($A4,'FL Ratio'!$A$3:$B$10,2,FALSE),0)*'FL Characterization'!E$2)</f>
        <v>43.935434890607738</v>
      </c>
      <c r="F4" s="2">
        <f>('[1]Pc, Winter, S1'!F4*Main!$B$5)+(_xlfn.IFNA(VLOOKUP($A4,'FL Ratio'!$A$3:$B$10,2,FALSE),0)*'FL Characterization'!F$2)</f>
        <v>45.438382812365859</v>
      </c>
      <c r="G4" s="2">
        <f>('[1]Pc, Winter, S1'!G4*Main!$B$5)+(_xlfn.IFNA(VLOOKUP($A4,'FL Ratio'!$A$3:$B$10,2,FALSE),0)*'FL Characterization'!G$2)</f>
        <v>48.603158722615674</v>
      </c>
      <c r="H4" s="2">
        <f>('[1]Pc, Winter, S1'!H4*Main!$B$5)+(_xlfn.IFNA(VLOOKUP($A4,'FL Ratio'!$A$3:$B$10,2,FALSE),0)*'FL Characterization'!H$2)</f>
        <v>58.67548280149871</v>
      </c>
      <c r="I4" s="2">
        <f>('[1]Pc, Winter, S1'!I4*Main!$B$5)+(_xlfn.IFNA(VLOOKUP($A4,'FL Ratio'!$A$3:$B$10,2,FALSE),0)*'FL Characterization'!I$2)</f>
        <v>63.656923759644869</v>
      </c>
      <c r="J4" s="2">
        <f>('[1]Pc, Winter, S1'!J4*Main!$B$5)+(_xlfn.IFNA(VLOOKUP($A4,'FL Ratio'!$A$3:$B$10,2,FALSE),0)*'FL Characterization'!J$2)</f>
        <v>67.31124321310871</v>
      </c>
      <c r="K4" s="2">
        <f>('[1]Pc, Winter, S1'!K4*Main!$B$5)+(_xlfn.IFNA(VLOOKUP($A4,'FL Ratio'!$A$3:$B$10,2,FALSE),0)*'FL Characterization'!K$2)</f>
        <v>69.7339986402025</v>
      </c>
      <c r="L4" s="2">
        <f>('[1]Pc, Winter, S1'!L4*Main!$B$5)+(_xlfn.IFNA(VLOOKUP($A4,'FL Ratio'!$A$3:$B$10,2,FALSE),0)*'FL Characterization'!L$2)</f>
        <v>70.179962413172333</v>
      </c>
      <c r="M4" s="2">
        <f>('[1]Pc, Winter, S1'!M4*Main!$B$5)+(_xlfn.IFNA(VLOOKUP($A4,'FL Ratio'!$A$3:$B$10,2,FALSE),0)*'FL Characterization'!M$2)</f>
        <v>69.517951413177371</v>
      </c>
      <c r="N4" s="2">
        <f>('[1]Pc, Winter, S1'!N4*Main!$B$5)+(_xlfn.IFNA(VLOOKUP($A4,'FL Ratio'!$A$3:$B$10,2,FALSE),0)*'FL Characterization'!N$2)</f>
        <v>69.324935030871046</v>
      </c>
      <c r="O4" s="2">
        <f>('[1]Pc, Winter, S1'!O4*Main!$B$5)+(_xlfn.IFNA(VLOOKUP($A4,'FL Ratio'!$A$3:$B$10,2,FALSE),0)*'FL Characterization'!O$2)</f>
        <v>68.357839080592072</v>
      </c>
      <c r="P4" s="2">
        <f>('[1]Pc, Winter, S1'!P4*Main!$B$5)+(_xlfn.IFNA(VLOOKUP($A4,'FL Ratio'!$A$3:$B$10,2,FALSE),0)*'FL Characterization'!P$2)</f>
        <v>66.279381719483908</v>
      </c>
      <c r="Q4" s="2">
        <f>('[1]Pc, Winter, S1'!Q4*Main!$B$5)+(_xlfn.IFNA(VLOOKUP($A4,'FL Ratio'!$A$3:$B$10,2,FALSE),0)*'FL Characterization'!Q$2)</f>
        <v>65.080890424843219</v>
      </c>
      <c r="R4" s="2">
        <f>('[1]Pc, Winter, S1'!R4*Main!$B$5)+(_xlfn.IFNA(VLOOKUP($A4,'FL Ratio'!$A$3:$B$10,2,FALSE),0)*'FL Characterization'!R$2)</f>
        <v>66.912422054725567</v>
      </c>
      <c r="S4" s="2">
        <f>('[1]Pc, Winter, S1'!S4*Main!$B$5)+(_xlfn.IFNA(VLOOKUP($A4,'FL Ratio'!$A$3:$B$10,2,FALSE),0)*'FL Characterization'!S$2)</f>
        <v>76.280181877908078</v>
      </c>
      <c r="T4" s="2">
        <f>('[1]Pc, Winter, S1'!T4*Main!$B$5)+(_xlfn.IFNA(VLOOKUP($A4,'FL Ratio'!$A$3:$B$10,2,FALSE),0)*'FL Characterization'!T$2)</f>
        <v>77.264415850398166</v>
      </c>
      <c r="U4" s="2">
        <f>('[1]Pc, Winter, S1'!U4*Main!$B$5)+(_xlfn.IFNA(VLOOKUP($A4,'FL Ratio'!$A$3:$B$10,2,FALSE),0)*'FL Characterization'!U$2)</f>
        <v>77.512918674072765</v>
      </c>
      <c r="V4" s="2">
        <f>('[1]Pc, Winter, S1'!V4*Main!$B$5)+(_xlfn.IFNA(VLOOKUP($A4,'FL Ratio'!$A$3:$B$10,2,FALSE),0)*'FL Characterization'!V$2)</f>
        <v>75.475726931223861</v>
      </c>
      <c r="W4" s="2">
        <f>('[1]Pc, Winter, S1'!W4*Main!$B$5)+(_xlfn.IFNA(VLOOKUP($A4,'FL Ratio'!$A$3:$B$10,2,FALSE),0)*'FL Characterization'!W$2)</f>
        <v>71.776221412588185</v>
      </c>
      <c r="X4" s="2">
        <f>('[1]Pc, Winter, S1'!X4*Main!$B$5)+(_xlfn.IFNA(VLOOKUP($A4,'FL Ratio'!$A$3:$B$10,2,FALSE),0)*'FL Characterization'!X$2)</f>
        <v>67.123715237568348</v>
      </c>
      <c r="Y4" s="2">
        <f>('[1]Pc, Winter, S1'!Y4*Main!$B$5)+(_xlfn.IFNA(VLOOKUP($A4,'FL Ratio'!$A$3:$B$10,2,FALSE),0)*'FL Characterization'!Y$2)</f>
        <v>60.003988971291903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35.296580025572489</v>
      </c>
      <c r="C2" s="2">
        <f>('[1]Pc, Winter, S1'!C2*Main!$B$5)+(_xlfn.IFNA(VLOOKUP($A2,'FL Ratio'!$A$3:$B$10,2,FALSE),0)*'FL Characterization'!C$2)</f>
        <v>32.922824801841159</v>
      </c>
      <c r="D2" s="2">
        <f>('[1]Pc, Winter, S1'!D2*Main!$B$5)+(_xlfn.IFNA(VLOOKUP($A2,'FL Ratio'!$A$3:$B$10,2,FALSE),0)*'FL Characterization'!D$2)</f>
        <v>31.195388263577311</v>
      </c>
      <c r="E2" s="2">
        <f>('[1]Pc, Winter, S1'!E2*Main!$B$5)+(_xlfn.IFNA(VLOOKUP($A2,'FL Ratio'!$A$3:$B$10,2,FALSE),0)*'FL Characterization'!E$2)</f>
        <v>30.974663530761536</v>
      </c>
      <c r="F2" s="2">
        <f>('[1]Pc, Winter, S1'!F2*Main!$B$5)+(_xlfn.IFNA(VLOOKUP($A2,'FL Ratio'!$A$3:$B$10,2,FALSE),0)*'FL Characterization'!F$2)</f>
        <v>31.348288298763318</v>
      </c>
      <c r="G2" s="2">
        <f>('[1]Pc, Winter, S1'!G2*Main!$B$5)+(_xlfn.IFNA(VLOOKUP($A2,'FL Ratio'!$A$3:$B$10,2,FALSE),0)*'FL Characterization'!G$2)</f>
        <v>34.458537402357365</v>
      </c>
      <c r="H2" s="2">
        <f>('[1]Pc, Winter, S1'!H2*Main!$B$5)+(_xlfn.IFNA(VLOOKUP($A2,'FL Ratio'!$A$3:$B$10,2,FALSE),0)*'FL Characterization'!H$2)</f>
        <v>41.117432734328126</v>
      </c>
      <c r="I2" s="2">
        <f>('[1]Pc, Winter, S1'!I2*Main!$B$5)+(_xlfn.IFNA(VLOOKUP($A2,'FL Ratio'!$A$3:$B$10,2,FALSE),0)*'FL Characterization'!I$2)</f>
        <v>49.492853216843791</v>
      </c>
      <c r="J2" s="2">
        <f>('[1]Pc, Winter, S1'!J2*Main!$B$5)+(_xlfn.IFNA(VLOOKUP($A2,'FL Ratio'!$A$3:$B$10,2,FALSE),0)*'FL Characterization'!J$2)</f>
        <v>53.884268439857777</v>
      </c>
      <c r="K2" s="2">
        <f>('[1]Pc, Winter, S1'!K2*Main!$B$5)+(_xlfn.IFNA(VLOOKUP($A2,'FL Ratio'!$A$3:$B$10,2,FALSE),0)*'FL Characterization'!K$2)</f>
        <v>54.556196091799038</v>
      </c>
      <c r="L2" s="2">
        <f>('[1]Pc, Winter, S1'!L2*Main!$B$5)+(_xlfn.IFNA(VLOOKUP($A2,'FL Ratio'!$A$3:$B$10,2,FALSE),0)*'FL Characterization'!L$2)</f>
        <v>53.083907163508577</v>
      </c>
      <c r="M2" s="2">
        <f>('[1]Pc, Winter, S1'!M2*Main!$B$5)+(_xlfn.IFNA(VLOOKUP($A2,'FL Ratio'!$A$3:$B$10,2,FALSE),0)*'FL Characterization'!M$2)</f>
        <v>53.357508716212386</v>
      </c>
      <c r="N2" s="2">
        <f>('[1]Pc, Winter, S1'!N2*Main!$B$5)+(_xlfn.IFNA(VLOOKUP($A2,'FL Ratio'!$A$3:$B$10,2,FALSE),0)*'FL Characterization'!N$2)</f>
        <v>53.313661010542177</v>
      </c>
      <c r="O2" s="2">
        <f>('[1]Pc, Winter, S1'!O2*Main!$B$5)+(_xlfn.IFNA(VLOOKUP($A2,'FL Ratio'!$A$3:$B$10,2,FALSE),0)*'FL Characterization'!O$2)</f>
        <v>52.443077481660794</v>
      </c>
      <c r="P2" s="2">
        <f>('[1]Pc, Winter, S1'!P2*Main!$B$5)+(_xlfn.IFNA(VLOOKUP($A2,'FL Ratio'!$A$3:$B$10,2,FALSE),0)*'FL Characterization'!P$2)</f>
        <v>49.454369928572021</v>
      </c>
      <c r="Q2" s="2">
        <f>('[1]Pc, Winter, S1'!Q2*Main!$B$5)+(_xlfn.IFNA(VLOOKUP($A2,'FL Ratio'!$A$3:$B$10,2,FALSE),0)*'FL Characterization'!Q$2)</f>
        <v>48.037483959327361</v>
      </c>
      <c r="R2" s="2">
        <f>('[1]Pc, Winter, S1'!R2*Main!$B$5)+(_xlfn.IFNA(VLOOKUP($A2,'FL Ratio'!$A$3:$B$10,2,FALSE),0)*'FL Characterization'!R$2)</f>
        <v>50.028595353450044</v>
      </c>
      <c r="S2" s="2">
        <f>('[1]Pc, Winter, S1'!S2*Main!$B$5)+(_xlfn.IFNA(VLOOKUP($A2,'FL Ratio'!$A$3:$B$10,2,FALSE),0)*'FL Characterization'!S$2)</f>
        <v>55.457637315635097</v>
      </c>
      <c r="T2" s="2">
        <f>('[1]Pc, Winter, S1'!T2*Main!$B$5)+(_xlfn.IFNA(VLOOKUP($A2,'FL Ratio'!$A$3:$B$10,2,FALSE),0)*'FL Characterization'!T$2)</f>
        <v>55.2566042574676</v>
      </c>
      <c r="U2" s="2">
        <f>('[1]Pc, Winter, S1'!U2*Main!$B$5)+(_xlfn.IFNA(VLOOKUP($A2,'FL Ratio'!$A$3:$B$10,2,FALSE),0)*'FL Characterization'!U$2)</f>
        <v>54.112593857375238</v>
      </c>
      <c r="V2" s="2">
        <f>('[1]Pc, Winter, S1'!V2*Main!$B$5)+(_xlfn.IFNA(VLOOKUP($A2,'FL Ratio'!$A$3:$B$10,2,FALSE),0)*'FL Characterization'!V$2)</f>
        <v>53.181997276581555</v>
      </c>
      <c r="W2" s="2">
        <f>('[1]Pc, Winter, S1'!W2*Main!$B$5)+(_xlfn.IFNA(VLOOKUP($A2,'FL Ratio'!$A$3:$B$10,2,FALSE),0)*'FL Characterization'!W$2)</f>
        <v>49.845835871066384</v>
      </c>
      <c r="X2" s="2">
        <f>('[1]Pc, Winter, S1'!X2*Main!$B$5)+(_xlfn.IFNA(VLOOKUP($A2,'FL Ratio'!$A$3:$B$10,2,FALSE),0)*'FL Characterization'!X$2)</f>
        <v>43.605832199825983</v>
      </c>
      <c r="Y2" s="2">
        <f>('[1]Pc, Winter, S1'!Y2*Main!$B$5)+(_xlfn.IFNA(VLOOKUP($A2,'FL Ratio'!$A$3:$B$10,2,FALSE),0)*'FL Characterization'!Y$2)</f>
        <v>39.561558623042217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37.652249727798342</v>
      </c>
      <c r="C3" s="2">
        <f>('[1]Pc, Winter, S1'!C3*Main!$B$5)+(_xlfn.IFNA(VLOOKUP($A3,'FL Ratio'!$A$3:$B$10,2,FALSE),0)*'FL Characterization'!C$2)</f>
        <v>35.274961461344574</v>
      </c>
      <c r="D3" s="2">
        <f>('[1]Pc, Winter, S1'!D3*Main!$B$5)+(_xlfn.IFNA(VLOOKUP($A3,'FL Ratio'!$A$3:$B$10,2,FALSE),0)*'FL Characterization'!D$2)</f>
        <v>31.895116133500842</v>
      </c>
      <c r="E3" s="2">
        <f>('[1]Pc, Winter, S1'!E3*Main!$B$5)+(_xlfn.IFNA(VLOOKUP($A3,'FL Ratio'!$A$3:$B$10,2,FALSE),0)*'FL Characterization'!E$2)</f>
        <v>33.979790793064325</v>
      </c>
      <c r="F3" s="2">
        <f>('[1]Pc, Winter, S1'!F3*Main!$B$5)+(_xlfn.IFNA(VLOOKUP($A3,'FL Ratio'!$A$3:$B$10,2,FALSE),0)*'FL Characterization'!F$2)</f>
        <v>33.433458907120823</v>
      </c>
      <c r="G3" s="2">
        <f>('[1]Pc, Winter, S1'!G3*Main!$B$5)+(_xlfn.IFNA(VLOOKUP($A3,'FL Ratio'!$A$3:$B$10,2,FALSE),0)*'FL Characterization'!G$2)</f>
        <v>34.471038442342106</v>
      </c>
      <c r="H3" s="2">
        <f>('[1]Pc, Winter, S1'!H3*Main!$B$5)+(_xlfn.IFNA(VLOOKUP($A3,'FL Ratio'!$A$3:$B$10,2,FALSE),0)*'FL Characterization'!H$2)</f>
        <v>50.855147977208503</v>
      </c>
      <c r="I3" s="2">
        <f>('[1]Pc, Winter, S1'!I3*Main!$B$5)+(_xlfn.IFNA(VLOOKUP($A3,'FL Ratio'!$A$3:$B$10,2,FALSE),0)*'FL Characterization'!I$2)</f>
        <v>54.710333213113714</v>
      </c>
      <c r="J3" s="2">
        <f>('[1]Pc, Winter, S1'!J3*Main!$B$5)+(_xlfn.IFNA(VLOOKUP($A3,'FL Ratio'!$A$3:$B$10,2,FALSE),0)*'FL Characterization'!J$2)</f>
        <v>59.904357393244382</v>
      </c>
      <c r="K3" s="2">
        <f>('[1]Pc, Winter, S1'!K3*Main!$B$5)+(_xlfn.IFNA(VLOOKUP($A3,'FL Ratio'!$A$3:$B$10,2,FALSE),0)*'FL Characterization'!K$2)</f>
        <v>60.079357100839438</v>
      </c>
      <c r="L3" s="2">
        <f>('[1]Pc, Winter, S1'!L3*Main!$B$5)+(_xlfn.IFNA(VLOOKUP($A3,'FL Ratio'!$A$3:$B$10,2,FALSE),0)*'FL Characterization'!L$2)</f>
        <v>56.588843519073293</v>
      </c>
      <c r="M3" s="2">
        <f>('[1]Pc, Winter, S1'!M3*Main!$B$5)+(_xlfn.IFNA(VLOOKUP($A3,'FL Ratio'!$A$3:$B$10,2,FALSE),0)*'FL Characterization'!M$2)</f>
        <v>61.955961276125535</v>
      </c>
      <c r="N3" s="2">
        <f>('[1]Pc, Winter, S1'!N3*Main!$B$5)+(_xlfn.IFNA(VLOOKUP($A3,'FL Ratio'!$A$3:$B$10,2,FALSE),0)*'FL Characterization'!N$2)</f>
        <v>58.648421673593162</v>
      </c>
      <c r="O3" s="2">
        <f>('[1]Pc, Winter, S1'!O3*Main!$B$5)+(_xlfn.IFNA(VLOOKUP($A3,'FL Ratio'!$A$3:$B$10,2,FALSE),0)*'FL Characterization'!O$2)</f>
        <v>55.388366389525956</v>
      </c>
      <c r="P3" s="2">
        <f>('[1]Pc, Winter, S1'!P3*Main!$B$5)+(_xlfn.IFNA(VLOOKUP($A3,'FL Ratio'!$A$3:$B$10,2,FALSE),0)*'FL Characterization'!P$2)</f>
        <v>53.803116076149443</v>
      </c>
      <c r="Q3" s="2">
        <f>('[1]Pc, Winter, S1'!Q3*Main!$B$5)+(_xlfn.IFNA(VLOOKUP($A3,'FL Ratio'!$A$3:$B$10,2,FALSE),0)*'FL Characterization'!Q$2)</f>
        <v>50.325749970770367</v>
      </c>
      <c r="R3" s="2">
        <f>('[1]Pc, Winter, S1'!R3*Main!$B$5)+(_xlfn.IFNA(VLOOKUP($A3,'FL Ratio'!$A$3:$B$10,2,FALSE),0)*'FL Characterization'!R$2)</f>
        <v>49.902374024530545</v>
      </c>
      <c r="S3" s="2">
        <f>('[1]Pc, Winter, S1'!S3*Main!$B$5)+(_xlfn.IFNA(VLOOKUP($A3,'FL Ratio'!$A$3:$B$10,2,FALSE),0)*'FL Characterization'!S$2)</f>
        <v>53.398743337008312</v>
      </c>
      <c r="T3" s="2">
        <f>('[1]Pc, Winter, S1'!T3*Main!$B$5)+(_xlfn.IFNA(VLOOKUP($A3,'FL Ratio'!$A$3:$B$10,2,FALSE),0)*'FL Characterization'!T$2)</f>
        <v>52.909649101910439</v>
      </c>
      <c r="U3" s="2">
        <f>('[1]Pc, Winter, S1'!U3*Main!$B$5)+(_xlfn.IFNA(VLOOKUP($A3,'FL Ratio'!$A$3:$B$10,2,FALSE),0)*'FL Characterization'!U$2)</f>
        <v>53.489726412219447</v>
      </c>
      <c r="V3" s="2">
        <f>('[1]Pc, Winter, S1'!V3*Main!$B$5)+(_xlfn.IFNA(VLOOKUP($A3,'FL Ratio'!$A$3:$B$10,2,FALSE),0)*'FL Characterization'!V$2)</f>
        <v>52.311867092824841</v>
      </c>
      <c r="W3" s="2">
        <f>('[1]Pc, Winter, S1'!W3*Main!$B$5)+(_xlfn.IFNA(VLOOKUP($A3,'FL Ratio'!$A$3:$B$10,2,FALSE),0)*'FL Characterization'!W$2)</f>
        <v>47.058905238723447</v>
      </c>
      <c r="X3" s="2">
        <f>('[1]Pc, Winter, S1'!X3*Main!$B$5)+(_xlfn.IFNA(VLOOKUP($A3,'FL Ratio'!$A$3:$B$10,2,FALSE),0)*'FL Characterization'!X$2)</f>
        <v>41.505659848743043</v>
      </c>
      <c r="Y3" s="2">
        <f>('[1]Pc, Winter, S1'!Y3*Main!$B$5)+(_xlfn.IFNA(VLOOKUP($A3,'FL Ratio'!$A$3:$B$10,2,FALSE),0)*'FL Characterization'!Y$2)</f>
        <v>40.661756514400601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53.480121579225155</v>
      </c>
      <c r="C4" s="2">
        <f>('[1]Pc, Winter, S1'!C4*Main!$B$5)+(_xlfn.IFNA(VLOOKUP($A4,'FL Ratio'!$A$3:$B$10,2,FALSE),0)*'FL Characterization'!C$2)</f>
        <v>47.477762234742173</v>
      </c>
      <c r="D4" s="2">
        <f>('[1]Pc, Winter, S1'!D4*Main!$B$5)+(_xlfn.IFNA(VLOOKUP($A4,'FL Ratio'!$A$3:$B$10,2,FALSE),0)*'FL Characterization'!D$2)</f>
        <v>44.567245034530984</v>
      </c>
      <c r="E4" s="2">
        <f>('[1]Pc, Winter, S1'!E4*Main!$B$5)+(_xlfn.IFNA(VLOOKUP($A4,'FL Ratio'!$A$3:$B$10,2,FALSE),0)*'FL Characterization'!E$2)</f>
        <v>43.935434890607738</v>
      </c>
      <c r="F4" s="2">
        <f>('[1]Pc, Winter, S1'!F4*Main!$B$5)+(_xlfn.IFNA(VLOOKUP($A4,'FL Ratio'!$A$3:$B$10,2,FALSE),0)*'FL Characterization'!F$2)</f>
        <v>45.438382812365859</v>
      </c>
      <c r="G4" s="2">
        <f>('[1]Pc, Winter, S1'!G4*Main!$B$5)+(_xlfn.IFNA(VLOOKUP($A4,'FL Ratio'!$A$3:$B$10,2,FALSE),0)*'FL Characterization'!G$2)</f>
        <v>48.603158722615674</v>
      </c>
      <c r="H4" s="2">
        <f>('[1]Pc, Winter, S1'!H4*Main!$B$5)+(_xlfn.IFNA(VLOOKUP($A4,'FL Ratio'!$A$3:$B$10,2,FALSE),0)*'FL Characterization'!H$2)</f>
        <v>58.67548280149871</v>
      </c>
      <c r="I4" s="2">
        <f>('[1]Pc, Winter, S1'!I4*Main!$B$5)+(_xlfn.IFNA(VLOOKUP($A4,'FL Ratio'!$A$3:$B$10,2,FALSE),0)*'FL Characterization'!I$2)</f>
        <v>63.656923759644869</v>
      </c>
      <c r="J4" s="2">
        <f>('[1]Pc, Winter, S1'!J4*Main!$B$5)+(_xlfn.IFNA(VLOOKUP($A4,'FL Ratio'!$A$3:$B$10,2,FALSE),0)*'FL Characterization'!J$2)</f>
        <v>67.31124321310871</v>
      </c>
      <c r="K4" s="2">
        <f>('[1]Pc, Winter, S1'!K4*Main!$B$5)+(_xlfn.IFNA(VLOOKUP($A4,'FL Ratio'!$A$3:$B$10,2,FALSE),0)*'FL Characterization'!K$2)</f>
        <v>69.7339986402025</v>
      </c>
      <c r="L4" s="2">
        <f>('[1]Pc, Winter, S1'!L4*Main!$B$5)+(_xlfn.IFNA(VLOOKUP($A4,'FL Ratio'!$A$3:$B$10,2,FALSE),0)*'FL Characterization'!L$2)</f>
        <v>70.179962413172333</v>
      </c>
      <c r="M4" s="2">
        <f>('[1]Pc, Winter, S1'!M4*Main!$B$5)+(_xlfn.IFNA(VLOOKUP($A4,'FL Ratio'!$A$3:$B$10,2,FALSE),0)*'FL Characterization'!M$2)</f>
        <v>69.517951413177371</v>
      </c>
      <c r="N4" s="2">
        <f>('[1]Pc, Winter, S1'!N4*Main!$B$5)+(_xlfn.IFNA(VLOOKUP($A4,'FL Ratio'!$A$3:$B$10,2,FALSE),0)*'FL Characterization'!N$2)</f>
        <v>69.324935030871046</v>
      </c>
      <c r="O4" s="2">
        <f>('[1]Pc, Winter, S1'!O4*Main!$B$5)+(_xlfn.IFNA(VLOOKUP($A4,'FL Ratio'!$A$3:$B$10,2,FALSE),0)*'FL Characterization'!O$2)</f>
        <v>68.357839080592072</v>
      </c>
      <c r="P4" s="2">
        <f>('[1]Pc, Winter, S1'!P4*Main!$B$5)+(_xlfn.IFNA(VLOOKUP($A4,'FL Ratio'!$A$3:$B$10,2,FALSE),0)*'FL Characterization'!P$2)</f>
        <v>66.279381719483908</v>
      </c>
      <c r="Q4" s="2">
        <f>('[1]Pc, Winter, S1'!Q4*Main!$B$5)+(_xlfn.IFNA(VLOOKUP($A4,'FL Ratio'!$A$3:$B$10,2,FALSE),0)*'FL Characterization'!Q$2)</f>
        <v>65.080890424843219</v>
      </c>
      <c r="R4" s="2">
        <f>('[1]Pc, Winter, S1'!R4*Main!$B$5)+(_xlfn.IFNA(VLOOKUP($A4,'FL Ratio'!$A$3:$B$10,2,FALSE),0)*'FL Characterization'!R$2)</f>
        <v>66.912422054725567</v>
      </c>
      <c r="S4" s="2">
        <f>('[1]Pc, Winter, S1'!S4*Main!$B$5)+(_xlfn.IFNA(VLOOKUP($A4,'FL Ratio'!$A$3:$B$10,2,FALSE),0)*'FL Characterization'!S$2)</f>
        <v>76.280181877908078</v>
      </c>
      <c r="T4" s="2">
        <f>('[1]Pc, Winter, S1'!T4*Main!$B$5)+(_xlfn.IFNA(VLOOKUP($A4,'FL Ratio'!$A$3:$B$10,2,FALSE),0)*'FL Characterization'!T$2)</f>
        <v>77.264415850398166</v>
      </c>
      <c r="U4" s="2">
        <f>('[1]Pc, Winter, S1'!U4*Main!$B$5)+(_xlfn.IFNA(VLOOKUP($A4,'FL Ratio'!$A$3:$B$10,2,FALSE),0)*'FL Characterization'!U$2)</f>
        <v>77.512918674072765</v>
      </c>
      <c r="V4" s="2">
        <f>('[1]Pc, Winter, S1'!V4*Main!$B$5)+(_xlfn.IFNA(VLOOKUP($A4,'FL Ratio'!$A$3:$B$10,2,FALSE),0)*'FL Characterization'!V$2)</f>
        <v>75.475726931223861</v>
      </c>
      <c r="W4" s="2">
        <f>('[1]Pc, Winter, S1'!W4*Main!$B$5)+(_xlfn.IFNA(VLOOKUP($A4,'FL Ratio'!$A$3:$B$10,2,FALSE),0)*'FL Characterization'!W$2)</f>
        <v>71.776221412588185</v>
      </c>
      <c r="X4" s="2">
        <f>('[1]Pc, Winter, S1'!X4*Main!$B$5)+(_xlfn.IFNA(VLOOKUP($A4,'FL Ratio'!$A$3:$B$10,2,FALSE),0)*'FL Characterization'!X$2)</f>
        <v>67.123715237568348</v>
      </c>
      <c r="Y4" s="2">
        <f>('[1]Pc, Winter, S1'!Y4*Main!$B$5)+(_xlfn.IFNA(VLOOKUP($A4,'FL Ratio'!$A$3:$B$10,2,FALSE),0)*'FL Characterization'!Y$2)</f>
        <v>60.003988971291903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36.355477426339661</v>
      </c>
      <c r="C2" s="2">
        <f>('[1]Pc, Winter, S2'!C2*Main!$B$5)+(_xlfn.IFNA(VLOOKUP($A2,'FL Ratio'!$A$3:$B$10,2,FALSE),0)*'FL Characterization'!C$2)</f>
        <v>33.910509545896396</v>
      </c>
      <c r="D2" s="2">
        <f>('[1]Pc, Winter, S2'!D2*Main!$B$5)+(_xlfn.IFNA(VLOOKUP($A2,'FL Ratio'!$A$3:$B$10,2,FALSE),0)*'FL Characterization'!D$2)</f>
        <v>32.13124991148463</v>
      </c>
      <c r="E2" s="2">
        <f>('[1]Pc, Winter, S2'!E2*Main!$B$5)+(_xlfn.IFNA(VLOOKUP($A2,'FL Ratio'!$A$3:$B$10,2,FALSE),0)*'FL Characterization'!E$2)</f>
        <v>31.903903436684381</v>
      </c>
      <c r="F2" s="2">
        <f>('[1]Pc, Winter, S2'!F2*Main!$B$5)+(_xlfn.IFNA(VLOOKUP($A2,'FL Ratio'!$A$3:$B$10,2,FALSE),0)*'FL Characterization'!F$2)</f>
        <v>32.288736947726214</v>
      </c>
      <c r="G2" s="2">
        <f>('[1]Pc, Winter, S2'!G2*Main!$B$5)+(_xlfn.IFNA(VLOOKUP($A2,'FL Ratio'!$A$3:$B$10,2,FALSE),0)*'FL Characterization'!G$2)</f>
        <v>35.492293524428085</v>
      </c>
      <c r="H2" s="2">
        <f>('[1]Pc, Winter, S2'!H2*Main!$B$5)+(_xlfn.IFNA(VLOOKUP($A2,'FL Ratio'!$A$3:$B$10,2,FALSE),0)*'FL Characterization'!H$2)</f>
        <v>42.350955716357966</v>
      </c>
      <c r="I2" s="2">
        <f>('[1]Pc, Winter, S2'!I2*Main!$B$5)+(_xlfn.IFNA(VLOOKUP($A2,'FL Ratio'!$A$3:$B$10,2,FALSE),0)*'FL Characterization'!I$2)</f>
        <v>50.977638813349103</v>
      </c>
      <c r="J2" s="2">
        <f>('[1]Pc, Winter, S2'!J2*Main!$B$5)+(_xlfn.IFNA(VLOOKUP($A2,'FL Ratio'!$A$3:$B$10,2,FALSE),0)*'FL Characterization'!J$2)</f>
        <v>55.500796493053514</v>
      </c>
      <c r="K2" s="2">
        <f>('[1]Pc, Winter, S2'!K2*Main!$B$5)+(_xlfn.IFNA(VLOOKUP($A2,'FL Ratio'!$A$3:$B$10,2,FALSE),0)*'FL Characterization'!K$2)</f>
        <v>56.192881974553018</v>
      </c>
      <c r="L2" s="2">
        <f>('[1]Pc, Winter, S2'!L2*Main!$B$5)+(_xlfn.IFNA(VLOOKUP($A2,'FL Ratio'!$A$3:$B$10,2,FALSE),0)*'FL Characterization'!L$2)</f>
        <v>54.676424378413842</v>
      </c>
      <c r="M2" s="2">
        <f>('[1]Pc, Winter, S2'!M2*Main!$B$5)+(_xlfn.IFNA(VLOOKUP($A2,'FL Ratio'!$A$3:$B$10,2,FALSE),0)*'FL Characterization'!M$2)</f>
        <v>54.958233977698761</v>
      </c>
      <c r="N2" s="2">
        <f>('[1]Pc, Winter, S2'!N2*Main!$B$5)+(_xlfn.IFNA(VLOOKUP($A2,'FL Ratio'!$A$3:$B$10,2,FALSE),0)*'FL Characterization'!N$2)</f>
        <v>54.913070840858452</v>
      </c>
      <c r="O2" s="2">
        <f>('[1]Pc, Winter, S2'!O2*Main!$B$5)+(_xlfn.IFNA(VLOOKUP($A2,'FL Ratio'!$A$3:$B$10,2,FALSE),0)*'FL Characterization'!O$2)</f>
        <v>54.016369806110625</v>
      </c>
      <c r="P2" s="2">
        <f>('[1]Pc, Winter, S2'!P2*Main!$B$5)+(_xlfn.IFNA(VLOOKUP($A2,'FL Ratio'!$A$3:$B$10,2,FALSE),0)*'FL Characterization'!P$2)</f>
        <v>50.938001026429177</v>
      </c>
      <c r="Q2" s="2">
        <f>('[1]Pc, Winter, S2'!Q2*Main!$B$5)+(_xlfn.IFNA(VLOOKUP($A2,'FL Ratio'!$A$3:$B$10,2,FALSE),0)*'FL Characterization'!Q$2)</f>
        <v>49.478608478107184</v>
      </c>
      <c r="R2" s="2">
        <f>('[1]Pc, Winter, S2'!R2*Main!$B$5)+(_xlfn.IFNA(VLOOKUP($A2,'FL Ratio'!$A$3:$B$10,2,FALSE),0)*'FL Characterization'!R$2)</f>
        <v>51.52945321405354</v>
      </c>
      <c r="S2" s="2">
        <f>('[1]Pc, Winter, S2'!S2*Main!$B$5)+(_xlfn.IFNA(VLOOKUP($A2,'FL Ratio'!$A$3:$B$10,2,FALSE),0)*'FL Characterization'!S$2)</f>
        <v>57.12136643510415</v>
      </c>
      <c r="T2" s="2">
        <f>('[1]Pc, Winter, S2'!T2*Main!$B$5)+(_xlfn.IFNA(VLOOKUP($A2,'FL Ratio'!$A$3:$B$10,2,FALSE),0)*'FL Characterization'!T$2)</f>
        <v>56.914302385191633</v>
      </c>
      <c r="U2" s="2">
        <f>('[1]Pc, Winter, S2'!U2*Main!$B$5)+(_xlfn.IFNA(VLOOKUP($A2,'FL Ratio'!$A$3:$B$10,2,FALSE),0)*'FL Characterization'!U$2)</f>
        <v>55.7359716730965</v>
      </c>
      <c r="V2" s="2">
        <f>('[1]Pc, Winter, S2'!V2*Main!$B$5)+(_xlfn.IFNA(VLOOKUP($A2,'FL Ratio'!$A$3:$B$10,2,FALSE),0)*'FL Characterization'!V$2)</f>
        <v>54.777457194879005</v>
      </c>
      <c r="W2" s="2">
        <f>('[1]Pc, Winter, S2'!W2*Main!$B$5)+(_xlfn.IFNA(VLOOKUP($A2,'FL Ratio'!$A$3:$B$10,2,FALSE),0)*'FL Characterization'!W$2)</f>
        <v>51.341210947198377</v>
      </c>
      <c r="X2" s="2">
        <f>('[1]Pc, Winter, S2'!X2*Main!$B$5)+(_xlfn.IFNA(VLOOKUP($A2,'FL Ratio'!$A$3:$B$10,2,FALSE),0)*'FL Characterization'!X$2)</f>
        <v>44.91400716582077</v>
      </c>
      <c r="Y2" s="2">
        <f>('[1]Pc, Winter, S2'!Y2*Main!$B$5)+(_xlfn.IFNA(VLOOKUP($A2,'FL Ratio'!$A$3:$B$10,2,FALSE),0)*'FL Characterization'!Y$2)</f>
        <v>40.748405381733491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38.699242257495094</v>
      </c>
      <c r="C3" s="2">
        <f>('[1]Pc, Winter, S2'!C3*Main!$B$5)+(_xlfn.IFNA(VLOOKUP($A3,'FL Ratio'!$A$3:$B$10,2,FALSE),0)*'FL Characterization'!C$2)</f>
        <v>36.247880828811589</v>
      </c>
      <c r="D3" s="2">
        <f>('[1]Pc, Winter, S2'!D3*Main!$B$5)+(_xlfn.IFNA(VLOOKUP($A3,'FL Ratio'!$A$3:$B$10,2,FALSE),0)*'FL Characterization'!D$2)</f>
        <v>32.775562079926637</v>
      </c>
      <c r="E3" s="2">
        <f>('[1]Pc, Winter, S2'!E3*Main!$B$5)+(_xlfn.IFNA(VLOOKUP($A3,'FL Ratio'!$A$3:$B$10,2,FALSE),0)*'FL Characterization'!E$2)</f>
        <v>34.926760947428306</v>
      </c>
      <c r="F3" s="2">
        <f>('[1]Pc, Winter, S2'!F3*Main!$B$5)+(_xlfn.IFNA(VLOOKUP($A3,'FL Ratio'!$A$3:$B$10,2,FALSE),0)*'FL Characterization'!F$2)</f>
        <v>34.377126406691801</v>
      </c>
      <c r="G3" s="2">
        <f>('[1]Pc, Winter, S2'!G3*Main!$B$5)+(_xlfn.IFNA(VLOOKUP($A3,'FL Ratio'!$A$3:$B$10,2,FALSE),0)*'FL Characterization'!G$2)</f>
        <v>35.454809013383063</v>
      </c>
      <c r="H3" s="2">
        <f>('[1]Pc, Winter, S2'!H3*Main!$B$5)+(_xlfn.IFNA(VLOOKUP($A3,'FL Ratio'!$A$3:$B$10,2,FALSE),0)*'FL Characterization'!H$2)</f>
        <v>52.319215509201378</v>
      </c>
      <c r="I3" s="2">
        <f>('[1]Pc, Winter, S2'!I3*Main!$B$5)+(_xlfn.IFNA(VLOOKUP($A3,'FL Ratio'!$A$3:$B$10,2,FALSE),0)*'FL Characterization'!I$2)</f>
        <v>56.340947632278059</v>
      </c>
      <c r="J3" s="2">
        <f>('[1]Pc, Winter, S2'!J3*Main!$B$5)+(_xlfn.IFNA(VLOOKUP($A3,'FL Ratio'!$A$3:$B$10,2,FALSE),0)*'FL Characterization'!J$2)</f>
        <v>61.692082456674449</v>
      </c>
      <c r="K3" s="2">
        <f>('[1]Pc, Winter, S2'!K3*Main!$B$5)+(_xlfn.IFNA(VLOOKUP($A3,'FL Ratio'!$A$3:$B$10,2,FALSE),0)*'FL Characterization'!K$2)</f>
        <v>61.868025707630629</v>
      </c>
      <c r="L3" s="2">
        <f>('[1]Pc, Winter, S2'!L3*Main!$B$5)+(_xlfn.IFNA(VLOOKUP($A3,'FL Ratio'!$A$3:$B$10,2,FALSE),0)*'FL Characterization'!L$2)</f>
        <v>58.278433395104457</v>
      </c>
      <c r="M3" s="2">
        <f>('[1]Pc, Winter, S2'!M3*Main!$B$5)+(_xlfn.IFNA(VLOOKUP($A3,'FL Ratio'!$A$3:$B$10,2,FALSE),0)*'FL Characterization'!M$2)</f>
        <v>63.804549186646703</v>
      </c>
      <c r="N3" s="2">
        <f>('[1]Pc, Winter, S2'!N3*Main!$B$5)+(_xlfn.IFNA(VLOOKUP($A3,'FL Ratio'!$A$3:$B$10,2,FALSE),0)*'FL Characterization'!N$2)</f>
        <v>60.391797366320333</v>
      </c>
      <c r="O3" s="2">
        <f>('[1]Pc, Winter, S2'!O3*Main!$B$5)+(_xlfn.IFNA(VLOOKUP($A3,'FL Ratio'!$A$3:$B$10,2,FALSE),0)*'FL Characterization'!O$2)</f>
        <v>57.020396275682252</v>
      </c>
      <c r="P3" s="2">
        <f>('[1]Pc, Winter, S2'!P3*Main!$B$5)+(_xlfn.IFNA(VLOOKUP($A3,'FL Ratio'!$A$3:$B$10,2,FALSE),0)*'FL Characterization'!P$2)</f>
        <v>55.38560654631992</v>
      </c>
      <c r="Q3" s="2">
        <f>('[1]Pc, Winter, S2'!Q3*Main!$B$5)+(_xlfn.IFNA(VLOOKUP($A3,'FL Ratio'!$A$3:$B$10,2,FALSE),0)*'FL Characterization'!Q$2)</f>
        <v>51.804443487317066</v>
      </c>
      <c r="R3" s="2">
        <f>('[1]Pc, Winter, S2'!R3*Main!$B$5)+(_xlfn.IFNA(VLOOKUP($A3,'FL Ratio'!$A$3:$B$10,2,FALSE),0)*'FL Characterization'!R$2)</f>
        <v>51.382011185649993</v>
      </c>
      <c r="S3" s="2">
        <f>('[1]Pc, Winter, S2'!S3*Main!$B$5)+(_xlfn.IFNA(VLOOKUP($A3,'FL Ratio'!$A$3:$B$10,2,FALSE),0)*'FL Characterization'!S$2)</f>
        <v>54.965192558454731</v>
      </c>
      <c r="T3" s="2">
        <f>('[1]Pc, Winter, S2'!T3*Main!$B$5)+(_xlfn.IFNA(VLOOKUP($A3,'FL Ratio'!$A$3:$B$10,2,FALSE),0)*'FL Characterization'!T$2)</f>
        <v>54.476098323356858</v>
      </c>
      <c r="U3" s="2">
        <f>('[1]Pc, Winter, S2'!U3*Main!$B$5)+(_xlfn.IFNA(VLOOKUP($A3,'FL Ratio'!$A$3:$B$10,2,FALSE),0)*'FL Characterization'!U$2)</f>
        <v>55.07976553251531</v>
      </c>
      <c r="V3" s="2">
        <f>('[1]Pc, Winter, S2'!V3*Main!$B$5)+(_xlfn.IFNA(VLOOKUP($A3,'FL Ratio'!$A$3:$B$10,2,FALSE),0)*'FL Characterization'!V$2)</f>
        <v>53.858972005243594</v>
      </c>
      <c r="W3" s="2">
        <f>('[1]Pc, Winter, S2'!W3*Main!$B$5)+(_xlfn.IFNA(VLOOKUP($A3,'FL Ratio'!$A$3:$B$10,2,FALSE),0)*'FL Characterization'!W$2)</f>
        <v>48.456919979686731</v>
      </c>
      <c r="X3" s="2">
        <f>('[1]Pc, Winter, S2'!X3*Main!$B$5)+(_xlfn.IFNA(VLOOKUP($A3,'FL Ratio'!$A$3:$B$10,2,FALSE),0)*'FL Characterization'!X$2)</f>
        <v>42.688060311258646</v>
      </c>
      <c r="Y3" s="2">
        <f>('[1]Pc, Winter, S2'!Y3*Main!$B$5)+(_xlfn.IFNA(VLOOKUP($A3,'FL Ratio'!$A$3:$B$10,2,FALSE),0)*'FL Characterization'!Y$2)</f>
        <v>41.805940688267953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55.00195026446471</v>
      </c>
      <c r="C4" s="2">
        <f>('[1]Pc, Winter, S2'!C4*Main!$B$5)+(_xlfn.IFNA(VLOOKUP($A4,'FL Ratio'!$A$3:$B$10,2,FALSE),0)*'FL Characterization'!C$2)</f>
        <v>48.816765625411122</v>
      </c>
      <c r="D4" s="2">
        <f>('[1]Pc, Winter, S2'!D4*Main!$B$5)+(_xlfn.IFNA(VLOOKUP($A4,'FL Ratio'!$A$3:$B$10,2,FALSE),0)*'FL Characterization'!D$2)</f>
        <v>45.82785484798768</v>
      </c>
      <c r="E4" s="2">
        <f>('[1]Pc, Winter, S2'!E4*Main!$B$5)+(_xlfn.IFNA(VLOOKUP($A4,'FL Ratio'!$A$3:$B$10,2,FALSE),0)*'FL Characterization'!E$2)</f>
        <v>45.181074367898013</v>
      </c>
      <c r="F4" s="2">
        <f>('[1]Pc, Winter, S2'!F4*Main!$B$5)+(_xlfn.IFNA(VLOOKUP($A4,'FL Ratio'!$A$3:$B$10,2,FALSE),0)*'FL Characterization'!F$2)</f>
        <v>46.74219802909419</v>
      </c>
      <c r="G4" s="2">
        <f>('[1]Pc, Winter, S2'!G4*Main!$B$5)+(_xlfn.IFNA(VLOOKUP($A4,'FL Ratio'!$A$3:$B$10,2,FALSE),0)*'FL Characterization'!G$2)</f>
        <v>50.010892902064839</v>
      </c>
      <c r="H4" s="2">
        <f>('[1]Pc, Winter, S2'!H4*Main!$B$5)+(_xlfn.IFNA(VLOOKUP($A4,'FL Ratio'!$A$3:$B$10,2,FALSE),0)*'FL Characterization'!H$2)</f>
        <v>60.374160378220289</v>
      </c>
      <c r="I4" s="2">
        <f>('[1]Pc, Winter, S2'!I4*Main!$B$5)+(_xlfn.IFNA(VLOOKUP($A4,'FL Ratio'!$A$3:$B$10,2,FALSE),0)*'FL Characterization'!I$2)</f>
        <v>65.555935895205153</v>
      </c>
      <c r="J4" s="2">
        <f>('[1]Pc, Winter, S2'!J4*Main!$B$5)+(_xlfn.IFNA(VLOOKUP($A4,'FL Ratio'!$A$3:$B$10,2,FALSE),0)*'FL Characterization'!J$2)</f>
        <v>69.321174851134714</v>
      </c>
      <c r="K4" s="2">
        <f>('[1]Pc, Winter, S2'!K4*Main!$B$5)+(_xlfn.IFNA(VLOOKUP($A4,'FL Ratio'!$A$3:$B$10,2,FALSE),0)*'FL Characterization'!K$2)</f>
        <v>71.812306493174589</v>
      </c>
      <c r="L4" s="2">
        <f>('[1]Pc, Winter, S2'!L4*Main!$B$5)+(_xlfn.IFNA(VLOOKUP($A4,'FL Ratio'!$A$3:$B$10,2,FALSE),0)*'FL Characterization'!L$2)</f>
        <v>72.277285856026467</v>
      </c>
      <c r="M4" s="2">
        <f>('[1]Pc, Winter, S2'!M4*Main!$B$5)+(_xlfn.IFNA(VLOOKUP($A4,'FL Ratio'!$A$3:$B$10,2,FALSE),0)*'FL Characterization'!M$2)</f>
        <v>71.593399027810094</v>
      </c>
      <c r="N4" s="2">
        <f>('[1]Pc, Winter, S2'!N4*Main!$B$5)+(_xlfn.IFNA(VLOOKUP($A4,'FL Ratio'!$A$3:$B$10,2,FALSE),0)*'FL Characterization'!N$2)</f>
        <v>71.388606124316567</v>
      </c>
      <c r="O4" s="2">
        <f>('[1]Pc, Winter, S2'!O4*Main!$B$5)+(_xlfn.IFNA(VLOOKUP($A4,'FL Ratio'!$A$3:$B$10,2,FALSE),0)*'FL Characterization'!O$2)</f>
        <v>70.378953147480345</v>
      </c>
      <c r="P4" s="2">
        <f>('[1]Pc, Winter, S2'!P4*Main!$B$5)+(_xlfn.IFNA(VLOOKUP($A4,'FL Ratio'!$A$3:$B$10,2,FALSE),0)*'FL Characterization'!P$2)</f>
        <v>68.236160158954405</v>
      </c>
      <c r="Q4" s="2">
        <f>('[1]Pc, Winter, S2'!Q4*Main!$B$5)+(_xlfn.IFNA(VLOOKUP($A4,'FL Ratio'!$A$3:$B$10,2,FALSE),0)*'FL Characterization'!Q$2)</f>
        <v>67.002238155012108</v>
      </c>
      <c r="R4" s="2">
        <f>('[1]Pc, Winter, S2'!R4*Main!$B$5)+(_xlfn.IFNA(VLOOKUP($A4,'FL Ratio'!$A$3:$B$10,2,FALSE),0)*'FL Characterization'!R$2)</f>
        <v>68.902360656750872</v>
      </c>
      <c r="S4" s="2">
        <f>('[1]Pc, Winter, S2'!S4*Main!$B$5)+(_xlfn.IFNA(VLOOKUP($A4,'FL Ratio'!$A$3:$B$10,2,FALSE),0)*'FL Characterization'!S$2)</f>
        <v>78.533074255581496</v>
      </c>
      <c r="T4" s="2">
        <f>('[1]Pc, Winter, S2'!T4*Main!$B$5)+(_xlfn.IFNA(VLOOKUP($A4,'FL Ratio'!$A$3:$B$10,2,FALSE),0)*'FL Characterization'!T$2)</f>
        <v>79.561508074299212</v>
      </c>
      <c r="U4" s="2">
        <f>('[1]Pc, Winter, S2'!U4*Main!$B$5)+(_xlfn.IFNA(VLOOKUP($A4,'FL Ratio'!$A$3:$B$10,2,FALSE),0)*'FL Characterization'!U$2)</f>
        <v>79.823653562224237</v>
      </c>
      <c r="V4" s="2">
        <f>('[1]Pc, Winter, S2'!V4*Main!$B$5)+(_xlfn.IFNA(VLOOKUP($A4,'FL Ratio'!$A$3:$B$10,2,FALSE),0)*'FL Characterization'!V$2)</f>
        <v>77.717747638794592</v>
      </c>
      <c r="W4" s="2">
        <f>('[1]Pc, Winter, S2'!W4*Main!$B$5)+(_xlfn.IFNA(VLOOKUP($A4,'FL Ratio'!$A$3:$B$10,2,FALSE),0)*'FL Characterization'!W$2)</f>
        <v>73.915755638767408</v>
      </c>
      <c r="X4" s="2">
        <f>('[1]Pc, Winter, S2'!X4*Main!$B$5)+(_xlfn.IFNA(VLOOKUP($A4,'FL Ratio'!$A$3:$B$10,2,FALSE),0)*'FL Characterization'!X$2)</f>
        <v>69.074657361748706</v>
      </c>
      <c r="Y4" s="2">
        <f>('[1]Pc, Winter, S2'!Y4*Main!$B$5)+(_xlfn.IFNA(VLOOKUP($A4,'FL Ratio'!$A$3:$B$10,2,FALSE),0)*'FL Characterization'!Y$2)</f>
        <v>61.728440118865997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36.355477426339661</v>
      </c>
      <c r="C2" s="2">
        <f>('[1]Pc, Winter, S2'!C2*Main!$B$5)+(_xlfn.IFNA(VLOOKUP($A2,'FL Ratio'!$A$3:$B$10,2,FALSE),0)*'FL Characterization'!C$2)</f>
        <v>33.910509545896396</v>
      </c>
      <c r="D2" s="2">
        <f>('[1]Pc, Winter, S2'!D2*Main!$B$5)+(_xlfn.IFNA(VLOOKUP($A2,'FL Ratio'!$A$3:$B$10,2,FALSE),0)*'FL Characterization'!D$2)</f>
        <v>32.13124991148463</v>
      </c>
      <c r="E2" s="2">
        <f>('[1]Pc, Winter, S2'!E2*Main!$B$5)+(_xlfn.IFNA(VLOOKUP($A2,'FL Ratio'!$A$3:$B$10,2,FALSE),0)*'FL Characterization'!E$2)</f>
        <v>31.903903436684381</v>
      </c>
      <c r="F2" s="2">
        <f>('[1]Pc, Winter, S2'!F2*Main!$B$5)+(_xlfn.IFNA(VLOOKUP($A2,'FL Ratio'!$A$3:$B$10,2,FALSE),0)*'FL Characterization'!F$2)</f>
        <v>32.288736947726214</v>
      </c>
      <c r="G2" s="2">
        <f>('[1]Pc, Winter, S2'!G2*Main!$B$5)+(_xlfn.IFNA(VLOOKUP($A2,'FL Ratio'!$A$3:$B$10,2,FALSE),0)*'FL Characterization'!G$2)</f>
        <v>35.492293524428085</v>
      </c>
      <c r="H2" s="2">
        <f>('[1]Pc, Winter, S2'!H2*Main!$B$5)+(_xlfn.IFNA(VLOOKUP($A2,'FL Ratio'!$A$3:$B$10,2,FALSE),0)*'FL Characterization'!H$2)</f>
        <v>42.350955716357966</v>
      </c>
      <c r="I2" s="2">
        <f>('[1]Pc, Winter, S2'!I2*Main!$B$5)+(_xlfn.IFNA(VLOOKUP($A2,'FL Ratio'!$A$3:$B$10,2,FALSE),0)*'FL Characterization'!I$2)</f>
        <v>50.977638813349103</v>
      </c>
      <c r="J2" s="2">
        <f>('[1]Pc, Winter, S2'!J2*Main!$B$5)+(_xlfn.IFNA(VLOOKUP($A2,'FL Ratio'!$A$3:$B$10,2,FALSE),0)*'FL Characterization'!J$2)</f>
        <v>55.500796493053514</v>
      </c>
      <c r="K2" s="2">
        <f>('[1]Pc, Winter, S2'!K2*Main!$B$5)+(_xlfn.IFNA(VLOOKUP($A2,'FL Ratio'!$A$3:$B$10,2,FALSE),0)*'FL Characterization'!K$2)</f>
        <v>56.192881974553018</v>
      </c>
      <c r="L2" s="2">
        <f>('[1]Pc, Winter, S2'!L2*Main!$B$5)+(_xlfn.IFNA(VLOOKUP($A2,'FL Ratio'!$A$3:$B$10,2,FALSE),0)*'FL Characterization'!L$2)</f>
        <v>54.676424378413842</v>
      </c>
      <c r="M2" s="2">
        <f>('[1]Pc, Winter, S2'!M2*Main!$B$5)+(_xlfn.IFNA(VLOOKUP($A2,'FL Ratio'!$A$3:$B$10,2,FALSE),0)*'FL Characterization'!M$2)</f>
        <v>54.958233977698761</v>
      </c>
      <c r="N2" s="2">
        <f>('[1]Pc, Winter, S2'!N2*Main!$B$5)+(_xlfn.IFNA(VLOOKUP($A2,'FL Ratio'!$A$3:$B$10,2,FALSE),0)*'FL Characterization'!N$2)</f>
        <v>54.913070840858452</v>
      </c>
      <c r="O2" s="2">
        <f>('[1]Pc, Winter, S2'!O2*Main!$B$5)+(_xlfn.IFNA(VLOOKUP($A2,'FL Ratio'!$A$3:$B$10,2,FALSE),0)*'FL Characterization'!O$2)</f>
        <v>54.016369806110625</v>
      </c>
      <c r="P2" s="2">
        <f>('[1]Pc, Winter, S2'!P2*Main!$B$5)+(_xlfn.IFNA(VLOOKUP($A2,'FL Ratio'!$A$3:$B$10,2,FALSE),0)*'FL Characterization'!P$2)</f>
        <v>50.938001026429177</v>
      </c>
      <c r="Q2" s="2">
        <f>('[1]Pc, Winter, S2'!Q2*Main!$B$5)+(_xlfn.IFNA(VLOOKUP($A2,'FL Ratio'!$A$3:$B$10,2,FALSE),0)*'FL Characterization'!Q$2)</f>
        <v>49.478608478107184</v>
      </c>
      <c r="R2" s="2">
        <f>('[1]Pc, Winter, S2'!R2*Main!$B$5)+(_xlfn.IFNA(VLOOKUP($A2,'FL Ratio'!$A$3:$B$10,2,FALSE),0)*'FL Characterization'!R$2)</f>
        <v>51.52945321405354</v>
      </c>
      <c r="S2" s="2">
        <f>('[1]Pc, Winter, S2'!S2*Main!$B$5)+(_xlfn.IFNA(VLOOKUP($A2,'FL Ratio'!$A$3:$B$10,2,FALSE),0)*'FL Characterization'!S$2)</f>
        <v>57.12136643510415</v>
      </c>
      <c r="T2" s="2">
        <f>('[1]Pc, Winter, S2'!T2*Main!$B$5)+(_xlfn.IFNA(VLOOKUP($A2,'FL Ratio'!$A$3:$B$10,2,FALSE),0)*'FL Characterization'!T$2)</f>
        <v>56.914302385191633</v>
      </c>
      <c r="U2" s="2">
        <f>('[1]Pc, Winter, S2'!U2*Main!$B$5)+(_xlfn.IFNA(VLOOKUP($A2,'FL Ratio'!$A$3:$B$10,2,FALSE),0)*'FL Characterization'!U$2)</f>
        <v>55.7359716730965</v>
      </c>
      <c r="V2" s="2">
        <f>('[1]Pc, Winter, S2'!V2*Main!$B$5)+(_xlfn.IFNA(VLOOKUP($A2,'FL Ratio'!$A$3:$B$10,2,FALSE),0)*'FL Characterization'!V$2)</f>
        <v>54.777457194879005</v>
      </c>
      <c r="W2" s="2">
        <f>('[1]Pc, Winter, S2'!W2*Main!$B$5)+(_xlfn.IFNA(VLOOKUP($A2,'FL Ratio'!$A$3:$B$10,2,FALSE),0)*'FL Characterization'!W$2)</f>
        <v>51.341210947198377</v>
      </c>
      <c r="X2" s="2">
        <f>('[1]Pc, Winter, S2'!X2*Main!$B$5)+(_xlfn.IFNA(VLOOKUP($A2,'FL Ratio'!$A$3:$B$10,2,FALSE),0)*'FL Characterization'!X$2)</f>
        <v>44.91400716582077</v>
      </c>
      <c r="Y2" s="2">
        <f>('[1]Pc, Winter, S2'!Y2*Main!$B$5)+(_xlfn.IFNA(VLOOKUP($A2,'FL Ratio'!$A$3:$B$10,2,FALSE),0)*'FL Characterization'!Y$2)</f>
        <v>40.748405381733491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38.699242257495094</v>
      </c>
      <c r="C3" s="2">
        <f>('[1]Pc, Winter, S2'!C3*Main!$B$5)+(_xlfn.IFNA(VLOOKUP($A3,'FL Ratio'!$A$3:$B$10,2,FALSE),0)*'FL Characterization'!C$2)</f>
        <v>36.247880828811589</v>
      </c>
      <c r="D3" s="2">
        <f>('[1]Pc, Winter, S2'!D3*Main!$B$5)+(_xlfn.IFNA(VLOOKUP($A3,'FL Ratio'!$A$3:$B$10,2,FALSE),0)*'FL Characterization'!D$2)</f>
        <v>32.775562079926637</v>
      </c>
      <c r="E3" s="2">
        <f>('[1]Pc, Winter, S2'!E3*Main!$B$5)+(_xlfn.IFNA(VLOOKUP($A3,'FL Ratio'!$A$3:$B$10,2,FALSE),0)*'FL Characterization'!E$2)</f>
        <v>34.926760947428306</v>
      </c>
      <c r="F3" s="2">
        <f>('[1]Pc, Winter, S2'!F3*Main!$B$5)+(_xlfn.IFNA(VLOOKUP($A3,'FL Ratio'!$A$3:$B$10,2,FALSE),0)*'FL Characterization'!F$2)</f>
        <v>34.377126406691801</v>
      </c>
      <c r="G3" s="2">
        <f>('[1]Pc, Winter, S2'!G3*Main!$B$5)+(_xlfn.IFNA(VLOOKUP($A3,'FL Ratio'!$A$3:$B$10,2,FALSE),0)*'FL Characterization'!G$2)</f>
        <v>35.454809013383063</v>
      </c>
      <c r="H3" s="2">
        <f>('[1]Pc, Winter, S2'!H3*Main!$B$5)+(_xlfn.IFNA(VLOOKUP($A3,'FL Ratio'!$A$3:$B$10,2,FALSE),0)*'FL Characterization'!H$2)</f>
        <v>52.319215509201378</v>
      </c>
      <c r="I3" s="2">
        <f>('[1]Pc, Winter, S2'!I3*Main!$B$5)+(_xlfn.IFNA(VLOOKUP($A3,'FL Ratio'!$A$3:$B$10,2,FALSE),0)*'FL Characterization'!I$2)</f>
        <v>56.340947632278059</v>
      </c>
      <c r="J3" s="2">
        <f>('[1]Pc, Winter, S2'!J3*Main!$B$5)+(_xlfn.IFNA(VLOOKUP($A3,'FL Ratio'!$A$3:$B$10,2,FALSE),0)*'FL Characterization'!J$2)</f>
        <v>61.692082456674449</v>
      </c>
      <c r="K3" s="2">
        <f>('[1]Pc, Winter, S2'!K3*Main!$B$5)+(_xlfn.IFNA(VLOOKUP($A3,'FL Ratio'!$A$3:$B$10,2,FALSE),0)*'FL Characterization'!K$2)</f>
        <v>61.868025707630629</v>
      </c>
      <c r="L3" s="2">
        <f>('[1]Pc, Winter, S2'!L3*Main!$B$5)+(_xlfn.IFNA(VLOOKUP($A3,'FL Ratio'!$A$3:$B$10,2,FALSE),0)*'FL Characterization'!L$2)</f>
        <v>58.278433395104457</v>
      </c>
      <c r="M3" s="2">
        <f>('[1]Pc, Winter, S2'!M3*Main!$B$5)+(_xlfn.IFNA(VLOOKUP($A3,'FL Ratio'!$A$3:$B$10,2,FALSE),0)*'FL Characterization'!M$2)</f>
        <v>63.804549186646703</v>
      </c>
      <c r="N3" s="2">
        <f>('[1]Pc, Winter, S2'!N3*Main!$B$5)+(_xlfn.IFNA(VLOOKUP($A3,'FL Ratio'!$A$3:$B$10,2,FALSE),0)*'FL Characterization'!N$2)</f>
        <v>60.391797366320333</v>
      </c>
      <c r="O3" s="2">
        <f>('[1]Pc, Winter, S2'!O3*Main!$B$5)+(_xlfn.IFNA(VLOOKUP($A3,'FL Ratio'!$A$3:$B$10,2,FALSE),0)*'FL Characterization'!O$2)</f>
        <v>57.020396275682252</v>
      </c>
      <c r="P3" s="2">
        <f>('[1]Pc, Winter, S2'!P3*Main!$B$5)+(_xlfn.IFNA(VLOOKUP($A3,'FL Ratio'!$A$3:$B$10,2,FALSE),0)*'FL Characterization'!P$2)</f>
        <v>55.38560654631992</v>
      </c>
      <c r="Q3" s="2">
        <f>('[1]Pc, Winter, S2'!Q3*Main!$B$5)+(_xlfn.IFNA(VLOOKUP($A3,'FL Ratio'!$A$3:$B$10,2,FALSE),0)*'FL Characterization'!Q$2)</f>
        <v>51.804443487317066</v>
      </c>
      <c r="R3" s="2">
        <f>('[1]Pc, Winter, S2'!R3*Main!$B$5)+(_xlfn.IFNA(VLOOKUP($A3,'FL Ratio'!$A$3:$B$10,2,FALSE),0)*'FL Characterization'!R$2)</f>
        <v>51.382011185649993</v>
      </c>
      <c r="S3" s="2">
        <f>('[1]Pc, Winter, S2'!S3*Main!$B$5)+(_xlfn.IFNA(VLOOKUP($A3,'FL Ratio'!$A$3:$B$10,2,FALSE),0)*'FL Characterization'!S$2)</f>
        <v>54.965192558454731</v>
      </c>
      <c r="T3" s="2">
        <f>('[1]Pc, Winter, S2'!T3*Main!$B$5)+(_xlfn.IFNA(VLOOKUP($A3,'FL Ratio'!$A$3:$B$10,2,FALSE),0)*'FL Characterization'!T$2)</f>
        <v>54.476098323356858</v>
      </c>
      <c r="U3" s="2">
        <f>('[1]Pc, Winter, S2'!U3*Main!$B$5)+(_xlfn.IFNA(VLOOKUP($A3,'FL Ratio'!$A$3:$B$10,2,FALSE),0)*'FL Characterization'!U$2)</f>
        <v>55.07976553251531</v>
      </c>
      <c r="V3" s="2">
        <f>('[1]Pc, Winter, S2'!V3*Main!$B$5)+(_xlfn.IFNA(VLOOKUP($A3,'FL Ratio'!$A$3:$B$10,2,FALSE),0)*'FL Characterization'!V$2)</f>
        <v>53.858972005243594</v>
      </c>
      <c r="W3" s="2">
        <f>('[1]Pc, Winter, S2'!W3*Main!$B$5)+(_xlfn.IFNA(VLOOKUP($A3,'FL Ratio'!$A$3:$B$10,2,FALSE),0)*'FL Characterization'!W$2)</f>
        <v>48.456919979686731</v>
      </c>
      <c r="X3" s="2">
        <f>('[1]Pc, Winter, S2'!X3*Main!$B$5)+(_xlfn.IFNA(VLOOKUP($A3,'FL Ratio'!$A$3:$B$10,2,FALSE),0)*'FL Characterization'!X$2)</f>
        <v>42.688060311258646</v>
      </c>
      <c r="Y3" s="2">
        <f>('[1]Pc, Winter, S2'!Y3*Main!$B$5)+(_xlfn.IFNA(VLOOKUP($A3,'FL Ratio'!$A$3:$B$10,2,FALSE),0)*'FL Characterization'!Y$2)</f>
        <v>41.805940688267953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55.00195026446471</v>
      </c>
      <c r="C4" s="2">
        <f>('[1]Pc, Winter, S2'!C4*Main!$B$5)+(_xlfn.IFNA(VLOOKUP($A4,'FL Ratio'!$A$3:$B$10,2,FALSE),0)*'FL Characterization'!C$2)</f>
        <v>48.816765625411122</v>
      </c>
      <c r="D4" s="2">
        <f>('[1]Pc, Winter, S2'!D4*Main!$B$5)+(_xlfn.IFNA(VLOOKUP($A4,'FL Ratio'!$A$3:$B$10,2,FALSE),0)*'FL Characterization'!D$2)</f>
        <v>45.82785484798768</v>
      </c>
      <c r="E4" s="2">
        <f>('[1]Pc, Winter, S2'!E4*Main!$B$5)+(_xlfn.IFNA(VLOOKUP($A4,'FL Ratio'!$A$3:$B$10,2,FALSE),0)*'FL Characterization'!E$2)</f>
        <v>45.181074367898013</v>
      </c>
      <c r="F4" s="2">
        <f>('[1]Pc, Winter, S2'!F4*Main!$B$5)+(_xlfn.IFNA(VLOOKUP($A4,'FL Ratio'!$A$3:$B$10,2,FALSE),0)*'FL Characterization'!F$2)</f>
        <v>46.74219802909419</v>
      </c>
      <c r="G4" s="2">
        <f>('[1]Pc, Winter, S2'!G4*Main!$B$5)+(_xlfn.IFNA(VLOOKUP($A4,'FL Ratio'!$A$3:$B$10,2,FALSE),0)*'FL Characterization'!G$2)</f>
        <v>50.010892902064839</v>
      </c>
      <c r="H4" s="2">
        <f>('[1]Pc, Winter, S2'!H4*Main!$B$5)+(_xlfn.IFNA(VLOOKUP($A4,'FL Ratio'!$A$3:$B$10,2,FALSE),0)*'FL Characterization'!H$2)</f>
        <v>60.374160378220289</v>
      </c>
      <c r="I4" s="2">
        <f>('[1]Pc, Winter, S2'!I4*Main!$B$5)+(_xlfn.IFNA(VLOOKUP($A4,'FL Ratio'!$A$3:$B$10,2,FALSE),0)*'FL Characterization'!I$2)</f>
        <v>65.555935895205153</v>
      </c>
      <c r="J4" s="2">
        <f>('[1]Pc, Winter, S2'!J4*Main!$B$5)+(_xlfn.IFNA(VLOOKUP($A4,'FL Ratio'!$A$3:$B$10,2,FALSE),0)*'FL Characterization'!J$2)</f>
        <v>69.321174851134714</v>
      </c>
      <c r="K4" s="2">
        <f>('[1]Pc, Winter, S2'!K4*Main!$B$5)+(_xlfn.IFNA(VLOOKUP($A4,'FL Ratio'!$A$3:$B$10,2,FALSE),0)*'FL Characterization'!K$2)</f>
        <v>71.812306493174589</v>
      </c>
      <c r="L4" s="2">
        <f>('[1]Pc, Winter, S2'!L4*Main!$B$5)+(_xlfn.IFNA(VLOOKUP($A4,'FL Ratio'!$A$3:$B$10,2,FALSE),0)*'FL Characterization'!L$2)</f>
        <v>72.277285856026467</v>
      </c>
      <c r="M4" s="2">
        <f>('[1]Pc, Winter, S2'!M4*Main!$B$5)+(_xlfn.IFNA(VLOOKUP($A4,'FL Ratio'!$A$3:$B$10,2,FALSE),0)*'FL Characterization'!M$2)</f>
        <v>71.593399027810094</v>
      </c>
      <c r="N4" s="2">
        <f>('[1]Pc, Winter, S2'!N4*Main!$B$5)+(_xlfn.IFNA(VLOOKUP($A4,'FL Ratio'!$A$3:$B$10,2,FALSE),0)*'FL Characterization'!N$2)</f>
        <v>71.388606124316567</v>
      </c>
      <c r="O4" s="2">
        <f>('[1]Pc, Winter, S2'!O4*Main!$B$5)+(_xlfn.IFNA(VLOOKUP($A4,'FL Ratio'!$A$3:$B$10,2,FALSE),0)*'FL Characterization'!O$2)</f>
        <v>70.378953147480345</v>
      </c>
      <c r="P4" s="2">
        <f>('[1]Pc, Winter, S2'!P4*Main!$B$5)+(_xlfn.IFNA(VLOOKUP($A4,'FL Ratio'!$A$3:$B$10,2,FALSE),0)*'FL Characterization'!P$2)</f>
        <v>68.236160158954405</v>
      </c>
      <c r="Q4" s="2">
        <f>('[1]Pc, Winter, S2'!Q4*Main!$B$5)+(_xlfn.IFNA(VLOOKUP($A4,'FL Ratio'!$A$3:$B$10,2,FALSE),0)*'FL Characterization'!Q$2)</f>
        <v>67.002238155012108</v>
      </c>
      <c r="R4" s="2">
        <f>('[1]Pc, Winter, S2'!R4*Main!$B$5)+(_xlfn.IFNA(VLOOKUP($A4,'FL Ratio'!$A$3:$B$10,2,FALSE),0)*'FL Characterization'!R$2)</f>
        <v>68.902360656750872</v>
      </c>
      <c r="S4" s="2">
        <f>('[1]Pc, Winter, S2'!S4*Main!$B$5)+(_xlfn.IFNA(VLOOKUP($A4,'FL Ratio'!$A$3:$B$10,2,FALSE),0)*'FL Characterization'!S$2)</f>
        <v>78.533074255581496</v>
      </c>
      <c r="T4" s="2">
        <f>('[1]Pc, Winter, S2'!T4*Main!$B$5)+(_xlfn.IFNA(VLOOKUP($A4,'FL Ratio'!$A$3:$B$10,2,FALSE),0)*'FL Characterization'!T$2)</f>
        <v>79.561508074299212</v>
      </c>
      <c r="U4" s="2">
        <f>('[1]Pc, Winter, S2'!U4*Main!$B$5)+(_xlfn.IFNA(VLOOKUP($A4,'FL Ratio'!$A$3:$B$10,2,FALSE),0)*'FL Characterization'!U$2)</f>
        <v>79.823653562224237</v>
      </c>
      <c r="V4" s="2">
        <f>('[1]Pc, Winter, S2'!V4*Main!$B$5)+(_xlfn.IFNA(VLOOKUP($A4,'FL Ratio'!$A$3:$B$10,2,FALSE),0)*'FL Characterization'!V$2)</f>
        <v>77.717747638794592</v>
      </c>
      <c r="W4" s="2">
        <f>('[1]Pc, Winter, S2'!W4*Main!$B$5)+(_xlfn.IFNA(VLOOKUP($A4,'FL Ratio'!$A$3:$B$10,2,FALSE),0)*'FL Characterization'!W$2)</f>
        <v>73.915755638767408</v>
      </c>
      <c r="X4" s="2">
        <f>('[1]Pc, Winter, S2'!X4*Main!$B$5)+(_xlfn.IFNA(VLOOKUP($A4,'FL Ratio'!$A$3:$B$10,2,FALSE),0)*'FL Characterization'!X$2)</f>
        <v>69.074657361748706</v>
      </c>
      <c r="Y4" s="2">
        <f>('[1]Pc, Winter, S2'!Y4*Main!$B$5)+(_xlfn.IFNA(VLOOKUP($A4,'FL Ratio'!$A$3:$B$10,2,FALSE),0)*'FL Characterization'!Y$2)</f>
        <v>61.728440118865997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36.355477426339661</v>
      </c>
      <c r="C2" s="2">
        <f>('[1]Pc, Winter, S2'!C2*Main!$B$5)+(_xlfn.IFNA(VLOOKUP($A2,'FL Ratio'!$A$3:$B$10,2,FALSE),0)*'FL Characterization'!C$2)</f>
        <v>33.910509545896396</v>
      </c>
      <c r="D2" s="2">
        <f>('[1]Pc, Winter, S2'!D2*Main!$B$5)+(_xlfn.IFNA(VLOOKUP($A2,'FL Ratio'!$A$3:$B$10,2,FALSE),0)*'FL Characterization'!D$2)</f>
        <v>32.13124991148463</v>
      </c>
      <c r="E2" s="2">
        <f>('[1]Pc, Winter, S2'!E2*Main!$B$5)+(_xlfn.IFNA(VLOOKUP($A2,'FL Ratio'!$A$3:$B$10,2,FALSE),0)*'FL Characterization'!E$2)</f>
        <v>31.903903436684381</v>
      </c>
      <c r="F2" s="2">
        <f>('[1]Pc, Winter, S2'!F2*Main!$B$5)+(_xlfn.IFNA(VLOOKUP($A2,'FL Ratio'!$A$3:$B$10,2,FALSE),0)*'FL Characterization'!F$2)</f>
        <v>32.288736947726214</v>
      </c>
      <c r="G2" s="2">
        <f>('[1]Pc, Winter, S2'!G2*Main!$B$5)+(_xlfn.IFNA(VLOOKUP($A2,'FL Ratio'!$A$3:$B$10,2,FALSE),0)*'FL Characterization'!G$2)</f>
        <v>35.492293524428085</v>
      </c>
      <c r="H2" s="2">
        <f>('[1]Pc, Winter, S2'!H2*Main!$B$5)+(_xlfn.IFNA(VLOOKUP($A2,'FL Ratio'!$A$3:$B$10,2,FALSE),0)*'FL Characterization'!H$2)</f>
        <v>42.350955716357966</v>
      </c>
      <c r="I2" s="2">
        <f>('[1]Pc, Winter, S2'!I2*Main!$B$5)+(_xlfn.IFNA(VLOOKUP($A2,'FL Ratio'!$A$3:$B$10,2,FALSE),0)*'FL Characterization'!I$2)</f>
        <v>50.977638813349103</v>
      </c>
      <c r="J2" s="2">
        <f>('[1]Pc, Winter, S2'!J2*Main!$B$5)+(_xlfn.IFNA(VLOOKUP($A2,'FL Ratio'!$A$3:$B$10,2,FALSE),0)*'FL Characterization'!J$2)</f>
        <v>55.500796493053514</v>
      </c>
      <c r="K2" s="2">
        <f>('[1]Pc, Winter, S2'!K2*Main!$B$5)+(_xlfn.IFNA(VLOOKUP($A2,'FL Ratio'!$A$3:$B$10,2,FALSE),0)*'FL Characterization'!K$2)</f>
        <v>56.192881974553018</v>
      </c>
      <c r="L2" s="2">
        <f>('[1]Pc, Winter, S2'!L2*Main!$B$5)+(_xlfn.IFNA(VLOOKUP($A2,'FL Ratio'!$A$3:$B$10,2,FALSE),0)*'FL Characterization'!L$2)</f>
        <v>54.676424378413842</v>
      </c>
      <c r="M2" s="2">
        <f>('[1]Pc, Winter, S2'!M2*Main!$B$5)+(_xlfn.IFNA(VLOOKUP($A2,'FL Ratio'!$A$3:$B$10,2,FALSE),0)*'FL Characterization'!M$2)</f>
        <v>54.958233977698761</v>
      </c>
      <c r="N2" s="2">
        <f>('[1]Pc, Winter, S2'!N2*Main!$B$5)+(_xlfn.IFNA(VLOOKUP($A2,'FL Ratio'!$A$3:$B$10,2,FALSE),0)*'FL Characterization'!N$2)</f>
        <v>54.913070840858452</v>
      </c>
      <c r="O2" s="2">
        <f>('[1]Pc, Winter, S2'!O2*Main!$B$5)+(_xlfn.IFNA(VLOOKUP($A2,'FL Ratio'!$A$3:$B$10,2,FALSE),0)*'FL Characterization'!O$2)</f>
        <v>54.016369806110625</v>
      </c>
      <c r="P2" s="2">
        <f>('[1]Pc, Winter, S2'!P2*Main!$B$5)+(_xlfn.IFNA(VLOOKUP($A2,'FL Ratio'!$A$3:$B$10,2,FALSE),0)*'FL Characterization'!P$2)</f>
        <v>50.938001026429177</v>
      </c>
      <c r="Q2" s="2">
        <f>('[1]Pc, Winter, S2'!Q2*Main!$B$5)+(_xlfn.IFNA(VLOOKUP($A2,'FL Ratio'!$A$3:$B$10,2,FALSE),0)*'FL Characterization'!Q$2)</f>
        <v>49.478608478107184</v>
      </c>
      <c r="R2" s="2">
        <f>('[1]Pc, Winter, S2'!R2*Main!$B$5)+(_xlfn.IFNA(VLOOKUP($A2,'FL Ratio'!$A$3:$B$10,2,FALSE),0)*'FL Characterization'!R$2)</f>
        <v>51.52945321405354</v>
      </c>
      <c r="S2" s="2">
        <f>('[1]Pc, Winter, S2'!S2*Main!$B$5)+(_xlfn.IFNA(VLOOKUP($A2,'FL Ratio'!$A$3:$B$10,2,FALSE),0)*'FL Characterization'!S$2)</f>
        <v>57.12136643510415</v>
      </c>
      <c r="T2" s="2">
        <f>('[1]Pc, Winter, S2'!T2*Main!$B$5)+(_xlfn.IFNA(VLOOKUP($A2,'FL Ratio'!$A$3:$B$10,2,FALSE),0)*'FL Characterization'!T$2)</f>
        <v>56.914302385191633</v>
      </c>
      <c r="U2" s="2">
        <f>('[1]Pc, Winter, S2'!U2*Main!$B$5)+(_xlfn.IFNA(VLOOKUP($A2,'FL Ratio'!$A$3:$B$10,2,FALSE),0)*'FL Characterization'!U$2)</f>
        <v>55.7359716730965</v>
      </c>
      <c r="V2" s="2">
        <f>('[1]Pc, Winter, S2'!V2*Main!$B$5)+(_xlfn.IFNA(VLOOKUP($A2,'FL Ratio'!$A$3:$B$10,2,FALSE),0)*'FL Characterization'!V$2)</f>
        <v>54.777457194879005</v>
      </c>
      <c r="W2" s="2">
        <f>('[1]Pc, Winter, S2'!W2*Main!$B$5)+(_xlfn.IFNA(VLOOKUP($A2,'FL Ratio'!$A$3:$B$10,2,FALSE),0)*'FL Characterization'!W$2)</f>
        <v>51.341210947198377</v>
      </c>
      <c r="X2" s="2">
        <f>('[1]Pc, Winter, S2'!X2*Main!$B$5)+(_xlfn.IFNA(VLOOKUP($A2,'FL Ratio'!$A$3:$B$10,2,FALSE),0)*'FL Characterization'!X$2)</f>
        <v>44.91400716582077</v>
      </c>
      <c r="Y2" s="2">
        <f>('[1]Pc, Winter, S2'!Y2*Main!$B$5)+(_xlfn.IFNA(VLOOKUP($A2,'FL Ratio'!$A$3:$B$10,2,FALSE),0)*'FL Characterization'!Y$2)</f>
        <v>40.748405381733491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38.699242257495094</v>
      </c>
      <c r="C3" s="2">
        <f>('[1]Pc, Winter, S2'!C3*Main!$B$5)+(_xlfn.IFNA(VLOOKUP($A3,'FL Ratio'!$A$3:$B$10,2,FALSE),0)*'FL Characterization'!C$2)</f>
        <v>36.247880828811589</v>
      </c>
      <c r="D3" s="2">
        <f>('[1]Pc, Winter, S2'!D3*Main!$B$5)+(_xlfn.IFNA(VLOOKUP($A3,'FL Ratio'!$A$3:$B$10,2,FALSE),0)*'FL Characterization'!D$2)</f>
        <v>32.775562079926637</v>
      </c>
      <c r="E3" s="2">
        <f>('[1]Pc, Winter, S2'!E3*Main!$B$5)+(_xlfn.IFNA(VLOOKUP($A3,'FL Ratio'!$A$3:$B$10,2,FALSE),0)*'FL Characterization'!E$2)</f>
        <v>34.926760947428306</v>
      </c>
      <c r="F3" s="2">
        <f>('[1]Pc, Winter, S2'!F3*Main!$B$5)+(_xlfn.IFNA(VLOOKUP($A3,'FL Ratio'!$A$3:$B$10,2,FALSE),0)*'FL Characterization'!F$2)</f>
        <v>34.377126406691801</v>
      </c>
      <c r="G3" s="2">
        <f>('[1]Pc, Winter, S2'!G3*Main!$B$5)+(_xlfn.IFNA(VLOOKUP($A3,'FL Ratio'!$A$3:$B$10,2,FALSE),0)*'FL Characterization'!G$2)</f>
        <v>35.454809013383063</v>
      </c>
      <c r="H3" s="2">
        <f>('[1]Pc, Winter, S2'!H3*Main!$B$5)+(_xlfn.IFNA(VLOOKUP($A3,'FL Ratio'!$A$3:$B$10,2,FALSE),0)*'FL Characterization'!H$2)</f>
        <v>52.319215509201378</v>
      </c>
      <c r="I3" s="2">
        <f>('[1]Pc, Winter, S2'!I3*Main!$B$5)+(_xlfn.IFNA(VLOOKUP($A3,'FL Ratio'!$A$3:$B$10,2,FALSE),0)*'FL Characterization'!I$2)</f>
        <v>56.340947632278059</v>
      </c>
      <c r="J3" s="2">
        <f>('[1]Pc, Winter, S2'!J3*Main!$B$5)+(_xlfn.IFNA(VLOOKUP($A3,'FL Ratio'!$A$3:$B$10,2,FALSE),0)*'FL Characterization'!J$2)</f>
        <v>61.692082456674449</v>
      </c>
      <c r="K3" s="2">
        <f>('[1]Pc, Winter, S2'!K3*Main!$B$5)+(_xlfn.IFNA(VLOOKUP($A3,'FL Ratio'!$A$3:$B$10,2,FALSE),0)*'FL Characterization'!K$2)</f>
        <v>61.868025707630629</v>
      </c>
      <c r="L3" s="2">
        <f>('[1]Pc, Winter, S2'!L3*Main!$B$5)+(_xlfn.IFNA(VLOOKUP($A3,'FL Ratio'!$A$3:$B$10,2,FALSE),0)*'FL Characterization'!L$2)</f>
        <v>58.278433395104457</v>
      </c>
      <c r="M3" s="2">
        <f>('[1]Pc, Winter, S2'!M3*Main!$B$5)+(_xlfn.IFNA(VLOOKUP($A3,'FL Ratio'!$A$3:$B$10,2,FALSE),0)*'FL Characterization'!M$2)</f>
        <v>63.804549186646703</v>
      </c>
      <c r="N3" s="2">
        <f>('[1]Pc, Winter, S2'!N3*Main!$B$5)+(_xlfn.IFNA(VLOOKUP($A3,'FL Ratio'!$A$3:$B$10,2,FALSE),0)*'FL Characterization'!N$2)</f>
        <v>60.391797366320333</v>
      </c>
      <c r="O3" s="2">
        <f>('[1]Pc, Winter, S2'!O3*Main!$B$5)+(_xlfn.IFNA(VLOOKUP($A3,'FL Ratio'!$A$3:$B$10,2,FALSE),0)*'FL Characterization'!O$2)</f>
        <v>57.020396275682252</v>
      </c>
      <c r="P3" s="2">
        <f>('[1]Pc, Winter, S2'!P3*Main!$B$5)+(_xlfn.IFNA(VLOOKUP($A3,'FL Ratio'!$A$3:$B$10,2,FALSE),0)*'FL Characterization'!P$2)</f>
        <v>55.38560654631992</v>
      </c>
      <c r="Q3" s="2">
        <f>('[1]Pc, Winter, S2'!Q3*Main!$B$5)+(_xlfn.IFNA(VLOOKUP($A3,'FL Ratio'!$A$3:$B$10,2,FALSE),0)*'FL Characterization'!Q$2)</f>
        <v>51.804443487317066</v>
      </c>
      <c r="R3" s="2">
        <f>('[1]Pc, Winter, S2'!R3*Main!$B$5)+(_xlfn.IFNA(VLOOKUP($A3,'FL Ratio'!$A$3:$B$10,2,FALSE),0)*'FL Characterization'!R$2)</f>
        <v>51.382011185649993</v>
      </c>
      <c r="S3" s="2">
        <f>('[1]Pc, Winter, S2'!S3*Main!$B$5)+(_xlfn.IFNA(VLOOKUP($A3,'FL Ratio'!$A$3:$B$10,2,FALSE),0)*'FL Characterization'!S$2)</f>
        <v>54.965192558454731</v>
      </c>
      <c r="T3" s="2">
        <f>('[1]Pc, Winter, S2'!T3*Main!$B$5)+(_xlfn.IFNA(VLOOKUP($A3,'FL Ratio'!$A$3:$B$10,2,FALSE),0)*'FL Characterization'!T$2)</f>
        <v>54.476098323356858</v>
      </c>
      <c r="U3" s="2">
        <f>('[1]Pc, Winter, S2'!U3*Main!$B$5)+(_xlfn.IFNA(VLOOKUP($A3,'FL Ratio'!$A$3:$B$10,2,FALSE),0)*'FL Characterization'!U$2)</f>
        <v>55.07976553251531</v>
      </c>
      <c r="V3" s="2">
        <f>('[1]Pc, Winter, S2'!V3*Main!$B$5)+(_xlfn.IFNA(VLOOKUP($A3,'FL Ratio'!$A$3:$B$10,2,FALSE),0)*'FL Characterization'!V$2)</f>
        <v>53.858972005243594</v>
      </c>
      <c r="W3" s="2">
        <f>('[1]Pc, Winter, S2'!W3*Main!$B$5)+(_xlfn.IFNA(VLOOKUP($A3,'FL Ratio'!$A$3:$B$10,2,FALSE),0)*'FL Characterization'!W$2)</f>
        <v>48.456919979686731</v>
      </c>
      <c r="X3" s="2">
        <f>('[1]Pc, Winter, S2'!X3*Main!$B$5)+(_xlfn.IFNA(VLOOKUP($A3,'FL Ratio'!$A$3:$B$10,2,FALSE),0)*'FL Characterization'!X$2)</f>
        <v>42.688060311258646</v>
      </c>
      <c r="Y3" s="2">
        <f>('[1]Pc, Winter, S2'!Y3*Main!$B$5)+(_xlfn.IFNA(VLOOKUP($A3,'FL Ratio'!$A$3:$B$10,2,FALSE),0)*'FL Characterization'!Y$2)</f>
        <v>41.805940688267953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55.00195026446471</v>
      </c>
      <c r="C4" s="2">
        <f>('[1]Pc, Winter, S2'!C4*Main!$B$5)+(_xlfn.IFNA(VLOOKUP($A4,'FL Ratio'!$A$3:$B$10,2,FALSE),0)*'FL Characterization'!C$2)</f>
        <v>48.816765625411122</v>
      </c>
      <c r="D4" s="2">
        <f>('[1]Pc, Winter, S2'!D4*Main!$B$5)+(_xlfn.IFNA(VLOOKUP($A4,'FL Ratio'!$A$3:$B$10,2,FALSE),0)*'FL Characterization'!D$2)</f>
        <v>45.82785484798768</v>
      </c>
      <c r="E4" s="2">
        <f>('[1]Pc, Winter, S2'!E4*Main!$B$5)+(_xlfn.IFNA(VLOOKUP($A4,'FL Ratio'!$A$3:$B$10,2,FALSE),0)*'FL Characterization'!E$2)</f>
        <v>45.181074367898013</v>
      </c>
      <c r="F4" s="2">
        <f>('[1]Pc, Winter, S2'!F4*Main!$B$5)+(_xlfn.IFNA(VLOOKUP($A4,'FL Ratio'!$A$3:$B$10,2,FALSE),0)*'FL Characterization'!F$2)</f>
        <v>46.74219802909419</v>
      </c>
      <c r="G4" s="2">
        <f>('[1]Pc, Winter, S2'!G4*Main!$B$5)+(_xlfn.IFNA(VLOOKUP($A4,'FL Ratio'!$A$3:$B$10,2,FALSE),0)*'FL Characterization'!G$2)</f>
        <v>50.010892902064839</v>
      </c>
      <c r="H4" s="2">
        <f>('[1]Pc, Winter, S2'!H4*Main!$B$5)+(_xlfn.IFNA(VLOOKUP($A4,'FL Ratio'!$A$3:$B$10,2,FALSE),0)*'FL Characterization'!H$2)</f>
        <v>60.374160378220289</v>
      </c>
      <c r="I4" s="2">
        <f>('[1]Pc, Winter, S2'!I4*Main!$B$5)+(_xlfn.IFNA(VLOOKUP($A4,'FL Ratio'!$A$3:$B$10,2,FALSE),0)*'FL Characterization'!I$2)</f>
        <v>65.555935895205153</v>
      </c>
      <c r="J4" s="2">
        <f>('[1]Pc, Winter, S2'!J4*Main!$B$5)+(_xlfn.IFNA(VLOOKUP($A4,'FL Ratio'!$A$3:$B$10,2,FALSE),0)*'FL Characterization'!J$2)</f>
        <v>69.321174851134714</v>
      </c>
      <c r="K4" s="2">
        <f>('[1]Pc, Winter, S2'!K4*Main!$B$5)+(_xlfn.IFNA(VLOOKUP($A4,'FL Ratio'!$A$3:$B$10,2,FALSE),0)*'FL Characterization'!K$2)</f>
        <v>71.812306493174589</v>
      </c>
      <c r="L4" s="2">
        <f>('[1]Pc, Winter, S2'!L4*Main!$B$5)+(_xlfn.IFNA(VLOOKUP($A4,'FL Ratio'!$A$3:$B$10,2,FALSE),0)*'FL Characterization'!L$2)</f>
        <v>72.277285856026467</v>
      </c>
      <c r="M4" s="2">
        <f>('[1]Pc, Winter, S2'!M4*Main!$B$5)+(_xlfn.IFNA(VLOOKUP($A4,'FL Ratio'!$A$3:$B$10,2,FALSE),0)*'FL Characterization'!M$2)</f>
        <v>71.593399027810094</v>
      </c>
      <c r="N4" s="2">
        <f>('[1]Pc, Winter, S2'!N4*Main!$B$5)+(_xlfn.IFNA(VLOOKUP($A4,'FL Ratio'!$A$3:$B$10,2,FALSE),0)*'FL Characterization'!N$2)</f>
        <v>71.388606124316567</v>
      </c>
      <c r="O4" s="2">
        <f>('[1]Pc, Winter, S2'!O4*Main!$B$5)+(_xlfn.IFNA(VLOOKUP($A4,'FL Ratio'!$A$3:$B$10,2,FALSE),0)*'FL Characterization'!O$2)</f>
        <v>70.378953147480345</v>
      </c>
      <c r="P4" s="2">
        <f>('[1]Pc, Winter, S2'!P4*Main!$B$5)+(_xlfn.IFNA(VLOOKUP($A4,'FL Ratio'!$A$3:$B$10,2,FALSE),0)*'FL Characterization'!P$2)</f>
        <v>68.236160158954405</v>
      </c>
      <c r="Q4" s="2">
        <f>('[1]Pc, Winter, S2'!Q4*Main!$B$5)+(_xlfn.IFNA(VLOOKUP($A4,'FL Ratio'!$A$3:$B$10,2,FALSE),0)*'FL Characterization'!Q$2)</f>
        <v>67.002238155012108</v>
      </c>
      <c r="R4" s="2">
        <f>('[1]Pc, Winter, S2'!R4*Main!$B$5)+(_xlfn.IFNA(VLOOKUP($A4,'FL Ratio'!$A$3:$B$10,2,FALSE),0)*'FL Characterization'!R$2)</f>
        <v>68.902360656750872</v>
      </c>
      <c r="S4" s="2">
        <f>('[1]Pc, Winter, S2'!S4*Main!$B$5)+(_xlfn.IFNA(VLOOKUP($A4,'FL Ratio'!$A$3:$B$10,2,FALSE),0)*'FL Characterization'!S$2)</f>
        <v>78.533074255581496</v>
      </c>
      <c r="T4" s="2">
        <f>('[1]Pc, Winter, S2'!T4*Main!$B$5)+(_xlfn.IFNA(VLOOKUP($A4,'FL Ratio'!$A$3:$B$10,2,FALSE),0)*'FL Characterization'!T$2)</f>
        <v>79.561508074299212</v>
      </c>
      <c r="U4" s="2">
        <f>('[1]Pc, Winter, S2'!U4*Main!$B$5)+(_xlfn.IFNA(VLOOKUP($A4,'FL Ratio'!$A$3:$B$10,2,FALSE),0)*'FL Characterization'!U$2)</f>
        <v>79.823653562224237</v>
      </c>
      <c r="V4" s="2">
        <f>('[1]Pc, Winter, S2'!V4*Main!$B$5)+(_xlfn.IFNA(VLOOKUP($A4,'FL Ratio'!$A$3:$B$10,2,FALSE),0)*'FL Characterization'!V$2)</f>
        <v>77.717747638794592</v>
      </c>
      <c r="W4" s="2">
        <f>('[1]Pc, Winter, S2'!W4*Main!$B$5)+(_xlfn.IFNA(VLOOKUP($A4,'FL Ratio'!$A$3:$B$10,2,FALSE),0)*'FL Characterization'!W$2)</f>
        <v>73.915755638767408</v>
      </c>
      <c r="X4" s="2">
        <f>('[1]Pc, Winter, S2'!X4*Main!$B$5)+(_xlfn.IFNA(VLOOKUP($A4,'FL Ratio'!$A$3:$B$10,2,FALSE),0)*'FL Characterization'!X$2)</f>
        <v>69.074657361748706</v>
      </c>
      <c r="Y4" s="2">
        <f>('[1]Pc, Winter, S2'!Y4*Main!$B$5)+(_xlfn.IFNA(VLOOKUP($A4,'FL Ratio'!$A$3:$B$10,2,FALSE),0)*'FL Characterization'!Y$2)</f>
        <v>61.728440118865997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34.590648425061026</v>
      </c>
      <c r="C2" s="2">
        <f>('[1]Pc, Winter, S3'!C2*Main!$B$5)+(_xlfn.IFNA(VLOOKUP($A2,'FL Ratio'!$A$3:$B$10,2,FALSE),0)*'FL Characterization'!C$2)</f>
        <v>32.264368305804332</v>
      </c>
      <c r="D2" s="2">
        <f>('[1]Pc, Winter, S3'!D2*Main!$B$5)+(_xlfn.IFNA(VLOOKUP($A2,'FL Ratio'!$A$3:$B$10,2,FALSE),0)*'FL Characterization'!D$2)</f>
        <v>30.57148049830576</v>
      </c>
      <c r="E2" s="2">
        <f>('[1]Pc, Winter, S3'!E2*Main!$B$5)+(_xlfn.IFNA(VLOOKUP($A2,'FL Ratio'!$A$3:$B$10,2,FALSE),0)*'FL Characterization'!E$2)</f>
        <v>30.355170260146306</v>
      </c>
      <c r="F2" s="2">
        <f>('[1]Pc, Winter, S3'!F2*Main!$B$5)+(_xlfn.IFNA(VLOOKUP($A2,'FL Ratio'!$A$3:$B$10,2,FALSE),0)*'FL Characterization'!F$2)</f>
        <v>30.721322532788051</v>
      </c>
      <c r="G2" s="2">
        <f>('[1]Pc, Winter, S3'!G2*Main!$B$5)+(_xlfn.IFNA(VLOOKUP($A2,'FL Ratio'!$A$3:$B$10,2,FALSE),0)*'FL Characterization'!G$2)</f>
        <v>33.769366654310218</v>
      </c>
      <c r="H2" s="2">
        <f>('[1]Pc, Winter, S3'!H2*Main!$B$5)+(_xlfn.IFNA(VLOOKUP($A2,'FL Ratio'!$A$3:$B$10,2,FALSE),0)*'FL Characterization'!H$2)</f>
        <v>40.295084079641562</v>
      </c>
      <c r="I2" s="2">
        <f>('[1]Pc, Winter, S3'!I2*Main!$B$5)+(_xlfn.IFNA(VLOOKUP($A2,'FL Ratio'!$A$3:$B$10,2,FALSE),0)*'FL Characterization'!I$2)</f>
        <v>48.502996152506903</v>
      </c>
      <c r="J2" s="2">
        <f>('[1]Pc, Winter, S3'!J2*Main!$B$5)+(_xlfn.IFNA(VLOOKUP($A2,'FL Ratio'!$A$3:$B$10,2,FALSE),0)*'FL Characterization'!J$2)</f>
        <v>52.806583071060622</v>
      </c>
      <c r="K2" s="2">
        <f>('[1]Pc, Winter, S3'!K2*Main!$B$5)+(_xlfn.IFNA(VLOOKUP($A2,'FL Ratio'!$A$3:$B$10,2,FALSE),0)*'FL Characterization'!K$2)</f>
        <v>53.465072169963058</v>
      </c>
      <c r="L2" s="2">
        <f>('[1]Pc, Winter, S3'!L2*Main!$B$5)+(_xlfn.IFNA(VLOOKUP($A2,'FL Ratio'!$A$3:$B$10,2,FALSE),0)*'FL Characterization'!L$2)</f>
        <v>52.022229020238399</v>
      </c>
      <c r="M2" s="2">
        <f>('[1]Pc, Winter, S3'!M2*Main!$B$5)+(_xlfn.IFNA(VLOOKUP($A2,'FL Ratio'!$A$3:$B$10,2,FALSE),0)*'FL Characterization'!M$2)</f>
        <v>52.290358541888139</v>
      </c>
      <c r="N2" s="2">
        <f>('[1]Pc, Winter, S3'!N2*Main!$B$5)+(_xlfn.IFNA(VLOOKUP($A2,'FL Ratio'!$A$3:$B$10,2,FALSE),0)*'FL Characterization'!N$2)</f>
        <v>52.247387790331338</v>
      </c>
      <c r="O2" s="2">
        <f>('[1]Pc, Winter, S3'!O2*Main!$B$5)+(_xlfn.IFNA(VLOOKUP($A2,'FL Ratio'!$A$3:$B$10,2,FALSE),0)*'FL Characterization'!O$2)</f>
        <v>51.394215932027571</v>
      </c>
      <c r="P2" s="2">
        <f>('[1]Pc, Winter, S3'!P2*Main!$B$5)+(_xlfn.IFNA(VLOOKUP($A2,'FL Ratio'!$A$3:$B$10,2,FALSE),0)*'FL Characterization'!P$2)</f>
        <v>48.465282530000572</v>
      </c>
      <c r="Q2" s="2">
        <f>('[1]Pc, Winter, S3'!Q2*Main!$B$5)+(_xlfn.IFNA(VLOOKUP($A2,'FL Ratio'!$A$3:$B$10,2,FALSE),0)*'FL Characterization'!Q$2)</f>
        <v>47.076734280140819</v>
      </c>
      <c r="R2" s="2">
        <f>('[1]Pc, Winter, S3'!R2*Main!$B$5)+(_xlfn.IFNA(VLOOKUP($A2,'FL Ratio'!$A$3:$B$10,2,FALSE),0)*'FL Characterization'!R$2)</f>
        <v>49.028023446381034</v>
      </c>
      <c r="S2" s="2">
        <f>('[1]Pc, Winter, S3'!S2*Main!$B$5)+(_xlfn.IFNA(VLOOKUP($A2,'FL Ratio'!$A$3:$B$10,2,FALSE),0)*'FL Characterization'!S$2)</f>
        <v>54.348484569322395</v>
      </c>
      <c r="T2" s="2">
        <f>('[1]Pc, Winter, S3'!T2*Main!$B$5)+(_xlfn.IFNA(VLOOKUP($A2,'FL Ratio'!$A$3:$B$10,2,FALSE),0)*'FL Characterization'!T$2)</f>
        <v>54.151472172318243</v>
      </c>
      <c r="U2" s="2">
        <f>('[1]Pc, Winter, S3'!U2*Main!$B$5)+(_xlfn.IFNA(VLOOKUP($A2,'FL Ratio'!$A$3:$B$10,2,FALSE),0)*'FL Characterization'!U$2)</f>
        <v>53.030341980227732</v>
      </c>
      <c r="V2" s="2">
        <f>('[1]Pc, Winter, S3'!V2*Main!$B$5)+(_xlfn.IFNA(VLOOKUP($A2,'FL Ratio'!$A$3:$B$10,2,FALSE),0)*'FL Characterization'!V$2)</f>
        <v>52.118357331049928</v>
      </c>
      <c r="W2" s="2">
        <f>('[1]Pc, Winter, S3'!W2*Main!$B$5)+(_xlfn.IFNA(VLOOKUP($A2,'FL Ratio'!$A$3:$B$10,2,FALSE),0)*'FL Characterization'!W$2)</f>
        <v>48.848919153645056</v>
      </c>
      <c r="X2" s="2">
        <f>('[1]Pc, Winter, S3'!X2*Main!$B$5)+(_xlfn.IFNA(VLOOKUP($A2,'FL Ratio'!$A$3:$B$10,2,FALSE),0)*'FL Characterization'!X$2)</f>
        <v>42.733715555829463</v>
      </c>
      <c r="Y2" s="2">
        <f>('[1]Pc, Winter, S3'!Y2*Main!$B$5)+(_xlfn.IFNA(VLOOKUP($A2,'FL Ratio'!$A$3:$B$10,2,FALSE),0)*'FL Characterization'!Y$2)</f>
        <v>38.77032745058137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36.954254708000505</v>
      </c>
      <c r="C3" s="2">
        <f>('[1]Pc, Winter, S3'!C3*Main!$B$5)+(_xlfn.IFNA(VLOOKUP($A3,'FL Ratio'!$A$3:$B$10,2,FALSE),0)*'FL Characterization'!C$2)</f>
        <v>34.626348549699898</v>
      </c>
      <c r="D3" s="2">
        <f>('[1]Pc, Winter, S3'!D3*Main!$B$5)+(_xlfn.IFNA(VLOOKUP($A3,'FL Ratio'!$A$3:$B$10,2,FALSE),0)*'FL Characterization'!D$2)</f>
        <v>31.308152169216982</v>
      </c>
      <c r="E3" s="2">
        <f>('[1]Pc, Winter, S3'!E3*Main!$B$5)+(_xlfn.IFNA(VLOOKUP($A3,'FL Ratio'!$A$3:$B$10,2,FALSE),0)*'FL Characterization'!E$2)</f>
        <v>33.348477356821675</v>
      </c>
      <c r="F3" s="2">
        <f>('[1]Pc, Winter, S3'!F3*Main!$B$5)+(_xlfn.IFNA(VLOOKUP($A3,'FL Ratio'!$A$3:$B$10,2,FALSE),0)*'FL Characterization'!F$2)</f>
        <v>32.804347240740164</v>
      </c>
      <c r="G3" s="2">
        <f>('[1]Pc, Winter, S3'!G3*Main!$B$5)+(_xlfn.IFNA(VLOOKUP($A3,'FL Ratio'!$A$3:$B$10,2,FALSE),0)*'FL Characterization'!G$2)</f>
        <v>33.815191394981468</v>
      </c>
      <c r="H3" s="2">
        <f>('[1]Pc, Winter, S3'!H3*Main!$B$5)+(_xlfn.IFNA(VLOOKUP($A3,'FL Ratio'!$A$3:$B$10,2,FALSE),0)*'FL Characterization'!H$2)</f>
        <v>49.879102955879922</v>
      </c>
      <c r="I3" s="2">
        <f>('[1]Pc, Winter, S3'!I3*Main!$B$5)+(_xlfn.IFNA(VLOOKUP($A3,'FL Ratio'!$A$3:$B$10,2,FALSE),0)*'FL Characterization'!I$2)</f>
        <v>53.623256933670817</v>
      </c>
      <c r="J3" s="2">
        <f>('[1]Pc, Winter, S3'!J3*Main!$B$5)+(_xlfn.IFNA(VLOOKUP($A3,'FL Ratio'!$A$3:$B$10,2,FALSE),0)*'FL Characterization'!J$2)</f>
        <v>58.712540684291014</v>
      </c>
      <c r="K3" s="2">
        <f>('[1]Pc, Winter, S3'!K3*Main!$B$5)+(_xlfn.IFNA(VLOOKUP($A3,'FL Ratio'!$A$3:$B$10,2,FALSE),0)*'FL Characterization'!K$2)</f>
        <v>58.886911362978644</v>
      </c>
      <c r="L3" s="2">
        <f>('[1]Pc, Winter, S3'!L3*Main!$B$5)+(_xlfn.IFNA(VLOOKUP($A3,'FL Ratio'!$A$3:$B$10,2,FALSE),0)*'FL Characterization'!L$2)</f>
        <v>55.462450268385858</v>
      </c>
      <c r="M3" s="2">
        <f>('[1]Pc, Winter, S3'!M3*Main!$B$5)+(_xlfn.IFNA(VLOOKUP($A3,'FL Ratio'!$A$3:$B$10,2,FALSE),0)*'FL Characterization'!M$2)</f>
        <v>60.723569335778087</v>
      </c>
      <c r="N3" s="2">
        <f>('[1]Pc, Winter, S3'!N3*Main!$B$5)+(_xlfn.IFNA(VLOOKUP($A3,'FL Ratio'!$A$3:$B$10,2,FALSE),0)*'FL Characterization'!N$2)</f>
        <v>57.486171211775044</v>
      </c>
      <c r="O3" s="2">
        <f>('[1]Pc, Winter, S3'!O3*Main!$B$5)+(_xlfn.IFNA(VLOOKUP($A3,'FL Ratio'!$A$3:$B$10,2,FALSE),0)*'FL Characterization'!O$2)</f>
        <v>54.300346465421761</v>
      </c>
      <c r="P3" s="2">
        <f>('[1]Pc, Winter, S3'!P3*Main!$B$5)+(_xlfn.IFNA(VLOOKUP($A3,'FL Ratio'!$A$3:$B$10,2,FALSE),0)*'FL Characterization'!P$2)</f>
        <v>52.748122429369133</v>
      </c>
      <c r="Q3" s="2">
        <f>('[1]Pc, Winter, S3'!Q3*Main!$B$5)+(_xlfn.IFNA(VLOOKUP($A3,'FL Ratio'!$A$3:$B$10,2,FALSE),0)*'FL Characterization'!Q$2)</f>
        <v>49.339954293072566</v>
      </c>
      <c r="R3" s="2">
        <f>('[1]Pc, Winter, S3'!R3*Main!$B$5)+(_xlfn.IFNA(VLOOKUP($A3,'FL Ratio'!$A$3:$B$10,2,FALSE),0)*'FL Characterization'!R$2)</f>
        <v>48.915949250450915</v>
      </c>
      <c r="S3" s="2">
        <f>('[1]Pc, Winter, S3'!S3*Main!$B$5)+(_xlfn.IFNA(VLOOKUP($A3,'FL Ratio'!$A$3:$B$10,2,FALSE),0)*'FL Characterization'!S$2)</f>
        <v>52.354443856044043</v>
      </c>
      <c r="T3" s="2">
        <f>('[1]Pc, Winter, S3'!T3*Main!$B$5)+(_xlfn.IFNA(VLOOKUP($A3,'FL Ratio'!$A$3:$B$10,2,FALSE),0)*'FL Characterization'!T$2)</f>
        <v>51.865349620946169</v>
      </c>
      <c r="U3" s="2">
        <f>('[1]Pc, Winter, S3'!U3*Main!$B$5)+(_xlfn.IFNA(VLOOKUP($A3,'FL Ratio'!$A$3:$B$10,2,FALSE),0)*'FL Characterization'!U$2)</f>
        <v>52.429700332022207</v>
      </c>
      <c r="V3" s="2">
        <f>('[1]Pc, Winter, S3'!V3*Main!$B$5)+(_xlfn.IFNA(VLOOKUP($A3,'FL Ratio'!$A$3:$B$10,2,FALSE),0)*'FL Characterization'!V$2)</f>
        <v>51.280463817879003</v>
      </c>
      <c r="W3" s="2">
        <f>('[1]Pc, Winter, S3'!W3*Main!$B$5)+(_xlfn.IFNA(VLOOKUP($A3,'FL Ratio'!$A$3:$B$10,2,FALSE),0)*'FL Characterization'!W$2)</f>
        <v>46.126895411414594</v>
      </c>
      <c r="X3" s="2">
        <f>('[1]Pc, Winter, S3'!X3*Main!$B$5)+(_xlfn.IFNA(VLOOKUP($A3,'FL Ratio'!$A$3:$B$10,2,FALSE),0)*'FL Characterization'!X$2)</f>
        <v>40.717392873732649</v>
      </c>
      <c r="Y3" s="2">
        <f>('[1]Pc, Winter, S3'!Y3*Main!$B$5)+(_xlfn.IFNA(VLOOKUP($A3,'FL Ratio'!$A$3:$B$10,2,FALSE),0)*'FL Characterization'!Y$2)</f>
        <v>39.898967065155695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52.465569122398783</v>
      </c>
      <c r="C4" s="2">
        <f>('[1]Pc, Winter, S3'!C4*Main!$B$5)+(_xlfn.IFNA(VLOOKUP($A4,'FL Ratio'!$A$3:$B$10,2,FALSE),0)*'FL Characterization'!C$2)</f>
        <v>46.585093307629549</v>
      </c>
      <c r="D4" s="2">
        <f>('[1]Pc, Winter, S3'!D4*Main!$B$5)+(_xlfn.IFNA(VLOOKUP($A4,'FL Ratio'!$A$3:$B$10,2,FALSE),0)*'FL Characterization'!D$2)</f>
        <v>43.726838492226513</v>
      </c>
      <c r="E4" s="2">
        <f>('[1]Pc, Winter, S3'!E4*Main!$B$5)+(_xlfn.IFNA(VLOOKUP($A4,'FL Ratio'!$A$3:$B$10,2,FALSE),0)*'FL Characterization'!E$2)</f>
        <v>43.105008572414214</v>
      </c>
      <c r="F4" s="2">
        <f>('[1]Pc, Winter, S3'!F4*Main!$B$5)+(_xlfn.IFNA(VLOOKUP($A4,'FL Ratio'!$A$3:$B$10,2,FALSE),0)*'FL Characterization'!F$2)</f>
        <v>44.569172667880302</v>
      </c>
      <c r="G4" s="2">
        <f>('[1]Pc, Winter, S3'!G4*Main!$B$5)+(_xlfn.IFNA(VLOOKUP($A4,'FL Ratio'!$A$3:$B$10,2,FALSE),0)*'FL Characterization'!G$2)</f>
        <v>47.664669269649565</v>
      </c>
      <c r="H4" s="2">
        <f>('[1]Pc, Winter, S3'!H4*Main!$B$5)+(_xlfn.IFNA(VLOOKUP($A4,'FL Ratio'!$A$3:$B$10,2,FALSE),0)*'FL Characterization'!H$2)</f>
        <v>57.543031083684319</v>
      </c>
      <c r="I4" s="2">
        <f>('[1]Pc, Winter, S3'!I4*Main!$B$5)+(_xlfn.IFNA(VLOOKUP($A4,'FL Ratio'!$A$3:$B$10,2,FALSE),0)*'FL Characterization'!I$2)</f>
        <v>62.390915669271344</v>
      </c>
      <c r="J4" s="2">
        <f>('[1]Pc, Winter, S3'!J4*Main!$B$5)+(_xlfn.IFNA(VLOOKUP($A4,'FL Ratio'!$A$3:$B$10,2,FALSE),0)*'FL Characterization'!J$2)</f>
        <v>65.971288787758056</v>
      </c>
      <c r="K4" s="2">
        <f>('[1]Pc, Winter, S3'!K4*Main!$B$5)+(_xlfn.IFNA(VLOOKUP($A4,'FL Ratio'!$A$3:$B$10,2,FALSE),0)*'FL Characterization'!K$2)</f>
        <v>68.348460071554456</v>
      </c>
      <c r="L4" s="2">
        <f>('[1]Pc, Winter, S3'!L4*Main!$B$5)+(_xlfn.IFNA(VLOOKUP($A4,'FL Ratio'!$A$3:$B$10,2,FALSE),0)*'FL Characterization'!L$2)</f>
        <v>68.781746784602916</v>
      </c>
      <c r="M4" s="2">
        <f>('[1]Pc, Winter, S3'!M4*Main!$B$5)+(_xlfn.IFNA(VLOOKUP($A4,'FL Ratio'!$A$3:$B$10,2,FALSE),0)*'FL Characterization'!M$2)</f>
        <v>68.134319670088885</v>
      </c>
      <c r="N4" s="2">
        <f>('[1]Pc, Winter, S3'!N4*Main!$B$5)+(_xlfn.IFNA(VLOOKUP($A4,'FL Ratio'!$A$3:$B$10,2,FALSE),0)*'FL Characterization'!N$2)</f>
        <v>67.949154301907384</v>
      </c>
      <c r="O4" s="2">
        <f>('[1]Pc, Winter, S3'!O4*Main!$B$5)+(_xlfn.IFNA(VLOOKUP($A4,'FL Ratio'!$A$3:$B$10,2,FALSE),0)*'FL Characterization'!O$2)</f>
        <v>67.010429702666542</v>
      </c>
      <c r="P4" s="2">
        <f>('[1]Pc, Winter, S3'!P4*Main!$B$5)+(_xlfn.IFNA(VLOOKUP($A4,'FL Ratio'!$A$3:$B$10,2,FALSE),0)*'FL Characterization'!P$2)</f>
        <v>64.97486275983691</v>
      </c>
      <c r="Q4" s="2">
        <f>('[1]Pc, Winter, S3'!Q4*Main!$B$5)+(_xlfn.IFNA(VLOOKUP($A4,'FL Ratio'!$A$3:$B$10,2,FALSE),0)*'FL Characterization'!Q$2)</f>
        <v>63.799991938063961</v>
      </c>
      <c r="R4" s="2">
        <f>('[1]Pc, Winter, S3'!R4*Main!$B$5)+(_xlfn.IFNA(VLOOKUP($A4,'FL Ratio'!$A$3:$B$10,2,FALSE),0)*'FL Characterization'!R$2)</f>
        <v>65.58579632004205</v>
      </c>
      <c r="S4" s="2">
        <f>('[1]Pc, Winter, S3'!S4*Main!$B$5)+(_xlfn.IFNA(VLOOKUP($A4,'FL Ratio'!$A$3:$B$10,2,FALSE),0)*'FL Characterization'!S$2)</f>
        <v>74.778253626125803</v>
      </c>
      <c r="T4" s="2">
        <f>('[1]Pc, Winter, S3'!T4*Main!$B$5)+(_xlfn.IFNA(VLOOKUP($A4,'FL Ratio'!$A$3:$B$10,2,FALSE),0)*'FL Characterization'!T$2)</f>
        <v>75.733021034464144</v>
      </c>
      <c r="U4" s="2">
        <f>('[1]Pc, Winter, S3'!U4*Main!$B$5)+(_xlfn.IFNA(VLOOKUP($A4,'FL Ratio'!$A$3:$B$10,2,FALSE),0)*'FL Characterization'!U$2)</f>
        <v>75.972428748638464</v>
      </c>
      <c r="V4" s="2">
        <f>('[1]Pc, Winter, S3'!V4*Main!$B$5)+(_xlfn.IFNA(VLOOKUP($A4,'FL Ratio'!$A$3:$B$10,2,FALSE),0)*'FL Characterization'!V$2)</f>
        <v>73.98104645951004</v>
      </c>
      <c r="W4" s="2">
        <f>('[1]Pc, Winter, S3'!W4*Main!$B$5)+(_xlfn.IFNA(VLOOKUP($A4,'FL Ratio'!$A$3:$B$10,2,FALSE),0)*'FL Characterization'!W$2)</f>
        <v>70.349865261802037</v>
      </c>
      <c r="X4" s="2">
        <f>('[1]Pc, Winter, S3'!X4*Main!$B$5)+(_xlfn.IFNA(VLOOKUP($A4,'FL Ratio'!$A$3:$B$10,2,FALSE),0)*'FL Characterization'!X$2)</f>
        <v>65.823087154781433</v>
      </c>
      <c r="Y4" s="2">
        <f>('[1]Pc, Winter, S3'!Y4*Main!$B$5)+(_xlfn.IFNA(VLOOKUP($A4,'FL Ratio'!$A$3:$B$10,2,FALSE),0)*'FL Characterization'!Y$2)</f>
        <v>58.854354872909177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34.590648425061026</v>
      </c>
      <c r="C2" s="2">
        <f>('[1]Pc, Winter, S3'!C2*Main!$B$5)+(_xlfn.IFNA(VLOOKUP($A2,'FL Ratio'!$A$3:$B$10,2,FALSE),0)*'FL Characterization'!C$2)</f>
        <v>32.264368305804332</v>
      </c>
      <c r="D2" s="2">
        <f>('[1]Pc, Winter, S3'!D2*Main!$B$5)+(_xlfn.IFNA(VLOOKUP($A2,'FL Ratio'!$A$3:$B$10,2,FALSE),0)*'FL Characterization'!D$2)</f>
        <v>30.57148049830576</v>
      </c>
      <c r="E2" s="2">
        <f>('[1]Pc, Winter, S3'!E2*Main!$B$5)+(_xlfn.IFNA(VLOOKUP($A2,'FL Ratio'!$A$3:$B$10,2,FALSE),0)*'FL Characterization'!E$2)</f>
        <v>30.355170260146306</v>
      </c>
      <c r="F2" s="2">
        <f>('[1]Pc, Winter, S3'!F2*Main!$B$5)+(_xlfn.IFNA(VLOOKUP($A2,'FL Ratio'!$A$3:$B$10,2,FALSE),0)*'FL Characterization'!F$2)</f>
        <v>30.721322532788051</v>
      </c>
      <c r="G2" s="2">
        <f>('[1]Pc, Winter, S3'!G2*Main!$B$5)+(_xlfn.IFNA(VLOOKUP($A2,'FL Ratio'!$A$3:$B$10,2,FALSE),0)*'FL Characterization'!G$2)</f>
        <v>33.769366654310218</v>
      </c>
      <c r="H2" s="2">
        <f>('[1]Pc, Winter, S3'!H2*Main!$B$5)+(_xlfn.IFNA(VLOOKUP($A2,'FL Ratio'!$A$3:$B$10,2,FALSE),0)*'FL Characterization'!H$2)</f>
        <v>40.295084079641562</v>
      </c>
      <c r="I2" s="2">
        <f>('[1]Pc, Winter, S3'!I2*Main!$B$5)+(_xlfn.IFNA(VLOOKUP($A2,'FL Ratio'!$A$3:$B$10,2,FALSE),0)*'FL Characterization'!I$2)</f>
        <v>48.502996152506903</v>
      </c>
      <c r="J2" s="2">
        <f>('[1]Pc, Winter, S3'!J2*Main!$B$5)+(_xlfn.IFNA(VLOOKUP($A2,'FL Ratio'!$A$3:$B$10,2,FALSE),0)*'FL Characterization'!J$2)</f>
        <v>52.806583071060622</v>
      </c>
      <c r="K2" s="2">
        <f>('[1]Pc, Winter, S3'!K2*Main!$B$5)+(_xlfn.IFNA(VLOOKUP($A2,'FL Ratio'!$A$3:$B$10,2,FALSE),0)*'FL Characterization'!K$2)</f>
        <v>53.465072169963058</v>
      </c>
      <c r="L2" s="2">
        <f>('[1]Pc, Winter, S3'!L2*Main!$B$5)+(_xlfn.IFNA(VLOOKUP($A2,'FL Ratio'!$A$3:$B$10,2,FALSE),0)*'FL Characterization'!L$2)</f>
        <v>52.022229020238399</v>
      </c>
      <c r="M2" s="2">
        <f>('[1]Pc, Winter, S3'!M2*Main!$B$5)+(_xlfn.IFNA(VLOOKUP($A2,'FL Ratio'!$A$3:$B$10,2,FALSE),0)*'FL Characterization'!M$2)</f>
        <v>52.290358541888139</v>
      </c>
      <c r="N2" s="2">
        <f>('[1]Pc, Winter, S3'!N2*Main!$B$5)+(_xlfn.IFNA(VLOOKUP($A2,'FL Ratio'!$A$3:$B$10,2,FALSE),0)*'FL Characterization'!N$2)</f>
        <v>52.247387790331338</v>
      </c>
      <c r="O2" s="2">
        <f>('[1]Pc, Winter, S3'!O2*Main!$B$5)+(_xlfn.IFNA(VLOOKUP($A2,'FL Ratio'!$A$3:$B$10,2,FALSE),0)*'FL Characterization'!O$2)</f>
        <v>51.394215932027571</v>
      </c>
      <c r="P2" s="2">
        <f>('[1]Pc, Winter, S3'!P2*Main!$B$5)+(_xlfn.IFNA(VLOOKUP($A2,'FL Ratio'!$A$3:$B$10,2,FALSE),0)*'FL Characterization'!P$2)</f>
        <v>48.465282530000572</v>
      </c>
      <c r="Q2" s="2">
        <f>('[1]Pc, Winter, S3'!Q2*Main!$B$5)+(_xlfn.IFNA(VLOOKUP($A2,'FL Ratio'!$A$3:$B$10,2,FALSE),0)*'FL Characterization'!Q$2)</f>
        <v>47.076734280140819</v>
      </c>
      <c r="R2" s="2">
        <f>('[1]Pc, Winter, S3'!R2*Main!$B$5)+(_xlfn.IFNA(VLOOKUP($A2,'FL Ratio'!$A$3:$B$10,2,FALSE),0)*'FL Characterization'!R$2)</f>
        <v>49.028023446381034</v>
      </c>
      <c r="S2" s="2">
        <f>('[1]Pc, Winter, S3'!S2*Main!$B$5)+(_xlfn.IFNA(VLOOKUP($A2,'FL Ratio'!$A$3:$B$10,2,FALSE),0)*'FL Characterization'!S$2)</f>
        <v>54.348484569322395</v>
      </c>
      <c r="T2" s="2">
        <f>('[1]Pc, Winter, S3'!T2*Main!$B$5)+(_xlfn.IFNA(VLOOKUP($A2,'FL Ratio'!$A$3:$B$10,2,FALSE),0)*'FL Characterization'!T$2)</f>
        <v>54.151472172318243</v>
      </c>
      <c r="U2" s="2">
        <f>('[1]Pc, Winter, S3'!U2*Main!$B$5)+(_xlfn.IFNA(VLOOKUP($A2,'FL Ratio'!$A$3:$B$10,2,FALSE),0)*'FL Characterization'!U$2)</f>
        <v>53.030341980227732</v>
      </c>
      <c r="V2" s="2">
        <f>('[1]Pc, Winter, S3'!V2*Main!$B$5)+(_xlfn.IFNA(VLOOKUP($A2,'FL Ratio'!$A$3:$B$10,2,FALSE),0)*'FL Characterization'!V$2)</f>
        <v>52.118357331049928</v>
      </c>
      <c r="W2" s="2">
        <f>('[1]Pc, Winter, S3'!W2*Main!$B$5)+(_xlfn.IFNA(VLOOKUP($A2,'FL Ratio'!$A$3:$B$10,2,FALSE),0)*'FL Characterization'!W$2)</f>
        <v>48.848919153645056</v>
      </c>
      <c r="X2" s="2">
        <f>('[1]Pc, Winter, S3'!X2*Main!$B$5)+(_xlfn.IFNA(VLOOKUP($A2,'FL Ratio'!$A$3:$B$10,2,FALSE),0)*'FL Characterization'!X$2)</f>
        <v>42.733715555829463</v>
      </c>
      <c r="Y2" s="2">
        <f>('[1]Pc, Winter, S3'!Y2*Main!$B$5)+(_xlfn.IFNA(VLOOKUP($A2,'FL Ratio'!$A$3:$B$10,2,FALSE),0)*'FL Characterization'!Y$2)</f>
        <v>38.77032745058137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36.954254708000505</v>
      </c>
      <c r="C3" s="2">
        <f>('[1]Pc, Winter, S3'!C3*Main!$B$5)+(_xlfn.IFNA(VLOOKUP($A3,'FL Ratio'!$A$3:$B$10,2,FALSE),0)*'FL Characterization'!C$2)</f>
        <v>34.626348549699898</v>
      </c>
      <c r="D3" s="2">
        <f>('[1]Pc, Winter, S3'!D3*Main!$B$5)+(_xlfn.IFNA(VLOOKUP($A3,'FL Ratio'!$A$3:$B$10,2,FALSE),0)*'FL Characterization'!D$2)</f>
        <v>31.308152169216982</v>
      </c>
      <c r="E3" s="2">
        <f>('[1]Pc, Winter, S3'!E3*Main!$B$5)+(_xlfn.IFNA(VLOOKUP($A3,'FL Ratio'!$A$3:$B$10,2,FALSE),0)*'FL Characterization'!E$2)</f>
        <v>33.348477356821675</v>
      </c>
      <c r="F3" s="2">
        <f>('[1]Pc, Winter, S3'!F3*Main!$B$5)+(_xlfn.IFNA(VLOOKUP($A3,'FL Ratio'!$A$3:$B$10,2,FALSE),0)*'FL Characterization'!F$2)</f>
        <v>32.804347240740164</v>
      </c>
      <c r="G3" s="2">
        <f>('[1]Pc, Winter, S3'!G3*Main!$B$5)+(_xlfn.IFNA(VLOOKUP($A3,'FL Ratio'!$A$3:$B$10,2,FALSE),0)*'FL Characterization'!G$2)</f>
        <v>33.815191394981468</v>
      </c>
      <c r="H3" s="2">
        <f>('[1]Pc, Winter, S3'!H3*Main!$B$5)+(_xlfn.IFNA(VLOOKUP($A3,'FL Ratio'!$A$3:$B$10,2,FALSE),0)*'FL Characterization'!H$2)</f>
        <v>49.879102955879922</v>
      </c>
      <c r="I3" s="2">
        <f>('[1]Pc, Winter, S3'!I3*Main!$B$5)+(_xlfn.IFNA(VLOOKUP($A3,'FL Ratio'!$A$3:$B$10,2,FALSE),0)*'FL Characterization'!I$2)</f>
        <v>53.623256933670817</v>
      </c>
      <c r="J3" s="2">
        <f>('[1]Pc, Winter, S3'!J3*Main!$B$5)+(_xlfn.IFNA(VLOOKUP($A3,'FL Ratio'!$A$3:$B$10,2,FALSE),0)*'FL Characterization'!J$2)</f>
        <v>58.712540684291014</v>
      </c>
      <c r="K3" s="2">
        <f>('[1]Pc, Winter, S3'!K3*Main!$B$5)+(_xlfn.IFNA(VLOOKUP($A3,'FL Ratio'!$A$3:$B$10,2,FALSE),0)*'FL Characterization'!K$2)</f>
        <v>58.886911362978644</v>
      </c>
      <c r="L3" s="2">
        <f>('[1]Pc, Winter, S3'!L3*Main!$B$5)+(_xlfn.IFNA(VLOOKUP($A3,'FL Ratio'!$A$3:$B$10,2,FALSE),0)*'FL Characterization'!L$2)</f>
        <v>55.462450268385858</v>
      </c>
      <c r="M3" s="2">
        <f>('[1]Pc, Winter, S3'!M3*Main!$B$5)+(_xlfn.IFNA(VLOOKUP($A3,'FL Ratio'!$A$3:$B$10,2,FALSE),0)*'FL Characterization'!M$2)</f>
        <v>60.723569335778087</v>
      </c>
      <c r="N3" s="2">
        <f>('[1]Pc, Winter, S3'!N3*Main!$B$5)+(_xlfn.IFNA(VLOOKUP($A3,'FL Ratio'!$A$3:$B$10,2,FALSE),0)*'FL Characterization'!N$2)</f>
        <v>57.486171211775044</v>
      </c>
      <c r="O3" s="2">
        <f>('[1]Pc, Winter, S3'!O3*Main!$B$5)+(_xlfn.IFNA(VLOOKUP($A3,'FL Ratio'!$A$3:$B$10,2,FALSE),0)*'FL Characterization'!O$2)</f>
        <v>54.300346465421761</v>
      </c>
      <c r="P3" s="2">
        <f>('[1]Pc, Winter, S3'!P3*Main!$B$5)+(_xlfn.IFNA(VLOOKUP($A3,'FL Ratio'!$A$3:$B$10,2,FALSE),0)*'FL Characterization'!P$2)</f>
        <v>52.748122429369133</v>
      </c>
      <c r="Q3" s="2">
        <f>('[1]Pc, Winter, S3'!Q3*Main!$B$5)+(_xlfn.IFNA(VLOOKUP($A3,'FL Ratio'!$A$3:$B$10,2,FALSE),0)*'FL Characterization'!Q$2)</f>
        <v>49.339954293072566</v>
      </c>
      <c r="R3" s="2">
        <f>('[1]Pc, Winter, S3'!R3*Main!$B$5)+(_xlfn.IFNA(VLOOKUP($A3,'FL Ratio'!$A$3:$B$10,2,FALSE),0)*'FL Characterization'!R$2)</f>
        <v>48.915949250450915</v>
      </c>
      <c r="S3" s="2">
        <f>('[1]Pc, Winter, S3'!S3*Main!$B$5)+(_xlfn.IFNA(VLOOKUP($A3,'FL Ratio'!$A$3:$B$10,2,FALSE),0)*'FL Characterization'!S$2)</f>
        <v>52.354443856044043</v>
      </c>
      <c r="T3" s="2">
        <f>('[1]Pc, Winter, S3'!T3*Main!$B$5)+(_xlfn.IFNA(VLOOKUP($A3,'FL Ratio'!$A$3:$B$10,2,FALSE),0)*'FL Characterization'!T$2)</f>
        <v>51.865349620946169</v>
      </c>
      <c r="U3" s="2">
        <f>('[1]Pc, Winter, S3'!U3*Main!$B$5)+(_xlfn.IFNA(VLOOKUP($A3,'FL Ratio'!$A$3:$B$10,2,FALSE),0)*'FL Characterization'!U$2)</f>
        <v>52.429700332022207</v>
      </c>
      <c r="V3" s="2">
        <f>('[1]Pc, Winter, S3'!V3*Main!$B$5)+(_xlfn.IFNA(VLOOKUP($A3,'FL Ratio'!$A$3:$B$10,2,FALSE),0)*'FL Characterization'!V$2)</f>
        <v>51.280463817879003</v>
      </c>
      <c r="W3" s="2">
        <f>('[1]Pc, Winter, S3'!W3*Main!$B$5)+(_xlfn.IFNA(VLOOKUP($A3,'FL Ratio'!$A$3:$B$10,2,FALSE),0)*'FL Characterization'!W$2)</f>
        <v>46.126895411414594</v>
      </c>
      <c r="X3" s="2">
        <f>('[1]Pc, Winter, S3'!X3*Main!$B$5)+(_xlfn.IFNA(VLOOKUP($A3,'FL Ratio'!$A$3:$B$10,2,FALSE),0)*'FL Characterization'!X$2)</f>
        <v>40.717392873732649</v>
      </c>
      <c r="Y3" s="2">
        <f>('[1]Pc, Winter, S3'!Y3*Main!$B$5)+(_xlfn.IFNA(VLOOKUP($A3,'FL Ratio'!$A$3:$B$10,2,FALSE),0)*'FL Characterization'!Y$2)</f>
        <v>39.898967065155695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52.465569122398783</v>
      </c>
      <c r="C4" s="2">
        <f>('[1]Pc, Winter, S3'!C4*Main!$B$5)+(_xlfn.IFNA(VLOOKUP($A4,'FL Ratio'!$A$3:$B$10,2,FALSE),0)*'FL Characterization'!C$2)</f>
        <v>46.585093307629549</v>
      </c>
      <c r="D4" s="2">
        <f>('[1]Pc, Winter, S3'!D4*Main!$B$5)+(_xlfn.IFNA(VLOOKUP($A4,'FL Ratio'!$A$3:$B$10,2,FALSE),0)*'FL Characterization'!D$2)</f>
        <v>43.726838492226513</v>
      </c>
      <c r="E4" s="2">
        <f>('[1]Pc, Winter, S3'!E4*Main!$B$5)+(_xlfn.IFNA(VLOOKUP($A4,'FL Ratio'!$A$3:$B$10,2,FALSE),0)*'FL Characterization'!E$2)</f>
        <v>43.105008572414214</v>
      </c>
      <c r="F4" s="2">
        <f>('[1]Pc, Winter, S3'!F4*Main!$B$5)+(_xlfn.IFNA(VLOOKUP($A4,'FL Ratio'!$A$3:$B$10,2,FALSE),0)*'FL Characterization'!F$2)</f>
        <v>44.569172667880302</v>
      </c>
      <c r="G4" s="2">
        <f>('[1]Pc, Winter, S3'!G4*Main!$B$5)+(_xlfn.IFNA(VLOOKUP($A4,'FL Ratio'!$A$3:$B$10,2,FALSE),0)*'FL Characterization'!G$2)</f>
        <v>47.664669269649565</v>
      </c>
      <c r="H4" s="2">
        <f>('[1]Pc, Winter, S3'!H4*Main!$B$5)+(_xlfn.IFNA(VLOOKUP($A4,'FL Ratio'!$A$3:$B$10,2,FALSE),0)*'FL Characterization'!H$2)</f>
        <v>57.543031083684319</v>
      </c>
      <c r="I4" s="2">
        <f>('[1]Pc, Winter, S3'!I4*Main!$B$5)+(_xlfn.IFNA(VLOOKUP($A4,'FL Ratio'!$A$3:$B$10,2,FALSE),0)*'FL Characterization'!I$2)</f>
        <v>62.390915669271344</v>
      </c>
      <c r="J4" s="2">
        <f>('[1]Pc, Winter, S3'!J4*Main!$B$5)+(_xlfn.IFNA(VLOOKUP($A4,'FL Ratio'!$A$3:$B$10,2,FALSE),0)*'FL Characterization'!J$2)</f>
        <v>65.971288787758056</v>
      </c>
      <c r="K4" s="2">
        <f>('[1]Pc, Winter, S3'!K4*Main!$B$5)+(_xlfn.IFNA(VLOOKUP($A4,'FL Ratio'!$A$3:$B$10,2,FALSE),0)*'FL Characterization'!K$2)</f>
        <v>68.348460071554456</v>
      </c>
      <c r="L4" s="2">
        <f>('[1]Pc, Winter, S3'!L4*Main!$B$5)+(_xlfn.IFNA(VLOOKUP($A4,'FL Ratio'!$A$3:$B$10,2,FALSE),0)*'FL Characterization'!L$2)</f>
        <v>68.781746784602916</v>
      </c>
      <c r="M4" s="2">
        <f>('[1]Pc, Winter, S3'!M4*Main!$B$5)+(_xlfn.IFNA(VLOOKUP($A4,'FL Ratio'!$A$3:$B$10,2,FALSE),0)*'FL Characterization'!M$2)</f>
        <v>68.134319670088885</v>
      </c>
      <c r="N4" s="2">
        <f>('[1]Pc, Winter, S3'!N4*Main!$B$5)+(_xlfn.IFNA(VLOOKUP($A4,'FL Ratio'!$A$3:$B$10,2,FALSE),0)*'FL Characterization'!N$2)</f>
        <v>67.949154301907384</v>
      </c>
      <c r="O4" s="2">
        <f>('[1]Pc, Winter, S3'!O4*Main!$B$5)+(_xlfn.IFNA(VLOOKUP($A4,'FL Ratio'!$A$3:$B$10,2,FALSE),0)*'FL Characterization'!O$2)</f>
        <v>67.010429702666542</v>
      </c>
      <c r="P4" s="2">
        <f>('[1]Pc, Winter, S3'!P4*Main!$B$5)+(_xlfn.IFNA(VLOOKUP($A4,'FL Ratio'!$A$3:$B$10,2,FALSE),0)*'FL Characterization'!P$2)</f>
        <v>64.97486275983691</v>
      </c>
      <c r="Q4" s="2">
        <f>('[1]Pc, Winter, S3'!Q4*Main!$B$5)+(_xlfn.IFNA(VLOOKUP($A4,'FL Ratio'!$A$3:$B$10,2,FALSE),0)*'FL Characterization'!Q$2)</f>
        <v>63.799991938063961</v>
      </c>
      <c r="R4" s="2">
        <f>('[1]Pc, Winter, S3'!R4*Main!$B$5)+(_xlfn.IFNA(VLOOKUP($A4,'FL Ratio'!$A$3:$B$10,2,FALSE),0)*'FL Characterization'!R$2)</f>
        <v>65.58579632004205</v>
      </c>
      <c r="S4" s="2">
        <f>('[1]Pc, Winter, S3'!S4*Main!$B$5)+(_xlfn.IFNA(VLOOKUP($A4,'FL Ratio'!$A$3:$B$10,2,FALSE),0)*'FL Characterization'!S$2)</f>
        <v>74.778253626125803</v>
      </c>
      <c r="T4" s="2">
        <f>('[1]Pc, Winter, S3'!T4*Main!$B$5)+(_xlfn.IFNA(VLOOKUP($A4,'FL Ratio'!$A$3:$B$10,2,FALSE),0)*'FL Characterization'!T$2)</f>
        <v>75.733021034464144</v>
      </c>
      <c r="U4" s="2">
        <f>('[1]Pc, Winter, S3'!U4*Main!$B$5)+(_xlfn.IFNA(VLOOKUP($A4,'FL Ratio'!$A$3:$B$10,2,FALSE),0)*'FL Characterization'!U$2)</f>
        <v>75.972428748638464</v>
      </c>
      <c r="V4" s="2">
        <f>('[1]Pc, Winter, S3'!V4*Main!$B$5)+(_xlfn.IFNA(VLOOKUP($A4,'FL Ratio'!$A$3:$B$10,2,FALSE),0)*'FL Characterization'!V$2)</f>
        <v>73.98104645951004</v>
      </c>
      <c r="W4" s="2">
        <f>('[1]Pc, Winter, S3'!W4*Main!$B$5)+(_xlfn.IFNA(VLOOKUP($A4,'FL Ratio'!$A$3:$B$10,2,FALSE),0)*'FL Characterization'!W$2)</f>
        <v>70.349865261802037</v>
      </c>
      <c r="X4" s="2">
        <f>('[1]Pc, Winter, S3'!X4*Main!$B$5)+(_xlfn.IFNA(VLOOKUP($A4,'FL Ratio'!$A$3:$B$10,2,FALSE),0)*'FL Characterization'!X$2)</f>
        <v>65.823087154781433</v>
      </c>
      <c r="Y4" s="2">
        <f>('[1]Pc, Winter, S3'!Y4*Main!$B$5)+(_xlfn.IFNA(VLOOKUP($A4,'FL Ratio'!$A$3:$B$10,2,FALSE),0)*'FL Characterization'!Y$2)</f>
        <v>58.854354872909177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34.590648425061026</v>
      </c>
      <c r="C2" s="2">
        <f>('[1]Pc, Winter, S3'!C2*Main!$B$5)+(_xlfn.IFNA(VLOOKUP($A2,'FL Ratio'!$A$3:$B$10,2,FALSE),0)*'FL Characterization'!C$2)</f>
        <v>32.264368305804332</v>
      </c>
      <c r="D2" s="2">
        <f>('[1]Pc, Winter, S3'!D2*Main!$B$5)+(_xlfn.IFNA(VLOOKUP($A2,'FL Ratio'!$A$3:$B$10,2,FALSE),0)*'FL Characterization'!D$2)</f>
        <v>30.57148049830576</v>
      </c>
      <c r="E2" s="2">
        <f>('[1]Pc, Winter, S3'!E2*Main!$B$5)+(_xlfn.IFNA(VLOOKUP($A2,'FL Ratio'!$A$3:$B$10,2,FALSE),0)*'FL Characterization'!E$2)</f>
        <v>30.355170260146306</v>
      </c>
      <c r="F2" s="2">
        <f>('[1]Pc, Winter, S3'!F2*Main!$B$5)+(_xlfn.IFNA(VLOOKUP($A2,'FL Ratio'!$A$3:$B$10,2,FALSE),0)*'FL Characterization'!F$2)</f>
        <v>30.721322532788051</v>
      </c>
      <c r="G2" s="2">
        <f>('[1]Pc, Winter, S3'!G2*Main!$B$5)+(_xlfn.IFNA(VLOOKUP($A2,'FL Ratio'!$A$3:$B$10,2,FALSE),0)*'FL Characterization'!G$2)</f>
        <v>33.769366654310218</v>
      </c>
      <c r="H2" s="2">
        <f>('[1]Pc, Winter, S3'!H2*Main!$B$5)+(_xlfn.IFNA(VLOOKUP($A2,'FL Ratio'!$A$3:$B$10,2,FALSE),0)*'FL Characterization'!H$2)</f>
        <v>40.295084079641562</v>
      </c>
      <c r="I2" s="2">
        <f>('[1]Pc, Winter, S3'!I2*Main!$B$5)+(_xlfn.IFNA(VLOOKUP($A2,'FL Ratio'!$A$3:$B$10,2,FALSE),0)*'FL Characterization'!I$2)</f>
        <v>48.502996152506903</v>
      </c>
      <c r="J2" s="2">
        <f>('[1]Pc, Winter, S3'!J2*Main!$B$5)+(_xlfn.IFNA(VLOOKUP($A2,'FL Ratio'!$A$3:$B$10,2,FALSE),0)*'FL Characterization'!J$2)</f>
        <v>52.806583071060622</v>
      </c>
      <c r="K2" s="2">
        <f>('[1]Pc, Winter, S3'!K2*Main!$B$5)+(_xlfn.IFNA(VLOOKUP($A2,'FL Ratio'!$A$3:$B$10,2,FALSE),0)*'FL Characterization'!K$2)</f>
        <v>53.465072169963058</v>
      </c>
      <c r="L2" s="2">
        <f>('[1]Pc, Winter, S3'!L2*Main!$B$5)+(_xlfn.IFNA(VLOOKUP($A2,'FL Ratio'!$A$3:$B$10,2,FALSE),0)*'FL Characterization'!L$2)</f>
        <v>52.022229020238399</v>
      </c>
      <c r="M2" s="2">
        <f>('[1]Pc, Winter, S3'!M2*Main!$B$5)+(_xlfn.IFNA(VLOOKUP($A2,'FL Ratio'!$A$3:$B$10,2,FALSE),0)*'FL Characterization'!M$2)</f>
        <v>52.290358541888139</v>
      </c>
      <c r="N2" s="2">
        <f>('[1]Pc, Winter, S3'!N2*Main!$B$5)+(_xlfn.IFNA(VLOOKUP($A2,'FL Ratio'!$A$3:$B$10,2,FALSE),0)*'FL Characterization'!N$2)</f>
        <v>52.247387790331338</v>
      </c>
      <c r="O2" s="2">
        <f>('[1]Pc, Winter, S3'!O2*Main!$B$5)+(_xlfn.IFNA(VLOOKUP($A2,'FL Ratio'!$A$3:$B$10,2,FALSE),0)*'FL Characterization'!O$2)</f>
        <v>51.394215932027571</v>
      </c>
      <c r="P2" s="2">
        <f>('[1]Pc, Winter, S3'!P2*Main!$B$5)+(_xlfn.IFNA(VLOOKUP($A2,'FL Ratio'!$A$3:$B$10,2,FALSE),0)*'FL Characterization'!P$2)</f>
        <v>48.465282530000572</v>
      </c>
      <c r="Q2" s="2">
        <f>('[1]Pc, Winter, S3'!Q2*Main!$B$5)+(_xlfn.IFNA(VLOOKUP($A2,'FL Ratio'!$A$3:$B$10,2,FALSE),0)*'FL Characterization'!Q$2)</f>
        <v>47.076734280140819</v>
      </c>
      <c r="R2" s="2">
        <f>('[1]Pc, Winter, S3'!R2*Main!$B$5)+(_xlfn.IFNA(VLOOKUP($A2,'FL Ratio'!$A$3:$B$10,2,FALSE),0)*'FL Characterization'!R$2)</f>
        <v>49.028023446381034</v>
      </c>
      <c r="S2" s="2">
        <f>('[1]Pc, Winter, S3'!S2*Main!$B$5)+(_xlfn.IFNA(VLOOKUP($A2,'FL Ratio'!$A$3:$B$10,2,FALSE),0)*'FL Characterization'!S$2)</f>
        <v>54.348484569322395</v>
      </c>
      <c r="T2" s="2">
        <f>('[1]Pc, Winter, S3'!T2*Main!$B$5)+(_xlfn.IFNA(VLOOKUP($A2,'FL Ratio'!$A$3:$B$10,2,FALSE),0)*'FL Characterization'!T$2)</f>
        <v>54.151472172318243</v>
      </c>
      <c r="U2" s="2">
        <f>('[1]Pc, Winter, S3'!U2*Main!$B$5)+(_xlfn.IFNA(VLOOKUP($A2,'FL Ratio'!$A$3:$B$10,2,FALSE),0)*'FL Characterization'!U$2)</f>
        <v>53.030341980227732</v>
      </c>
      <c r="V2" s="2">
        <f>('[1]Pc, Winter, S3'!V2*Main!$B$5)+(_xlfn.IFNA(VLOOKUP($A2,'FL Ratio'!$A$3:$B$10,2,FALSE),0)*'FL Characterization'!V$2)</f>
        <v>52.118357331049928</v>
      </c>
      <c r="W2" s="2">
        <f>('[1]Pc, Winter, S3'!W2*Main!$B$5)+(_xlfn.IFNA(VLOOKUP($A2,'FL Ratio'!$A$3:$B$10,2,FALSE),0)*'FL Characterization'!W$2)</f>
        <v>48.848919153645056</v>
      </c>
      <c r="X2" s="2">
        <f>('[1]Pc, Winter, S3'!X2*Main!$B$5)+(_xlfn.IFNA(VLOOKUP($A2,'FL Ratio'!$A$3:$B$10,2,FALSE),0)*'FL Characterization'!X$2)</f>
        <v>42.733715555829463</v>
      </c>
      <c r="Y2" s="2">
        <f>('[1]Pc, Winter, S3'!Y2*Main!$B$5)+(_xlfn.IFNA(VLOOKUP($A2,'FL Ratio'!$A$3:$B$10,2,FALSE),0)*'FL Characterization'!Y$2)</f>
        <v>38.77032745058137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36.954254708000505</v>
      </c>
      <c r="C3" s="2">
        <f>('[1]Pc, Winter, S3'!C3*Main!$B$5)+(_xlfn.IFNA(VLOOKUP($A3,'FL Ratio'!$A$3:$B$10,2,FALSE),0)*'FL Characterization'!C$2)</f>
        <v>34.626348549699898</v>
      </c>
      <c r="D3" s="2">
        <f>('[1]Pc, Winter, S3'!D3*Main!$B$5)+(_xlfn.IFNA(VLOOKUP($A3,'FL Ratio'!$A$3:$B$10,2,FALSE),0)*'FL Characterization'!D$2)</f>
        <v>31.308152169216982</v>
      </c>
      <c r="E3" s="2">
        <f>('[1]Pc, Winter, S3'!E3*Main!$B$5)+(_xlfn.IFNA(VLOOKUP($A3,'FL Ratio'!$A$3:$B$10,2,FALSE),0)*'FL Characterization'!E$2)</f>
        <v>33.348477356821675</v>
      </c>
      <c r="F3" s="2">
        <f>('[1]Pc, Winter, S3'!F3*Main!$B$5)+(_xlfn.IFNA(VLOOKUP($A3,'FL Ratio'!$A$3:$B$10,2,FALSE),0)*'FL Characterization'!F$2)</f>
        <v>32.804347240740164</v>
      </c>
      <c r="G3" s="2">
        <f>('[1]Pc, Winter, S3'!G3*Main!$B$5)+(_xlfn.IFNA(VLOOKUP($A3,'FL Ratio'!$A$3:$B$10,2,FALSE),0)*'FL Characterization'!G$2)</f>
        <v>33.815191394981468</v>
      </c>
      <c r="H3" s="2">
        <f>('[1]Pc, Winter, S3'!H3*Main!$B$5)+(_xlfn.IFNA(VLOOKUP($A3,'FL Ratio'!$A$3:$B$10,2,FALSE),0)*'FL Characterization'!H$2)</f>
        <v>49.879102955879922</v>
      </c>
      <c r="I3" s="2">
        <f>('[1]Pc, Winter, S3'!I3*Main!$B$5)+(_xlfn.IFNA(VLOOKUP($A3,'FL Ratio'!$A$3:$B$10,2,FALSE),0)*'FL Characterization'!I$2)</f>
        <v>53.623256933670817</v>
      </c>
      <c r="J3" s="2">
        <f>('[1]Pc, Winter, S3'!J3*Main!$B$5)+(_xlfn.IFNA(VLOOKUP($A3,'FL Ratio'!$A$3:$B$10,2,FALSE),0)*'FL Characterization'!J$2)</f>
        <v>58.712540684291014</v>
      </c>
      <c r="K3" s="2">
        <f>('[1]Pc, Winter, S3'!K3*Main!$B$5)+(_xlfn.IFNA(VLOOKUP($A3,'FL Ratio'!$A$3:$B$10,2,FALSE),0)*'FL Characterization'!K$2)</f>
        <v>58.886911362978644</v>
      </c>
      <c r="L3" s="2">
        <f>('[1]Pc, Winter, S3'!L3*Main!$B$5)+(_xlfn.IFNA(VLOOKUP($A3,'FL Ratio'!$A$3:$B$10,2,FALSE),0)*'FL Characterization'!L$2)</f>
        <v>55.462450268385858</v>
      </c>
      <c r="M3" s="2">
        <f>('[1]Pc, Winter, S3'!M3*Main!$B$5)+(_xlfn.IFNA(VLOOKUP($A3,'FL Ratio'!$A$3:$B$10,2,FALSE),0)*'FL Characterization'!M$2)</f>
        <v>60.723569335778087</v>
      </c>
      <c r="N3" s="2">
        <f>('[1]Pc, Winter, S3'!N3*Main!$B$5)+(_xlfn.IFNA(VLOOKUP($A3,'FL Ratio'!$A$3:$B$10,2,FALSE),0)*'FL Characterization'!N$2)</f>
        <v>57.486171211775044</v>
      </c>
      <c r="O3" s="2">
        <f>('[1]Pc, Winter, S3'!O3*Main!$B$5)+(_xlfn.IFNA(VLOOKUP($A3,'FL Ratio'!$A$3:$B$10,2,FALSE),0)*'FL Characterization'!O$2)</f>
        <v>54.300346465421761</v>
      </c>
      <c r="P3" s="2">
        <f>('[1]Pc, Winter, S3'!P3*Main!$B$5)+(_xlfn.IFNA(VLOOKUP($A3,'FL Ratio'!$A$3:$B$10,2,FALSE),0)*'FL Characterization'!P$2)</f>
        <v>52.748122429369133</v>
      </c>
      <c r="Q3" s="2">
        <f>('[1]Pc, Winter, S3'!Q3*Main!$B$5)+(_xlfn.IFNA(VLOOKUP($A3,'FL Ratio'!$A$3:$B$10,2,FALSE),0)*'FL Characterization'!Q$2)</f>
        <v>49.339954293072566</v>
      </c>
      <c r="R3" s="2">
        <f>('[1]Pc, Winter, S3'!R3*Main!$B$5)+(_xlfn.IFNA(VLOOKUP($A3,'FL Ratio'!$A$3:$B$10,2,FALSE),0)*'FL Characterization'!R$2)</f>
        <v>48.915949250450915</v>
      </c>
      <c r="S3" s="2">
        <f>('[1]Pc, Winter, S3'!S3*Main!$B$5)+(_xlfn.IFNA(VLOOKUP($A3,'FL Ratio'!$A$3:$B$10,2,FALSE),0)*'FL Characterization'!S$2)</f>
        <v>52.354443856044043</v>
      </c>
      <c r="T3" s="2">
        <f>('[1]Pc, Winter, S3'!T3*Main!$B$5)+(_xlfn.IFNA(VLOOKUP($A3,'FL Ratio'!$A$3:$B$10,2,FALSE),0)*'FL Characterization'!T$2)</f>
        <v>51.865349620946169</v>
      </c>
      <c r="U3" s="2">
        <f>('[1]Pc, Winter, S3'!U3*Main!$B$5)+(_xlfn.IFNA(VLOOKUP($A3,'FL Ratio'!$A$3:$B$10,2,FALSE),0)*'FL Characterization'!U$2)</f>
        <v>52.429700332022207</v>
      </c>
      <c r="V3" s="2">
        <f>('[1]Pc, Winter, S3'!V3*Main!$B$5)+(_xlfn.IFNA(VLOOKUP($A3,'FL Ratio'!$A$3:$B$10,2,FALSE),0)*'FL Characterization'!V$2)</f>
        <v>51.280463817879003</v>
      </c>
      <c r="W3" s="2">
        <f>('[1]Pc, Winter, S3'!W3*Main!$B$5)+(_xlfn.IFNA(VLOOKUP($A3,'FL Ratio'!$A$3:$B$10,2,FALSE),0)*'FL Characterization'!W$2)</f>
        <v>46.126895411414594</v>
      </c>
      <c r="X3" s="2">
        <f>('[1]Pc, Winter, S3'!X3*Main!$B$5)+(_xlfn.IFNA(VLOOKUP($A3,'FL Ratio'!$A$3:$B$10,2,FALSE),0)*'FL Characterization'!X$2)</f>
        <v>40.717392873732649</v>
      </c>
      <c r="Y3" s="2">
        <f>('[1]Pc, Winter, S3'!Y3*Main!$B$5)+(_xlfn.IFNA(VLOOKUP($A3,'FL Ratio'!$A$3:$B$10,2,FALSE),0)*'FL Characterization'!Y$2)</f>
        <v>39.898967065155695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52.465569122398783</v>
      </c>
      <c r="C4" s="2">
        <f>('[1]Pc, Winter, S3'!C4*Main!$B$5)+(_xlfn.IFNA(VLOOKUP($A4,'FL Ratio'!$A$3:$B$10,2,FALSE),0)*'FL Characterization'!C$2)</f>
        <v>46.585093307629549</v>
      </c>
      <c r="D4" s="2">
        <f>('[1]Pc, Winter, S3'!D4*Main!$B$5)+(_xlfn.IFNA(VLOOKUP($A4,'FL Ratio'!$A$3:$B$10,2,FALSE),0)*'FL Characterization'!D$2)</f>
        <v>43.726838492226513</v>
      </c>
      <c r="E4" s="2">
        <f>('[1]Pc, Winter, S3'!E4*Main!$B$5)+(_xlfn.IFNA(VLOOKUP($A4,'FL Ratio'!$A$3:$B$10,2,FALSE),0)*'FL Characterization'!E$2)</f>
        <v>43.105008572414214</v>
      </c>
      <c r="F4" s="2">
        <f>('[1]Pc, Winter, S3'!F4*Main!$B$5)+(_xlfn.IFNA(VLOOKUP($A4,'FL Ratio'!$A$3:$B$10,2,FALSE),0)*'FL Characterization'!F$2)</f>
        <v>44.569172667880302</v>
      </c>
      <c r="G4" s="2">
        <f>('[1]Pc, Winter, S3'!G4*Main!$B$5)+(_xlfn.IFNA(VLOOKUP($A4,'FL Ratio'!$A$3:$B$10,2,FALSE),0)*'FL Characterization'!G$2)</f>
        <v>47.664669269649565</v>
      </c>
      <c r="H4" s="2">
        <f>('[1]Pc, Winter, S3'!H4*Main!$B$5)+(_xlfn.IFNA(VLOOKUP($A4,'FL Ratio'!$A$3:$B$10,2,FALSE),0)*'FL Characterization'!H$2)</f>
        <v>57.543031083684319</v>
      </c>
      <c r="I4" s="2">
        <f>('[1]Pc, Winter, S3'!I4*Main!$B$5)+(_xlfn.IFNA(VLOOKUP($A4,'FL Ratio'!$A$3:$B$10,2,FALSE),0)*'FL Characterization'!I$2)</f>
        <v>62.390915669271344</v>
      </c>
      <c r="J4" s="2">
        <f>('[1]Pc, Winter, S3'!J4*Main!$B$5)+(_xlfn.IFNA(VLOOKUP($A4,'FL Ratio'!$A$3:$B$10,2,FALSE),0)*'FL Characterization'!J$2)</f>
        <v>65.971288787758056</v>
      </c>
      <c r="K4" s="2">
        <f>('[1]Pc, Winter, S3'!K4*Main!$B$5)+(_xlfn.IFNA(VLOOKUP($A4,'FL Ratio'!$A$3:$B$10,2,FALSE),0)*'FL Characterization'!K$2)</f>
        <v>68.348460071554456</v>
      </c>
      <c r="L4" s="2">
        <f>('[1]Pc, Winter, S3'!L4*Main!$B$5)+(_xlfn.IFNA(VLOOKUP($A4,'FL Ratio'!$A$3:$B$10,2,FALSE),0)*'FL Characterization'!L$2)</f>
        <v>68.781746784602916</v>
      </c>
      <c r="M4" s="2">
        <f>('[1]Pc, Winter, S3'!M4*Main!$B$5)+(_xlfn.IFNA(VLOOKUP($A4,'FL Ratio'!$A$3:$B$10,2,FALSE),0)*'FL Characterization'!M$2)</f>
        <v>68.134319670088885</v>
      </c>
      <c r="N4" s="2">
        <f>('[1]Pc, Winter, S3'!N4*Main!$B$5)+(_xlfn.IFNA(VLOOKUP($A4,'FL Ratio'!$A$3:$B$10,2,FALSE),0)*'FL Characterization'!N$2)</f>
        <v>67.949154301907384</v>
      </c>
      <c r="O4" s="2">
        <f>('[1]Pc, Winter, S3'!O4*Main!$B$5)+(_xlfn.IFNA(VLOOKUP($A4,'FL Ratio'!$A$3:$B$10,2,FALSE),0)*'FL Characterization'!O$2)</f>
        <v>67.010429702666542</v>
      </c>
      <c r="P4" s="2">
        <f>('[1]Pc, Winter, S3'!P4*Main!$B$5)+(_xlfn.IFNA(VLOOKUP($A4,'FL Ratio'!$A$3:$B$10,2,FALSE),0)*'FL Characterization'!P$2)</f>
        <v>64.97486275983691</v>
      </c>
      <c r="Q4" s="2">
        <f>('[1]Pc, Winter, S3'!Q4*Main!$B$5)+(_xlfn.IFNA(VLOOKUP($A4,'FL Ratio'!$A$3:$B$10,2,FALSE),0)*'FL Characterization'!Q$2)</f>
        <v>63.799991938063961</v>
      </c>
      <c r="R4" s="2">
        <f>('[1]Pc, Winter, S3'!R4*Main!$B$5)+(_xlfn.IFNA(VLOOKUP($A4,'FL Ratio'!$A$3:$B$10,2,FALSE),0)*'FL Characterization'!R$2)</f>
        <v>65.58579632004205</v>
      </c>
      <c r="S4" s="2">
        <f>('[1]Pc, Winter, S3'!S4*Main!$B$5)+(_xlfn.IFNA(VLOOKUP($A4,'FL Ratio'!$A$3:$B$10,2,FALSE),0)*'FL Characterization'!S$2)</f>
        <v>74.778253626125803</v>
      </c>
      <c r="T4" s="2">
        <f>('[1]Pc, Winter, S3'!T4*Main!$B$5)+(_xlfn.IFNA(VLOOKUP($A4,'FL Ratio'!$A$3:$B$10,2,FALSE),0)*'FL Characterization'!T$2)</f>
        <v>75.733021034464144</v>
      </c>
      <c r="U4" s="2">
        <f>('[1]Pc, Winter, S3'!U4*Main!$B$5)+(_xlfn.IFNA(VLOOKUP($A4,'FL Ratio'!$A$3:$B$10,2,FALSE),0)*'FL Characterization'!U$2)</f>
        <v>75.972428748638464</v>
      </c>
      <c r="V4" s="2">
        <f>('[1]Pc, Winter, S3'!V4*Main!$B$5)+(_xlfn.IFNA(VLOOKUP($A4,'FL Ratio'!$A$3:$B$10,2,FALSE),0)*'FL Characterization'!V$2)</f>
        <v>73.98104645951004</v>
      </c>
      <c r="W4" s="2">
        <f>('[1]Pc, Winter, S3'!W4*Main!$B$5)+(_xlfn.IFNA(VLOOKUP($A4,'FL Ratio'!$A$3:$B$10,2,FALSE),0)*'FL Characterization'!W$2)</f>
        <v>70.349865261802037</v>
      </c>
      <c r="X4" s="2">
        <f>('[1]Pc, Winter, S3'!X4*Main!$B$5)+(_xlfn.IFNA(VLOOKUP($A4,'FL Ratio'!$A$3:$B$10,2,FALSE),0)*'FL Characterization'!X$2)</f>
        <v>65.823087154781433</v>
      </c>
      <c r="Y4" s="2">
        <f>('[1]Pc, Winter, S3'!Y4*Main!$B$5)+(_xlfn.IFNA(VLOOKUP($A4,'FL Ratio'!$A$3:$B$10,2,FALSE),0)*'FL Characterization'!Y$2)</f>
        <v>58.854354872909177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-15.367663164181433</v>
      </c>
      <c r="C2" s="2">
        <f>('[1]Qc, Winter, S1'!C2*Main!$B$5)</f>
        <v>-16.70253951861098</v>
      </c>
      <c r="D2" s="2">
        <f>('[1]Qc, Winter, S1'!D2*Main!$B$5)</f>
        <v>-17.990941571532385</v>
      </c>
      <c r="E2" s="2">
        <f>('[1]Qc, Winter, S1'!E2*Main!$B$5)</f>
        <v>-17.859972128896249</v>
      </c>
      <c r="F2" s="2">
        <f>('[1]Qc, Winter, S1'!F2*Main!$B$5)</f>
        <v>-18.485879105211698</v>
      </c>
      <c r="G2" s="2">
        <f>('[1]Qc, Winter, S1'!G2*Main!$B$5)</f>
        <v>-16.455912182271422</v>
      </c>
      <c r="H2" s="2">
        <f>('[1]Qc, Winter, S1'!H2*Main!$B$5)</f>
        <v>-12.254480459838524</v>
      </c>
      <c r="I2" s="2">
        <f>('[1]Qc, Winter, S1'!I2*Main!$B$5)</f>
        <v>-5.0441879913113175</v>
      </c>
      <c r="J2" s="2">
        <f>('[1]Qc, Winter, S1'!J2*Main!$B$5)</f>
        <v>-1.4854843535373667</v>
      </c>
      <c r="K2" s="2">
        <f>('[1]Qc, Winter, S1'!K2*Main!$B$5)</f>
        <v>-0.23237930793781775</v>
      </c>
      <c r="L2" s="2">
        <f>('[1]Qc, Winter, S1'!L2*Main!$B$5)</f>
        <v>-2.0861689503633927</v>
      </c>
      <c r="M2" s="2">
        <f>('[1]Qc, Winter, S1'!M2*Main!$B$5)</f>
        <v>-1.5337109008549525</v>
      </c>
      <c r="N2" s="2">
        <f>('[1]Qc, Winter, S1'!N2*Main!$B$5)</f>
        <v>-2.1228646297481988</v>
      </c>
      <c r="O2" s="2">
        <f>('[1]Qc, Winter, S1'!O2*Main!$B$5)</f>
        <v>-2.1414793094094491</v>
      </c>
      <c r="P2" s="2">
        <f>('[1]Qc, Winter, S1'!P2*Main!$B$5)</f>
        <v>-5.4137201775593002</v>
      </c>
      <c r="Q2" s="2">
        <f>('[1]Qc, Winter, S1'!Q2*Main!$B$5)</f>
        <v>-7.7966093976686999</v>
      </c>
      <c r="R2" s="2">
        <f>('[1]Qc, Winter, S1'!R2*Main!$B$5)</f>
        <v>-6.9336601134506211</v>
      </c>
      <c r="S2" s="2">
        <f>('[1]Qc, Winter, S1'!S2*Main!$B$5)</f>
        <v>-2.3668240753613548</v>
      </c>
      <c r="T2" s="2">
        <f>('[1]Qc, Winter, S1'!T2*Main!$B$5)</f>
        <v>-3.4428803313934053</v>
      </c>
      <c r="U2" s="2">
        <f>('[1]Qc, Winter, S1'!U2*Main!$B$5)</f>
        <v>-4.3278651179508723</v>
      </c>
      <c r="V2" s="2">
        <f>('[1]Qc, Winter, S1'!V2*Main!$B$5)</f>
        <v>-6.7983091490106196</v>
      </c>
      <c r="W2" s="2">
        <f>('[1]Qc, Winter, S1'!W2*Main!$B$5)</f>
        <v>-8.8246467739776122</v>
      </c>
      <c r="X2" s="2">
        <f>('[1]Qc, Winter, S1'!X2*Main!$B$5)</f>
        <v>-11.839463892270361</v>
      </c>
      <c r="Y2" s="2">
        <f>('[1]Qc, Winter, S1'!Y2*Main!$B$5)</f>
        <v>-13.326323760095875</v>
      </c>
    </row>
    <row r="3" spans="1:25" x14ac:dyDescent="0.3">
      <c r="A3">
        <v>2</v>
      </c>
      <c r="B3" s="2">
        <f>('[1]Qc, Winter, S1'!B3*Main!$B$5)</f>
        <v>17.410673691067899</v>
      </c>
      <c r="C3" s="2">
        <f>('[1]Qc, Winter, S1'!C3*Main!$B$5)</f>
        <v>21.566858956080317</v>
      </c>
      <c r="D3" s="2">
        <f>('[1]Qc, Winter, S1'!D3*Main!$B$5)</f>
        <v>21.566858956080317</v>
      </c>
      <c r="E3" s="2">
        <f>('[1]Qc, Winter, S1'!E3*Main!$B$5)</f>
        <v>21.566858956080317</v>
      </c>
      <c r="F3" s="2">
        <f>('[1]Qc, Winter, S1'!F3*Main!$B$5)</f>
        <v>21.566858956080317</v>
      </c>
      <c r="G3" s="2">
        <f>('[1]Qc, Winter, S1'!G3*Main!$B$5)</f>
        <v>17.474617325230692</v>
      </c>
      <c r="H3" s="2">
        <f>('[1]Qc, Winter, S1'!H3*Main!$B$5)</f>
        <v>7.9260535559167051</v>
      </c>
      <c r="I3" s="2">
        <f>('[1]Qc, Winter, S1'!I3*Main!$B$5)</f>
        <v>1.0203972431801298</v>
      </c>
      <c r="J3" s="2">
        <f>('[1]Qc, Winter, S1'!J3*Main!$B$5)</f>
        <v>-5.9705081159822599</v>
      </c>
      <c r="K3" s="2">
        <f>('[1]Qc, Winter, S1'!K3*Main!$B$5)</f>
        <v>-5.9705081159822599</v>
      </c>
      <c r="L3" s="2">
        <f>('[1]Qc, Winter, S1'!L3*Main!$B$5)</f>
        <v>-0.51418594151609276</v>
      </c>
      <c r="M3" s="2">
        <f>('[1]Qc, Winter, S1'!M3*Main!$B$5)</f>
        <v>-6.2262826526334223</v>
      </c>
      <c r="N3" s="2">
        <f>('[1]Qc, Winter, S1'!N3*Main!$B$5)</f>
        <v>-6.2262826526334223</v>
      </c>
      <c r="O3" s="2">
        <f>('[1]Qc, Winter, S1'!O3*Main!$B$5)</f>
        <v>-4.8195730195750208</v>
      </c>
      <c r="P3" s="2">
        <f>('[1]Qc, Winter, S1'!P3*Main!$B$5)</f>
        <v>-0.59944412039981376</v>
      </c>
      <c r="Q3" s="2">
        <f>('[1]Qc, Winter, S1'!Q3*Main!$B$5)</f>
        <v>3.6206710620876317</v>
      </c>
      <c r="R3" s="2">
        <f>('[1]Qc, Winter, S1'!R3*Main!$B$5)</f>
        <v>5.027376122916781</v>
      </c>
      <c r="S3" s="2">
        <f>('[1]Qc, Winter, S1'!S3*Main!$B$5)</f>
        <v>5.027376122916781</v>
      </c>
      <c r="T3" s="2">
        <f>('[1]Qc, Winter, S1'!T3*Main!$B$5)</f>
        <v>5.027376122916781</v>
      </c>
      <c r="U3" s="2">
        <f>('[1]Qc, Winter, S1'!U3*Main!$B$5)</f>
        <v>5.027376122916781</v>
      </c>
      <c r="V3" s="2">
        <f>('[1]Qc, Winter, S1'!V3*Main!$B$5)</f>
        <v>5.027376122916781</v>
      </c>
      <c r="W3" s="2">
        <f>('[1]Qc, Winter, S1'!W3*Main!$B$5)</f>
        <v>10.483698249380542</v>
      </c>
      <c r="X3" s="2">
        <f>('[1]Qc, Winter, S1'!X3*Main!$B$5)</f>
        <v>16.025278602730427</v>
      </c>
      <c r="Y3" s="2">
        <f>('[1]Qc, Winter, S1'!Y3*Main!$B$5)</f>
        <v>16.025278602730427</v>
      </c>
    </row>
    <row r="4" spans="1:25" x14ac:dyDescent="0.3">
      <c r="A4">
        <v>3</v>
      </c>
      <c r="B4" s="2">
        <f>('[1]Qc, Winter, S1'!B4*Main!$B$5)</f>
        <v>11.813986849676001</v>
      </c>
      <c r="C4" s="2">
        <f>('[1]Qc, Winter, S1'!C4*Main!$B$5)</f>
        <v>9.1129849244726255</v>
      </c>
      <c r="D4" s="2">
        <f>('[1]Qc, Winter, S1'!D4*Main!$B$5)</f>
        <v>7.8011814593178377</v>
      </c>
      <c r="E4" s="2">
        <f>('[1]Qc, Winter, S1'!E4*Main!$B$5)</f>
        <v>7.6339745015683826</v>
      </c>
      <c r="F4" s="2">
        <f>('[1]Qc, Winter, S1'!F4*Main!$B$5)</f>
        <v>8.6764759399197988</v>
      </c>
      <c r="G4" s="2">
        <f>('[1]Qc, Winter, S1'!G4*Main!$B$5)</f>
        <v>10.773040442337251</v>
      </c>
      <c r="H4" s="2">
        <f>('[1]Qc, Winter, S1'!H4*Main!$B$5)</f>
        <v>16.714460543611224</v>
      </c>
      <c r="I4" s="2">
        <f>('[1]Qc, Winter, S1'!I4*Main!$B$5)</f>
        <v>20.405158131738688</v>
      </c>
      <c r="J4" s="2">
        <f>('[1]Qc, Winter, S1'!J4*Main!$B$5)</f>
        <v>23.575269986548449</v>
      </c>
      <c r="K4" s="2">
        <f>('[1]Qc, Winter, S1'!K4*Main!$B$5)</f>
        <v>25.960710401671896</v>
      </c>
      <c r="L4" s="2">
        <f>('[1]Qc, Winter, S1'!L4*Main!$B$5)</f>
        <v>26.179798890619111</v>
      </c>
      <c r="M4" s="2">
        <f>('[1]Qc, Winter, S1'!M4*Main!$B$5)</f>
        <v>25.710373904150536</v>
      </c>
      <c r="N4" s="2">
        <f>('[1]Qc, Winter, S1'!N4*Main!$B$5)</f>
        <v>25.819873053690131</v>
      </c>
      <c r="O4" s="2">
        <f>('[1]Qc, Winter, S1'!O4*Main!$B$5)</f>
        <v>25.556396096239219</v>
      </c>
      <c r="P4" s="2">
        <f>('[1]Qc, Winter, S1'!P4*Main!$B$5)</f>
        <v>23.054819226502737</v>
      </c>
      <c r="Q4" s="2">
        <f>('[1]Qc, Winter, S1'!Q4*Main!$B$5)</f>
        <v>21.904148483408076</v>
      </c>
      <c r="R4" s="2">
        <f>('[1]Qc, Winter, S1'!R4*Main!$B$5)</f>
        <v>22.605147878766697</v>
      </c>
      <c r="S4" s="2">
        <f>('[1]Qc, Winter, S1'!S4*Main!$B$5)</f>
        <v>30.809798508686164</v>
      </c>
      <c r="T4" s="2">
        <f>('[1]Qc, Winter, S1'!T4*Main!$B$5)</f>
        <v>30.765072026248966</v>
      </c>
      <c r="U4" s="2">
        <f>('[1]Qc, Winter, S1'!U4*Main!$B$5)</f>
        <v>29.826266729026386</v>
      </c>
      <c r="V4" s="2">
        <f>('[1]Qc, Winter, S1'!V4*Main!$B$5)</f>
        <v>27.607356109200701</v>
      </c>
      <c r="W4" s="2">
        <f>('[1]Qc, Winter, S1'!W4*Main!$B$5)</f>
        <v>24.552141461756925</v>
      </c>
      <c r="X4" s="2">
        <f>('[1]Qc, Winter, S1'!X4*Main!$B$5)</f>
        <v>20.025297153294588</v>
      </c>
      <c r="Y4" s="2">
        <f>('[1]Qc, Winter, S1'!Y4*Main!$B$5)</f>
        <v>15.363260705683645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-15.367663164181433</v>
      </c>
      <c r="C2" s="2">
        <f>('[1]Qc, Winter, S1'!C2*Main!$B$5)</f>
        <v>-16.70253951861098</v>
      </c>
      <c r="D2" s="2">
        <f>('[1]Qc, Winter, S1'!D2*Main!$B$5)</f>
        <v>-17.990941571532385</v>
      </c>
      <c r="E2" s="2">
        <f>('[1]Qc, Winter, S1'!E2*Main!$B$5)</f>
        <v>-17.859972128896249</v>
      </c>
      <c r="F2" s="2">
        <f>('[1]Qc, Winter, S1'!F2*Main!$B$5)</f>
        <v>-18.485879105211698</v>
      </c>
      <c r="G2" s="2">
        <f>('[1]Qc, Winter, S1'!G2*Main!$B$5)</f>
        <v>-16.455912182271422</v>
      </c>
      <c r="H2" s="2">
        <f>('[1]Qc, Winter, S1'!H2*Main!$B$5)</f>
        <v>-12.254480459838524</v>
      </c>
      <c r="I2" s="2">
        <f>('[1]Qc, Winter, S1'!I2*Main!$B$5)</f>
        <v>-5.0441879913113175</v>
      </c>
      <c r="J2" s="2">
        <f>('[1]Qc, Winter, S1'!J2*Main!$B$5)</f>
        <v>-1.4854843535373667</v>
      </c>
      <c r="K2" s="2">
        <f>('[1]Qc, Winter, S1'!K2*Main!$B$5)</f>
        <v>-0.23237930793781775</v>
      </c>
      <c r="L2" s="2">
        <f>('[1]Qc, Winter, S1'!L2*Main!$B$5)</f>
        <v>-2.0861689503633927</v>
      </c>
      <c r="M2" s="2">
        <f>('[1]Qc, Winter, S1'!M2*Main!$B$5)</f>
        <v>-1.5337109008549525</v>
      </c>
      <c r="N2" s="2">
        <f>('[1]Qc, Winter, S1'!N2*Main!$B$5)</f>
        <v>-2.1228646297481988</v>
      </c>
      <c r="O2" s="2">
        <f>('[1]Qc, Winter, S1'!O2*Main!$B$5)</f>
        <v>-2.1414793094094491</v>
      </c>
      <c r="P2" s="2">
        <f>('[1]Qc, Winter, S1'!P2*Main!$B$5)</f>
        <v>-5.4137201775593002</v>
      </c>
      <c r="Q2" s="2">
        <f>('[1]Qc, Winter, S1'!Q2*Main!$B$5)</f>
        <v>-7.7966093976686999</v>
      </c>
      <c r="R2" s="2">
        <f>('[1]Qc, Winter, S1'!R2*Main!$B$5)</f>
        <v>-6.9336601134506211</v>
      </c>
      <c r="S2" s="2">
        <f>('[1]Qc, Winter, S1'!S2*Main!$B$5)</f>
        <v>-2.3668240753613548</v>
      </c>
      <c r="T2" s="2">
        <f>('[1]Qc, Winter, S1'!T2*Main!$B$5)</f>
        <v>-3.4428803313934053</v>
      </c>
      <c r="U2" s="2">
        <f>('[1]Qc, Winter, S1'!U2*Main!$B$5)</f>
        <v>-4.3278651179508723</v>
      </c>
      <c r="V2" s="2">
        <f>('[1]Qc, Winter, S1'!V2*Main!$B$5)</f>
        <v>-6.7983091490106196</v>
      </c>
      <c r="W2" s="2">
        <f>('[1]Qc, Winter, S1'!W2*Main!$B$5)</f>
        <v>-8.8246467739776122</v>
      </c>
      <c r="X2" s="2">
        <f>('[1]Qc, Winter, S1'!X2*Main!$B$5)</f>
        <v>-11.839463892270361</v>
      </c>
      <c r="Y2" s="2">
        <f>('[1]Qc, Winter, S1'!Y2*Main!$B$5)</f>
        <v>-13.326323760095875</v>
      </c>
    </row>
    <row r="3" spans="1:25" x14ac:dyDescent="0.3">
      <c r="A3">
        <v>2</v>
      </c>
      <c r="B3" s="2">
        <f>('[1]Qc, Winter, S1'!B3*Main!$B$5)</f>
        <v>17.410673691067899</v>
      </c>
      <c r="C3" s="2">
        <f>('[1]Qc, Winter, S1'!C3*Main!$B$5)</f>
        <v>21.566858956080317</v>
      </c>
      <c r="D3" s="2">
        <f>('[1]Qc, Winter, S1'!D3*Main!$B$5)</f>
        <v>21.566858956080317</v>
      </c>
      <c r="E3" s="2">
        <f>('[1]Qc, Winter, S1'!E3*Main!$B$5)</f>
        <v>21.566858956080317</v>
      </c>
      <c r="F3" s="2">
        <f>('[1]Qc, Winter, S1'!F3*Main!$B$5)</f>
        <v>21.566858956080317</v>
      </c>
      <c r="G3" s="2">
        <f>('[1]Qc, Winter, S1'!G3*Main!$B$5)</f>
        <v>17.474617325230692</v>
      </c>
      <c r="H3" s="2">
        <f>('[1]Qc, Winter, S1'!H3*Main!$B$5)</f>
        <v>7.9260535559167051</v>
      </c>
      <c r="I3" s="2">
        <f>('[1]Qc, Winter, S1'!I3*Main!$B$5)</f>
        <v>1.0203972431801298</v>
      </c>
      <c r="J3" s="2">
        <f>('[1]Qc, Winter, S1'!J3*Main!$B$5)</f>
        <v>-5.9705081159822599</v>
      </c>
      <c r="K3" s="2">
        <f>('[1]Qc, Winter, S1'!K3*Main!$B$5)</f>
        <v>-5.9705081159822599</v>
      </c>
      <c r="L3" s="2">
        <f>('[1]Qc, Winter, S1'!L3*Main!$B$5)</f>
        <v>-0.51418594151609276</v>
      </c>
      <c r="M3" s="2">
        <f>('[1]Qc, Winter, S1'!M3*Main!$B$5)</f>
        <v>-6.2262826526334223</v>
      </c>
      <c r="N3" s="2">
        <f>('[1]Qc, Winter, S1'!N3*Main!$B$5)</f>
        <v>-6.2262826526334223</v>
      </c>
      <c r="O3" s="2">
        <f>('[1]Qc, Winter, S1'!O3*Main!$B$5)</f>
        <v>-4.8195730195750208</v>
      </c>
      <c r="P3" s="2">
        <f>('[1]Qc, Winter, S1'!P3*Main!$B$5)</f>
        <v>-0.59944412039981376</v>
      </c>
      <c r="Q3" s="2">
        <f>('[1]Qc, Winter, S1'!Q3*Main!$B$5)</f>
        <v>3.6206710620876317</v>
      </c>
      <c r="R3" s="2">
        <f>('[1]Qc, Winter, S1'!R3*Main!$B$5)</f>
        <v>5.027376122916781</v>
      </c>
      <c r="S3" s="2">
        <f>('[1]Qc, Winter, S1'!S3*Main!$B$5)</f>
        <v>5.027376122916781</v>
      </c>
      <c r="T3" s="2">
        <f>('[1]Qc, Winter, S1'!T3*Main!$B$5)</f>
        <v>5.027376122916781</v>
      </c>
      <c r="U3" s="2">
        <f>('[1]Qc, Winter, S1'!U3*Main!$B$5)</f>
        <v>5.027376122916781</v>
      </c>
      <c r="V3" s="2">
        <f>('[1]Qc, Winter, S1'!V3*Main!$B$5)</f>
        <v>5.027376122916781</v>
      </c>
      <c r="W3" s="2">
        <f>('[1]Qc, Winter, S1'!W3*Main!$B$5)</f>
        <v>10.483698249380542</v>
      </c>
      <c r="X3" s="2">
        <f>('[1]Qc, Winter, S1'!X3*Main!$B$5)</f>
        <v>16.025278602730427</v>
      </c>
      <c r="Y3" s="2">
        <f>('[1]Qc, Winter, S1'!Y3*Main!$B$5)</f>
        <v>16.025278602730427</v>
      </c>
    </row>
    <row r="4" spans="1:25" x14ac:dyDescent="0.3">
      <c r="A4">
        <v>3</v>
      </c>
      <c r="B4" s="2">
        <f>('[1]Qc, Winter, S1'!B4*Main!$B$5)</f>
        <v>11.813986849676001</v>
      </c>
      <c r="C4" s="2">
        <f>('[1]Qc, Winter, S1'!C4*Main!$B$5)</f>
        <v>9.1129849244726255</v>
      </c>
      <c r="D4" s="2">
        <f>('[1]Qc, Winter, S1'!D4*Main!$B$5)</f>
        <v>7.8011814593178377</v>
      </c>
      <c r="E4" s="2">
        <f>('[1]Qc, Winter, S1'!E4*Main!$B$5)</f>
        <v>7.6339745015683826</v>
      </c>
      <c r="F4" s="2">
        <f>('[1]Qc, Winter, S1'!F4*Main!$B$5)</f>
        <v>8.6764759399197988</v>
      </c>
      <c r="G4" s="2">
        <f>('[1]Qc, Winter, S1'!G4*Main!$B$5)</f>
        <v>10.773040442337251</v>
      </c>
      <c r="H4" s="2">
        <f>('[1]Qc, Winter, S1'!H4*Main!$B$5)</f>
        <v>16.714460543611224</v>
      </c>
      <c r="I4" s="2">
        <f>('[1]Qc, Winter, S1'!I4*Main!$B$5)</f>
        <v>20.405158131738688</v>
      </c>
      <c r="J4" s="2">
        <f>('[1]Qc, Winter, S1'!J4*Main!$B$5)</f>
        <v>23.575269986548449</v>
      </c>
      <c r="K4" s="2">
        <f>('[1]Qc, Winter, S1'!K4*Main!$B$5)</f>
        <v>25.960710401671896</v>
      </c>
      <c r="L4" s="2">
        <f>('[1]Qc, Winter, S1'!L4*Main!$B$5)</f>
        <v>26.179798890619111</v>
      </c>
      <c r="M4" s="2">
        <f>('[1]Qc, Winter, S1'!M4*Main!$B$5)</f>
        <v>25.710373904150536</v>
      </c>
      <c r="N4" s="2">
        <f>('[1]Qc, Winter, S1'!N4*Main!$B$5)</f>
        <v>25.819873053690131</v>
      </c>
      <c r="O4" s="2">
        <f>('[1]Qc, Winter, S1'!O4*Main!$B$5)</f>
        <v>25.556396096239219</v>
      </c>
      <c r="P4" s="2">
        <f>('[1]Qc, Winter, S1'!P4*Main!$B$5)</f>
        <v>23.054819226502737</v>
      </c>
      <c r="Q4" s="2">
        <f>('[1]Qc, Winter, S1'!Q4*Main!$B$5)</f>
        <v>21.904148483408076</v>
      </c>
      <c r="R4" s="2">
        <f>('[1]Qc, Winter, S1'!R4*Main!$B$5)</f>
        <v>22.605147878766697</v>
      </c>
      <c r="S4" s="2">
        <f>('[1]Qc, Winter, S1'!S4*Main!$B$5)</f>
        <v>30.809798508686164</v>
      </c>
      <c r="T4" s="2">
        <f>('[1]Qc, Winter, S1'!T4*Main!$B$5)</f>
        <v>30.765072026248966</v>
      </c>
      <c r="U4" s="2">
        <f>('[1]Qc, Winter, S1'!U4*Main!$B$5)</f>
        <v>29.826266729026386</v>
      </c>
      <c r="V4" s="2">
        <f>('[1]Qc, Winter, S1'!V4*Main!$B$5)</f>
        <v>27.607356109200701</v>
      </c>
      <c r="W4" s="2">
        <f>('[1]Qc, Winter, S1'!W4*Main!$B$5)</f>
        <v>24.552141461756925</v>
      </c>
      <c r="X4" s="2">
        <f>('[1]Qc, Winter, S1'!X4*Main!$B$5)</f>
        <v>20.025297153294588</v>
      </c>
      <c r="Y4" s="2">
        <f>('[1]Qc, Winter, S1'!Y4*Main!$B$5)</f>
        <v>15.363260705683645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-15.367663164181433</v>
      </c>
      <c r="C2" s="2">
        <f>('[1]Qc, Winter, S1'!C2*Main!$B$5)</f>
        <v>-16.70253951861098</v>
      </c>
      <c r="D2" s="2">
        <f>('[1]Qc, Winter, S1'!D2*Main!$B$5)</f>
        <v>-17.990941571532385</v>
      </c>
      <c r="E2" s="2">
        <f>('[1]Qc, Winter, S1'!E2*Main!$B$5)</f>
        <v>-17.859972128896249</v>
      </c>
      <c r="F2" s="2">
        <f>('[1]Qc, Winter, S1'!F2*Main!$B$5)</f>
        <v>-18.485879105211698</v>
      </c>
      <c r="G2" s="2">
        <f>('[1]Qc, Winter, S1'!G2*Main!$B$5)</f>
        <v>-16.455912182271422</v>
      </c>
      <c r="H2" s="2">
        <f>('[1]Qc, Winter, S1'!H2*Main!$B$5)</f>
        <v>-12.254480459838524</v>
      </c>
      <c r="I2" s="2">
        <f>('[1]Qc, Winter, S1'!I2*Main!$B$5)</f>
        <v>-5.0441879913113175</v>
      </c>
      <c r="J2" s="2">
        <f>('[1]Qc, Winter, S1'!J2*Main!$B$5)</f>
        <v>-1.4854843535373667</v>
      </c>
      <c r="K2" s="2">
        <f>('[1]Qc, Winter, S1'!K2*Main!$B$5)</f>
        <v>-0.23237930793781775</v>
      </c>
      <c r="L2" s="2">
        <f>('[1]Qc, Winter, S1'!L2*Main!$B$5)</f>
        <v>-2.0861689503633927</v>
      </c>
      <c r="M2" s="2">
        <f>('[1]Qc, Winter, S1'!M2*Main!$B$5)</f>
        <v>-1.5337109008549525</v>
      </c>
      <c r="N2" s="2">
        <f>('[1]Qc, Winter, S1'!N2*Main!$B$5)</f>
        <v>-2.1228646297481988</v>
      </c>
      <c r="O2" s="2">
        <f>('[1]Qc, Winter, S1'!O2*Main!$B$5)</f>
        <v>-2.1414793094094491</v>
      </c>
      <c r="P2" s="2">
        <f>('[1]Qc, Winter, S1'!P2*Main!$B$5)</f>
        <v>-5.4137201775593002</v>
      </c>
      <c r="Q2" s="2">
        <f>('[1]Qc, Winter, S1'!Q2*Main!$B$5)</f>
        <v>-7.7966093976686999</v>
      </c>
      <c r="R2" s="2">
        <f>('[1]Qc, Winter, S1'!R2*Main!$B$5)</f>
        <v>-6.9336601134506211</v>
      </c>
      <c r="S2" s="2">
        <f>('[1]Qc, Winter, S1'!S2*Main!$B$5)</f>
        <v>-2.3668240753613548</v>
      </c>
      <c r="T2" s="2">
        <f>('[1]Qc, Winter, S1'!T2*Main!$B$5)</f>
        <v>-3.4428803313934053</v>
      </c>
      <c r="U2" s="2">
        <f>('[1]Qc, Winter, S1'!U2*Main!$B$5)</f>
        <v>-4.3278651179508723</v>
      </c>
      <c r="V2" s="2">
        <f>('[1]Qc, Winter, S1'!V2*Main!$B$5)</f>
        <v>-6.7983091490106196</v>
      </c>
      <c r="W2" s="2">
        <f>('[1]Qc, Winter, S1'!W2*Main!$B$5)</f>
        <v>-8.8246467739776122</v>
      </c>
      <c r="X2" s="2">
        <f>('[1]Qc, Winter, S1'!X2*Main!$B$5)</f>
        <v>-11.839463892270361</v>
      </c>
      <c r="Y2" s="2">
        <f>('[1]Qc, Winter, S1'!Y2*Main!$B$5)</f>
        <v>-13.326323760095875</v>
      </c>
    </row>
    <row r="3" spans="1:25" x14ac:dyDescent="0.3">
      <c r="A3">
        <v>2</v>
      </c>
      <c r="B3" s="2">
        <f>('[1]Qc, Winter, S1'!B3*Main!$B$5)</f>
        <v>17.410673691067899</v>
      </c>
      <c r="C3" s="2">
        <f>('[1]Qc, Winter, S1'!C3*Main!$B$5)</f>
        <v>21.566858956080317</v>
      </c>
      <c r="D3" s="2">
        <f>('[1]Qc, Winter, S1'!D3*Main!$B$5)</f>
        <v>21.566858956080317</v>
      </c>
      <c r="E3" s="2">
        <f>('[1]Qc, Winter, S1'!E3*Main!$B$5)</f>
        <v>21.566858956080317</v>
      </c>
      <c r="F3" s="2">
        <f>('[1]Qc, Winter, S1'!F3*Main!$B$5)</f>
        <v>21.566858956080317</v>
      </c>
      <c r="G3" s="2">
        <f>('[1]Qc, Winter, S1'!G3*Main!$B$5)</f>
        <v>17.474617325230692</v>
      </c>
      <c r="H3" s="2">
        <f>('[1]Qc, Winter, S1'!H3*Main!$B$5)</f>
        <v>7.9260535559167051</v>
      </c>
      <c r="I3" s="2">
        <f>('[1]Qc, Winter, S1'!I3*Main!$B$5)</f>
        <v>1.0203972431801298</v>
      </c>
      <c r="J3" s="2">
        <f>('[1]Qc, Winter, S1'!J3*Main!$B$5)</f>
        <v>-5.9705081159822599</v>
      </c>
      <c r="K3" s="2">
        <f>('[1]Qc, Winter, S1'!K3*Main!$B$5)</f>
        <v>-5.9705081159822599</v>
      </c>
      <c r="L3" s="2">
        <f>('[1]Qc, Winter, S1'!L3*Main!$B$5)</f>
        <v>-0.51418594151609276</v>
      </c>
      <c r="M3" s="2">
        <f>('[1]Qc, Winter, S1'!M3*Main!$B$5)</f>
        <v>-6.2262826526334223</v>
      </c>
      <c r="N3" s="2">
        <f>('[1]Qc, Winter, S1'!N3*Main!$B$5)</f>
        <v>-6.2262826526334223</v>
      </c>
      <c r="O3" s="2">
        <f>('[1]Qc, Winter, S1'!O3*Main!$B$5)</f>
        <v>-4.8195730195750208</v>
      </c>
      <c r="P3" s="2">
        <f>('[1]Qc, Winter, S1'!P3*Main!$B$5)</f>
        <v>-0.59944412039981376</v>
      </c>
      <c r="Q3" s="2">
        <f>('[1]Qc, Winter, S1'!Q3*Main!$B$5)</f>
        <v>3.6206710620876317</v>
      </c>
      <c r="R3" s="2">
        <f>('[1]Qc, Winter, S1'!R3*Main!$B$5)</f>
        <v>5.027376122916781</v>
      </c>
      <c r="S3" s="2">
        <f>('[1]Qc, Winter, S1'!S3*Main!$B$5)</f>
        <v>5.027376122916781</v>
      </c>
      <c r="T3" s="2">
        <f>('[1]Qc, Winter, S1'!T3*Main!$B$5)</f>
        <v>5.027376122916781</v>
      </c>
      <c r="U3" s="2">
        <f>('[1]Qc, Winter, S1'!U3*Main!$B$5)</f>
        <v>5.027376122916781</v>
      </c>
      <c r="V3" s="2">
        <f>('[1]Qc, Winter, S1'!V3*Main!$B$5)</f>
        <v>5.027376122916781</v>
      </c>
      <c r="W3" s="2">
        <f>('[1]Qc, Winter, S1'!W3*Main!$B$5)</f>
        <v>10.483698249380542</v>
      </c>
      <c r="X3" s="2">
        <f>('[1]Qc, Winter, S1'!X3*Main!$B$5)</f>
        <v>16.025278602730427</v>
      </c>
      <c r="Y3" s="2">
        <f>('[1]Qc, Winter, S1'!Y3*Main!$B$5)</f>
        <v>16.025278602730427</v>
      </c>
    </row>
    <row r="4" spans="1:25" x14ac:dyDescent="0.3">
      <c r="A4">
        <v>3</v>
      </c>
      <c r="B4" s="2">
        <f>('[1]Qc, Winter, S1'!B4*Main!$B$5)</f>
        <v>11.813986849676001</v>
      </c>
      <c r="C4" s="2">
        <f>('[1]Qc, Winter, S1'!C4*Main!$B$5)</f>
        <v>9.1129849244726255</v>
      </c>
      <c r="D4" s="2">
        <f>('[1]Qc, Winter, S1'!D4*Main!$B$5)</f>
        <v>7.8011814593178377</v>
      </c>
      <c r="E4" s="2">
        <f>('[1]Qc, Winter, S1'!E4*Main!$B$5)</f>
        <v>7.6339745015683826</v>
      </c>
      <c r="F4" s="2">
        <f>('[1]Qc, Winter, S1'!F4*Main!$B$5)</f>
        <v>8.6764759399197988</v>
      </c>
      <c r="G4" s="2">
        <f>('[1]Qc, Winter, S1'!G4*Main!$B$5)</f>
        <v>10.773040442337251</v>
      </c>
      <c r="H4" s="2">
        <f>('[1]Qc, Winter, S1'!H4*Main!$B$5)</f>
        <v>16.714460543611224</v>
      </c>
      <c r="I4" s="2">
        <f>('[1]Qc, Winter, S1'!I4*Main!$B$5)</f>
        <v>20.405158131738688</v>
      </c>
      <c r="J4" s="2">
        <f>('[1]Qc, Winter, S1'!J4*Main!$B$5)</f>
        <v>23.575269986548449</v>
      </c>
      <c r="K4" s="2">
        <f>('[1]Qc, Winter, S1'!K4*Main!$B$5)</f>
        <v>25.960710401671896</v>
      </c>
      <c r="L4" s="2">
        <f>('[1]Qc, Winter, S1'!L4*Main!$B$5)</f>
        <v>26.179798890619111</v>
      </c>
      <c r="M4" s="2">
        <f>('[1]Qc, Winter, S1'!M4*Main!$B$5)</f>
        <v>25.710373904150536</v>
      </c>
      <c r="N4" s="2">
        <f>('[1]Qc, Winter, S1'!N4*Main!$B$5)</f>
        <v>25.819873053690131</v>
      </c>
      <c r="O4" s="2">
        <f>('[1]Qc, Winter, S1'!O4*Main!$B$5)</f>
        <v>25.556396096239219</v>
      </c>
      <c r="P4" s="2">
        <f>('[1]Qc, Winter, S1'!P4*Main!$B$5)</f>
        <v>23.054819226502737</v>
      </c>
      <c r="Q4" s="2">
        <f>('[1]Qc, Winter, S1'!Q4*Main!$B$5)</f>
        <v>21.904148483408076</v>
      </c>
      <c r="R4" s="2">
        <f>('[1]Qc, Winter, S1'!R4*Main!$B$5)</f>
        <v>22.605147878766697</v>
      </c>
      <c r="S4" s="2">
        <f>('[1]Qc, Winter, S1'!S4*Main!$B$5)</f>
        <v>30.809798508686164</v>
      </c>
      <c r="T4" s="2">
        <f>('[1]Qc, Winter, S1'!T4*Main!$B$5)</f>
        <v>30.765072026248966</v>
      </c>
      <c r="U4" s="2">
        <f>('[1]Qc, Winter, S1'!U4*Main!$B$5)</f>
        <v>29.826266729026386</v>
      </c>
      <c r="V4" s="2">
        <f>('[1]Qc, Winter, S1'!V4*Main!$B$5)</f>
        <v>27.607356109200701</v>
      </c>
      <c r="W4" s="2">
        <f>('[1]Qc, Winter, S1'!W4*Main!$B$5)</f>
        <v>24.552141461756925</v>
      </c>
      <c r="X4" s="2">
        <f>('[1]Qc, Winter, S1'!X4*Main!$B$5)</f>
        <v>20.025297153294588</v>
      </c>
      <c r="Y4" s="2">
        <f>('[1]Qc, Winter, S1'!Y4*Main!$B$5)</f>
        <v>15.363260705683645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-15.828693059106877</v>
      </c>
      <c r="C2" s="2">
        <f>('[1]Qc, Winter, S2'!C2*Main!$B$5)</f>
        <v>-17.203615704169309</v>
      </c>
      <c r="D2" s="2">
        <f>('[1]Qc, Winter, S2'!D2*Main!$B$5)</f>
        <v>-18.530669818678358</v>
      </c>
      <c r="E2" s="2">
        <f>('[1]Qc, Winter, S2'!E2*Main!$B$5)</f>
        <v>-18.395771292763136</v>
      </c>
      <c r="F2" s="2">
        <f>('[1]Qc, Winter, S2'!F2*Main!$B$5)</f>
        <v>-19.040455478368052</v>
      </c>
      <c r="G2" s="2">
        <f>('[1]Qc, Winter, S2'!G2*Main!$B$5)</f>
        <v>-16.949589547739563</v>
      </c>
      <c r="H2" s="2">
        <f>('[1]Qc, Winter, S2'!H2*Main!$B$5)</f>
        <v>-12.622114873633677</v>
      </c>
      <c r="I2" s="2">
        <f>('[1]Qc, Winter, S2'!I2*Main!$B$5)</f>
        <v>-5.1955136310506571</v>
      </c>
      <c r="J2" s="2">
        <f>('[1]Qc, Winter, S2'!J2*Main!$B$5)</f>
        <v>-1.5300488841434876</v>
      </c>
      <c r="K2" s="2">
        <f>('[1]Qc, Winter, S2'!K2*Main!$B$5)</f>
        <v>-0.23935068717595226</v>
      </c>
      <c r="L2" s="2">
        <f>('[1]Qc, Winter, S2'!L2*Main!$B$5)</f>
        <v>-2.1487540188742944</v>
      </c>
      <c r="M2" s="2">
        <f>('[1]Qc, Winter, S2'!M2*Main!$B$5)</f>
        <v>-1.5797222278806011</v>
      </c>
      <c r="N2" s="2">
        <f>('[1]Qc, Winter, S2'!N2*Main!$B$5)</f>
        <v>-2.1865505686406448</v>
      </c>
      <c r="O2" s="2">
        <f>('[1]Qc, Winter, S2'!O2*Main!$B$5)</f>
        <v>-2.2057236886917329</v>
      </c>
      <c r="P2" s="2">
        <f>('[1]Qc, Winter, S2'!P2*Main!$B$5)</f>
        <v>-5.5761317828860788</v>
      </c>
      <c r="Q2" s="2">
        <f>('[1]Qc, Winter, S2'!Q2*Main!$B$5)</f>
        <v>-8.0305076795987613</v>
      </c>
      <c r="R2" s="2">
        <f>('[1]Qc, Winter, S2'!R2*Main!$B$5)</f>
        <v>-7.1416699168541404</v>
      </c>
      <c r="S2" s="2">
        <f>('[1]Qc, Winter, S2'!S2*Main!$B$5)</f>
        <v>-2.4378287976221955</v>
      </c>
      <c r="T2" s="2">
        <f>('[1]Qc, Winter, S2'!T2*Main!$B$5)</f>
        <v>-3.5461667413352078</v>
      </c>
      <c r="U2" s="2">
        <f>('[1]Qc, Winter, S2'!U2*Main!$B$5)</f>
        <v>-4.4577010714893985</v>
      </c>
      <c r="V2" s="2">
        <f>('[1]Qc, Winter, S2'!V2*Main!$B$5)</f>
        <v>-7.0022584234809386</v>
      </c>
      <c r="W2" s="2">
        <f>('[1]Qc, Winter, S2'!W2*Main!$B$5)</f>
        <v>-9.0893861771969409</v>
      </c>
      <c r="X2" s="2">
        <f>('[1]Qc, Winter, S2'!X2*Main!$B$5)</f>
        <v>-12.194647809038473</v>
      </c>
      <c r="Y2" s="2">
        <f>('[1]Qc, Winter, S2'!Y2*Main!$B$5)</f>
        <v>-13.726113472898751</v>
      </c>
    </row>
    <row r="3" spans="1:25" x14ac:dyDescent="0.3">
      <c r="A3">
        <v>2</v>
      </c>
      <c r="B3" s="2">
        <f>('[1]Qc, Winter, S2'!B3*Main!$B$5)</f>
        <v>17.932993901799939</v>
      </c>
      <c r="C3" s="2">
        <f>('[1]Qc, Winter, S2'!C3*Main!$B$5)</f>
        <v>22.213864724762729</v>
      </c>
      <c r="D3" s="2">
        <f>('[1]Qc, Winter, S2'!D3*Main!$B$5)</f>
        <v>22.213864724762729</v>
      </c>
      <c r="E3" s="2">
        <f>('[1]Qc, Winter, S2'!E3*Main!$B$5)</f>
        <v>22.213864724762729</v>
      </c>
      <c r="F3" s="2">
        <f>('[1]Qc, Winter, S2'!F3*Main!$B$5)</f>
        <v>22.213864724762729</v>
      </c>
      <c r="G3" s="2">
        <f>('[1]Qc, Winter, S2'!G3*Main!$B$5)</f>
        <v>17.998855844987613</v>
      </c>
      <c r="H3" s="2">
        <f>('[1]Qc, Winter, S2'!H3*Main!$B$5)</f>
        <v>8.1638351625942072</v>
      </c>
      <c r="I3" s="2">
        <f>('[1]Qc, Winter, S2'!I3*Main!$B$5)</f>
        <v>1.0510091604755338</v>
      </c>
      <c r="J3" s="2">
        <f>('[1]Qc, Winter, S2'!J3*Main!$B$5)</f>
        <v>-6.149623359461728</v>
      </c>
      <c r="K3" s="2">
        <f>('[1]Qc, Winter, S2'!K3*Main!$B$5)</f>
        <v>-6.149623359461728</v>
      </c>
      <c r="L3" s="2">
        <f>('[1]Qc, Winter, S2'!L3*Main!$B$5)</f>
        <v>-0.5296115197615755</v>
      </c>
      <c r="M3" s="2">
        <f>('[1]Qc, Winter, S2'!M3*Main!$B$5)</f>
        <v>-6.4130711322124254</v>
      </c>
      <c r="N3" s="2">
        <f>('[1]Qc, Winter, S2'!N3*Main!$B$5)</f>
        <v>-6.4130711322124254</v>
      </c>
      <c r="O3" s="2">
        <f>('[1]Qc, Winter, S2'!O3*Main!$B$5)</f>
        <v>-4.9641602101622704</v>
      </c>
      <c r="P3" s="2">
        <f>('[1]Qc, Winter, S2'!P3*Main!$B$5)</f>
        <v>-0.61742744401180816</v>
      </c>
      <c r="Q3" s="2">
        <f>('[1]Qc, Winter, S2'!Q3*Main!$B$5)</f>
        <v>3.7292911939502611</v>
      </c>
      <c r="R3" s="2">
        <f>('[1]Qc, Winter, S2'!R3*Main!$B$5)</f>
        <v>5.1781974066042844</v>
      </c>
      <c r="S3" s="2">
        <f>('[1]Qc, Winter, S2'!S3*Main!$B$5)</f>
        <v>5.1781974066042844</v>
      </c>
      <c r="T3" s="2">
        <f>('[1]Qc, Winter, S2'!T3*Main!$B$5)</f>
        <v>5.1781974066042844</v>
      </c>
      <c r="U3" s="2">
        <f>('[1]Qc, Winter, S2'!U3*Main!$B$5)</f>
        <v>5.1781974066042844</v>
      </c>
      <c r="V3" s="2">
        <f>('[1]Qc, Winter, S2'!V3*Main!$B$5)</f>
        <v>5.1781974066042844</v>
      </c>
      <c r="W3" s="2">
        <f>('[1]Qc, Winter, S2'!W3*Main!$B$5)</f>
        <v>10.798209196861958</v>
      </c>
      <c r="X3" s="2">
        <f>('[1]Qc, Winter, S2'!X3*Main!$B$5)</f>
        <v>16.506036960812342</v>
      </c>
      <c r="Y3" s="2">
        <f>('[1]Qc, Winter, S2'!Y3*Main!$B$5)</f>
        <v>16.506036960812342</v>
      </c>
    </row>
    <row r="4" spans="1:25" x14ac:dyDescent="0.3">
      <c r="A4">
        <v>3</v>
      </c>
      <c r="B4" s="2">
        <f>('[1]Qc, Winter, S2'!B4*Main!$B$5)</f>
        <v>12.168406455166281</v>
      </c>
      <c r="C4" s="2">
        <f>('[1]Qc, Winter, S2'!C4*Main!$B$5)</f>
        <v>9.3863744722068052</v>
      </c>
      <c r="D4" s="2">
        <f>('[1]Qc, Winter, S2'!D4*Main!$B$5)</f>
        <v>8.035216903097373</v>
      </c>
      <c r="E4" s="2">
        <f>('[1]Qc, Winter, S2'!E4*Main!$B$5)</f>
        <v>7.8629937366154348</v>
      </c>
      <c r="F4" s="2">
        <f>('[1]Qc, Winter, S2'!F4*Main!$B$5)</f>
        <v>8.9367702181173936</v>
      </c>
      <c r="G4" s="2">
        <f>('[1]Qc, Winter, S2'!G4*Main!$B$5)</f>
        <v>11.096231655607369</v>
      </c>
      <c r="H4" s="2">
        <f>('[1]Qc, Winter, S2'!H4*Main!$B$5)</f>
        <v>17.21589435991956</v>
      </c>
      <c r="I4" s="2">
        <f>('[1]Qc, Winter, S2'!I4*Main!$B$5)</f>
        <v>21.017312875690852</v>
      </c>
      <c r="J4" s="2">
        <f>('[1]Qc, Winter, S2'!J4*Main!$B$5)</f>
        <v>24.282528086144904</v>
      </c>
      <c r="K4" s="2">
        <f>('[1]Qc, Winter, S2'!K4*Main!$B$5)</f>
        <v>26.739531713722052</v>
      </c>
      <c r="L4" s="2">
        <f>('[1]Qc, Winter, S2'!L4*Main!$B$5)</f>
        <v>26.965192857337684</v>
      </c>
      <c r="M4" s="2">
        <f>('[1]Qc, Winter, S2'!M4*Main!$B$5)</f>
        <v>26.481685121275049</v>
      </c>
      <c r="N4" s="2">
        <f>('[1]Qc, Winter, S2'!N4*Main!$B$5)</f>
        <v>26.594469245300832</v>
      </c>
      <c r="O4" s="2">
        <f>('[1]Qc, Winter, S2'!O4*Main!$B$5)</f>
        <v>26.323087979126395</v>
      </c>
      <c r="P4" s="2">
        <f>('[1]Qc, Winter, S2'!P4*Main!$B$5)</f>
        <v>23.746463803297818</v>
      </c>
      <c r="Q4" s="2">
        <f>('[1]Qc, Winter, S2'!Q4*Main!$B$5)</f>
        <v>22.561272937910321</v>
      </c>
      <c r="R4" s="2">
        <f>('[1]Qc, Winter, S2'!R4*Main!$B$5)</f>
        <v>23.283302315129699</v>
      </c>
      <c r="S4" s="2">
        <f>('[1]Qc, Winter, S2'!S4*Main!$B$5)</f>
        <v>31.734092463946748</v>
      </c>
      <c r="T4" s="2">
        <f>('[1]Qc, Winter, S2'!T4*Main!$B$5)</f>
        <v>31.688024187036433</v>
      </c>
      <c r="U4" s="2">
        <f>('[1]Qc, Winter, S2'!U4*Main!$B$5)</f>
        <v>30.72105473089718</v>
      </c>
      <c r="V4" s="2">
        <f>('[1]Qc, Winter, S2'!V4*Main!$B$5)</f>
        <v>28.435576792476724</v>
      </c>
      <c r="W4" s="2">
        <f>('[1]Qc, Winter, S2'!W4*Main!$B$5)</f>
        <v>25.28870570560963</v>
      </c>
      <c r="X4" s="2">
        <f>('[1]Qc, Winter, S2'!X4*Main!$B$5)</f>
        <v>20.62605606789343</v>
      </c>
      <c r="Y4" s="2">
        <f>('[1]Qc, Winter, S2'!Y4*Main!$B$5)</f>
        <v>15.824158526854157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-15.828693059106877</v>
      </c>
      <c r="C2" s="2">
        <f>('[1]Qc, Winter, S2'!C2*Main!$B$5)</f>
        <v>-17.203615704169309</v>
      </c>
      <c r="D2" s="2">
        <f>('[1]Qc, Winter, S2'!D2*Main!$B$5)</f>
        <v>-18.530669818678358</v>
      </c>
      <c r="E2" s="2">
        <f>('[1]Qc, Winter, S2'!E2*Main!$B$5)</f>
        <v>-18.395771292763136</v>
      </c>
      <c r="F2" s="2">
        <f>('[1]Qc, Winter, S2'!F2*Main!$B$5)</f>
        <v>-19.040455478368052</v>
      </c>
      <c r="G2" s="2">
        <f>('[1]Qc, Winter, S2'!G2*Main!$B$5)</f>
        <v>-16.949589547739563</v>
      </c>
      <c r="H2" s="2">
        <f>('[1]Qc, Winter, S2'!H2*Main!$B$5)</f>
        <v>-12.622114873633677</v>
      </c>
      <c r="I2" s="2">
        <f>('[1]Qc, Winter, S2'!I2*Main!$B$5)</f>
        <v>-5.1955136310506571</v>
      </c>
      <c r="J2" s="2">
        <f>('[1]Qc, Winter, S2'!J2*Main!$B$5)</f>
        <v>-1.5300488841434876</v>
      </c>
      <c r="K2" s="2">
        <f>('[1]Qc, Winter, S2'!K2*Main!$B$5)</f>
        <v>-0.23935068717595226</v>
      </c>
      <c r="L2" s="2">
        <f>('[1]Qc, Winter, S2'!L2*Main!$B$5)</f>
        <v>-2.1487540188742944</v>
      </c>
      <c r="M2" s="2">
        <f>('[1]Qc, Winter, S2'!M2*Main!$B$5)</f>
        <v>-1.5797222278806011</v>
      </c>
      <c r="N2" s="2">
        <f>('[1]Qc, Winter, S2'!N2*Main!$B$5)</f>
        <v>-2.1865505686406448</v>
      </c>
      <c r="O2" s="2">
        <f>('[1]Qc, Winter, S2'!O2*Main!$B$5)</f>
        <v>-2.2057236886917329</v>
      </c>
      <c r="P2" s="2">
        <f>('[1]Qc, Winter, S2'!P2*Main!$B$5)</f>
        <v>-5.5761317828860788</v>
      </c>
      <c r="Q2" s="2">
        <f>('[1]Qc, Winter, S2'!Q2*Main!$B$5)</f>
        <v>-8.0305076795987613</v>
      </c>
      <c r="R2" s="2">
        <f>('[1]Qc, Winter, S2'!R2*Main!$B$5)</f>
        <v>-7.1416699168541404</v>
      </c>
      <c r="S2" s="2">
        <f>('[1]Qc, Winter, S2'!S2*Main!$B$5)</f>
        <v>-2.4378287976221955</v>
      </c>
      <c r="T2" s="2">
        <f>('[1]Qc, Winter, S2'!T2*Main!$B$5)</f>
        <v>-3.5461667413352078</v>
      </c>
      <c r="U2" s="2">
        <f>('[1]Qc, Winter, S2'!U2*Main!$B$5)</f>
        <v>-4.4577010714893985</v>
      </c>
      <c r="V2" s="2">
        <f>('[1]Qc, Winter, S2'!V2*Main!$B$5)</f>
        <v>-7.0022584234809386</v>
      </c>
      <c r="W2" s="2">
        <f>('[1]Qc, Winter, S2'!W2*Main!$B$5)</f>
        <v>-9.0893861771969409</v>
      </c>
      <c r="X2" s="2">
        <f>('[1]Qc, Winter, S2'!X2*Main!$B$5)</f>
        <v>-12.194647809038473</v>
      </c>
      <c r="Y2" s="2">
        <f>('[1]Qc, Winter, S2'!Y2*Main!$B$5)</f>
        <v>-13.726113472898751</v>
      </c>
    </row>
    <row r="3" spans="1:25" x14ac:dyDescent="0.3">
      <c r="A3">
        <v>2</v>
      </c>
      <c r="B3" s="2">
        <f>('[1]Qc, Winter, S2'!B3*Main!$B$5)</f>
        <v>17.932993901799939</v>
      </c>
      <c r="C3" s="2">
        <f>('[1]Qc, Winter, S2'!C3*Main!$B$5)</f>
        <v>22.213864724762729</v>
      </c>
      <c r="D3" s="2">
        <f>('[1]Qc, Winter, S2'!D3*Main!$B$5)</f>
        <v>22.213864724762729</v>
      </c>
      <c r="E3" s="2">
        <f>('[1]Qc, Winter, S2'!E3*Main!$B$5)</f>
        <v>22.213864724762729</v>
      </c>
      <c r="F3" s="2">
        <f>('[1]Qc, Winter, S2'!F3*Main!$B$5)</f>
        <v>22.213864724762729</v>
      </c>
      <c r="G3" s="2">
        <f>('[1]Qc, Winter, S2'!G3*Main!$B$5)</f>
        <v>17.998855844987613</v>
      </c>
      <c r="H3" s="2">
        <f>('[1]Qc, Winter, S2'!H3*Main!$B$5)</f>
        <v>8.1638351625942072</v>
      </c>
      <c r="I3" s="2">
        <f>('[1]Qc, Winter, S2'!I3*Main!$B$5)</f>
        <v>1.0510091604755338</v>
      </c>
      <c r="J3" s="2">
        <f>('[1]Qc, Winter, S2'!J3*Main!$B$5)</f>
        <v>-6.149623359461728</v>
      </c>
      <c r="K3" s="2">
        <f>('[1]Qc, Winter, S2'!K3*Main!$B$5)</f>
        <v>-6.149623359461728</v>
      </c>
      <c r="L3" s="2">
        <f>('[1]Qc, Winter, S2'!L3*Main!$B$5)</f>
        <v>-0.5296115197615755</v>
      </c>
      <c r="M3" s="2">
        <f>('[1]Qc, Winter, S2'!M3*Main!$B$5)</f>
        <v>-6.4130711322124254</v>
      </c>
      <c r="N3" s="2">
        <f>('[1]Qc, Winter, S2'!N3*Main!$B$5)</f>
        <v>-6.4130711322124254</v>
      </c>
      <c r="O3" s="2">
        <f>('[1]Qc, Winter, S2'!O3*Main!$B$5)</f>
        <v>-4.9641602101622704</v>
      </c>
      <c r="P3" s="2">
        <f>('[1]Qc, Winter, S2'!P3*Main!$B$5)</f>
        <v>-0.61742744401180816</v>
      </c>
      <c r="Q3" s="2">
        <f>('[1]Qc, Winter, S2'!Q3*Main!$B$5)</f>
        <v>3.7292911939502611</v>
      </c>
      <c r="R3" s="2">
        <f>('[1]Qc, Winter, S2'!R3*Main!$B$5)</f>
        <v>5.1781974066042844</v>
      </c>
      <c r="S3" s="2">
        <f>('[1]Qc, Winter, S2'!S3*Main!$B$5)</f>
        <v>5.1781974066042844</v>
      </c>
      <c r="T3" s="2">
        <f>('[1]Qc, Winter, S2'!T3*Main!$B$5)</f>
        <v>5.1781974066042844</v>
      </c>
      <c r="U3" s="2">
        <f>('[1]Qc, Winter, S2'!U3*Main!$B$5)</f>
        <v>5.1781974066042844</v>
      </c>
      <c r="V3" s="2">
        <f>('[1]Qc, Winter, S2'!V3*Main!$B$5)</f>
        <v>5.1781974066042844</v>
      </c>
      <c r="W3" s="2">
        <f>('[1]Qc, Winter, S2'!W3*Main!$B$5)</f>
        <v>10.798209196861958</v>
      </c>
      <c r="X3" s="2">
        <f>('[1]Qc, Winter, S2'!X3*Main!$B$5)</f>
        <v>16.506036960812342</v>
      </c>
      <c r="Y3" s="2">
        <f>('[1]Qc, Winter, S2'!Y3*Main!$B$5)</f>
        <v>16.506036960812342</v>
      </c>
    </row>
    <row r="4" spans="1:25" x14ac:dyDescent="0.3">
      <c r="A4">
        <v>3</v>
      </c>
      <c r="B4" s="2">
        <f>('[1]Qc, Winter, S2'!B4*Main!$B$5)</f>
        <v>12.168406455166281</v>
      </c>
      <c r="C4" s="2">
        <f>('[1]Qc, Winter, S2'!C4*Main!$B$5)</f>
        <v>9.3863744722068052</v>
      </c>
      <c r="D4" s="2">
        <f>('[1]Qc, Winter, S2'!D4*Main!$B$5)</f>
        <v>8.035216903097373</v>
      </c>
      <c r="E4" s="2">
        <f>('[1]Qc, Winter, S2'!E4*Main!$B$5)</f>
        <v>7.8629937366154348</v>
      </c>
      <c r="F4" s="2">
        <f>('[1]Qc, Winter, S2'!F4*Main!$B$5)</f>
        <v>8.9367702181173936</v>
      </c>
      <c r="G4" s="2">
        <f>('[1]Qc, Winter, S2'!G4*Main!$B$5)</f>
        <v>11.096231655607369</v>
      </c>
      <c r="H4" s="2">
        <f>('[1]Qc, Winter, S2'!H4*Main!$B$5)</f>
        <v>17.21589435991956</v>
      </c>
      <c r="I4" s="2">
        <f>('[1]Qc, Winter, S2'!I4*Main!$B$5)</f>
        <v>21.017312875690852</v>
      </c>
      <c r="J4" s="2">
        <f>('[1]Qc, Winter, S2'!J4*Main!$B$5)</f>
        <v>24.282528086144904</v>
      </c>
      <c r="K4" s="2">
        <f>('[1]Qc, Winter, S2'!K4*Main!$B$5)</f>
        <v>26.739531713722052</v>
      </c>
      <c r="L4" s="2">
        <f>('[1]Qc, Winter, S2'!L4*Main!$B$5)</f>
        <v>26.965192857337684</v>
      </c>
      <c r="M4" s="2">
        <f>('[1]Qc, Winter, S2'!M4*Main!$B$5)</f>
        <v>26.481685121275049</v>
      </c>
      <c r="N4" s="2">
        <f>('[1]Qc, Winter, S2'!N4*Main!$B$5)</f>
        <v>26.594469245300832</v>
      </c>
      <c r="O4" s="2">
        <f>('[1]Qc, Winter, S2'!O4*Main!$B$5)</f>
        <v>26.323087979126395</v>
      </c>
      <c r="P4" s="2">
        <f>('[1]Qc, Winter, S2'!P4*Main!$B$5)</f>
        <v>23.746463803297818</v>
      </c>
      <c r="Q4" s="2">
        <f>('[1]Qc, Winter, S2'!Q4*Main!$B$5)</f>
        <v>22.561272937910321</v>
      </c>
      <c r="R4" s="2">
        <f>('[1]Qc, Winter, S2'!R4*Main!$B$5)</f>
        <v>23.283302315129699</v>
      </c>
      <c r="S4" s="2">
        <f>('[1]Qc, Winter, S2'!S4*Main!$B$5)</f>
        <v>31.734092463946748</v>
      </c>
      <c r="T4" s="2">
        <f>('[1]Qc, Winter, S2'!T4*Main!$B$5)</f>
        <v>31.688024187036433</v>
      </c>
      <c r="U4" s="2">
        <f>('[1]Qc, Winter, S2'!U4*Main!$B$5)</f>
        <v>30.72105473089718</v>
      </c>
      <c r="V4" s="2">
        <f>('[1]Qc, Winter, S2'!V4*Main!$B$5)</f>
        <v>28.435576792476724</v>
      </c>
      <c r="W4" s="2">
        <f>('[1]Qc, Winter, S2'!W4*Main!$B$5)</f>
        <v>25.28870570560963</v>
      </c>
      <c r="X4" s="2">
        <f>('[1]Qc, Winter, S2'!X4*Main!$B$5)</f>
        <v>20.62605606789343</v>
      </c>
      <c r="Y4" s="2">
        <f>('[1]Qc, Winter, S2'!Y4*Main!$B$5)</f>
        <v>15.824158526854157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-15.828693059106877</v>
      </c>
      <c r="C2" s="2">
        <f>('[1]Qc, Winter, S2'!C2*Main!$B$5)</f>
        <v>-17.203615704169309</v>
      </c>
      <c r="D2" s="2">
        <f>('[1]Qc, Winter, S2'!D2*Main!$B$5)</f>
        <v>-18.530669818678358</v>
      </c>
      <c r="E2" s="2">
        <f>('[1]Qc, Winter, S2'!E2*Main!$B$5)</f>
        <v>-18.395771292763136</v>
      </c>
      <c r="F2" s="2">
        <f>('[1]Qc, Winter, S2'!F2*Main!$B$5)</f>
        <v>-19.040455478368052</v>
      </c>
      <c r="G2" s="2">
        <f>('[1]Qc, Winter, S2'!G2*Main!$B$5)</f>
        <v>-16.949589547739563</v>
      </c>
      <c r="H2" s="2">
        <f>('[1]Qc, Winter, S2'!H2*Main!$B$5)</f>
        <v>-12.622114873633677</v>
      </c>
      <c r="I2" s="2">
        <f>('[1]Qc, Winter, S2'!I2*Main!$B$5)</f>
        <v>-5.1955136310506571</v>
      </c>
      <c r="J2" s="2">
        <f>('[1]Qc, Winter, S2'!J2*Main!$B$5)</f>
        <v>-1.5300488841434876</v>
      </c>
      <c r="K2" s="2">
        <f>('[1]Qc, Winter, S2'!K2*Main!$B$5)</f>
        <v>-0.23935068717595226</v>
      </c>
      <c r="L2" s="2">
        <f>('[1]Qc, Winter, S2'!L2*Main!$B$5)</f>
        <v>-2.1487540188742944</v>
      </c>
      <c r="M2" s="2">
        <f>('[1]Qc, Winter, S2'!M2*Main!$B$5)</f>
        <v>-1.5797222278806011</v>
      </c>
      <c r="N2" s="2">
        <f>('[1]Qc, Winter, S2'!N2*Main!$B$5)</f>
        <v>-2.1865505686406448</v>
      </c>
      <c r="O2" s="2">
        <f>('[1]Qc, Winter, S2'!O2*Main!$B$5)</f>
        <v>-2.2057236886917329</v>
      </c>
      <c r="P2" s="2">
        <f>('[1]Qc, Winter, S2'!P2*Main!$B$5)</f>
        <v>-5.5761317828860788</v>
      </c>
      <c r="Q2" s="2">
        <f>('[1]Qc, Winter, S2'!Q2*Main!$B$5)</f>
        <v>-8.0305076795987613</v>
      </c>
      <c r="R2" s="2">
        <f>('[1]Qc, Winter, S2'!R2*Main!$B$5)</f>
        <v>-7.1416699168541404</v>
      </c>
      <c r="S2" s="2">
        <f>('[1]Qc, Winter, S2'!S2*Main!$B$5)</f>
        <v>-2.4378287976221955</v>
      </c>
      <c r="T2" s="2">
        <f>('[1]Qc, Winter, S2'!T2*Main!$B$5)</f>
        <v>-3.5461667413352078</v>
      </c>
      <c r="U2" s="2">
        <f>('[1]Qc, Winter, S2'!U2*Main!$B$5)</f>
        <v>-4.4577010714893985</v>
      </c>
      <c r="V2" s="2">
        <f>('[1]Qc, Winter, S2'!V2*Main!$B$5)</f>
        <v>-7.0022584234809386</v>
      </c>
      <c r="W2" s="2">
        <f>('[1]Qc, Winter, S2'!W2*Main!$B$5)</f>
        <v>-9.0893861771969409</v>
      </c>
      <c r="X2" s="2">
        <f>('[1]Qc, Winter, S2'!X2*Main!$B$5)</f>
        <v>-12.194647809038473</v>
      </c>
      <c r="Y2" s="2">
        <f>('[1]Qc, Winter, S2'!Y2*Main!$B$5)</f>
        <v>-13.726113472898751</v>
      </c>
    </row>
    <row r="3" spans="1:25" x14ac:dyDescent="0.3">
      <c r="A3">
        <v>2</v>
      </c>
      <c r="B3" s="2">
        <f>('[1]Qc, Winter, S2'!B3*Main!$B$5)</f>
        <v>17.932993901799939</v>
      </c>
      <c r="C3" s="2">
        <f>('[1]Qc, Winter, S2'!C3*Main!$B$5)</f>
        <v>22.213864724762729</v>
      </c>
      <c r="D3" s="2">
        <f>('[1]Qc, Winter, S2'!D3*Main!$B$5)</f>
        <v>22.213864724762729</v>
      </c>
      <c r="E3" s="2">
        <f>('[1]Qc, Winter, S2'!E3*Main!$B$5)</f>
        <v>22.213864724762729</v>
      </c>
      <c r="F3" s="2">
        <f>('[1]Qc, Winter, S2'!F3*Main!$B$5)</f>
        <v>22.213864724762729</v>
      </c>
      <c r="G3" s="2">
        <f>('[1]Qc, Winter, S2'!G3*Main!$B$5)</f>
        <v>17.998855844987613</v>
      </c>
      <c r="H3" s="2">
        <f>('[1]Qc, Winter, S2'!H3*Main!$B$5)</f>
        <v>8.1638351625942072</v>
      </c>
      <c r="I3" s="2">
        <f>('[1]Qc, Winter, S2'!I3*Main!$B$5)</f>
        <v>1.0510091604755338</v>
      </c>
      <c r="J3" s="2">
        <f>('[1]Qc, Winter, S2'!J3*Main!$B$5)</f>
        <v>-6.149623359461728</v>
      </c>
      <c r="K3" s="2">
        <f>('[1]Qc, Winter, S2'!K3*Main!$B$5)</f>
        <v>-6.149623359461728</v>
      </c>
      <c r="L3" s="2">
        <f>('[1]Qc, Winter, S2'!L3*Main!$B$5)</f>
        <v>-0.5296115197615755</v>
      </c>
      <c r="M3" s="2">
        <f>('[1]Qc, Winter, S2'!M3*Main!$B$5)</f>
        <v>-6.4130711322124254</v>
      </c>
      <c r="N3" s="2">
        <f>('[1]Qc, Winter, S2'!N3*Main!$B$5)</f>
        <v>-6.4130711322124254</v>
      </c>
      <c r="O3" s="2">
        <f>('[1]Qc, Winter, S2'!O3*Main!$B$5)</f>
        <v>-4.9641602101622704</v>
      </c>
      <c r="P3" s="2">
        <f>('[1]Qc, Winter, S2'!P3*Main!$B$5)</f>
        <v>-0.61742744401180816</v>
      </c>
      <c r="Q3" s="2">
        <f>('[1]Qc, Winter, S2'!Q3*Main!$B$5)</f>
        <v>3.7292911939502611</v>
      </c>
      <c r="R3" s="2">
        <f>('[1]Qc, Winter, S2'!R3*Main!$B$5)</f>
        <v>5.1781974066042844</v>
      </c>
      <c r="S3" s="2">
        <f>('[1]Qc, Winter, S2'!S3*Main!$B$5)</f>
        <v>5.1781974066042844</v>
      </c>
      <c r="T3" s="2">
        <f>('[1]Qc, Winter, S2'!T3*Main!$B$5)</f>
        <v>5.1781974066042844</v>
      </c>
      <c r="U3" s="2">
        <f>('[1]Qc, Winter, S2'!U3*Main!$B$5)</f>
        <v>5.1781974066042844</v>
      </c>
      <c r="V3" s="2">
        <f>('[1]Qc, Winter, S2'!V3*Main!$B$5)</f>
        <v>5.1781974066042844</v>
      </c>
      <c r="W3" s="2">
        <f>('[1]Qc, Winter, S2'!W3*Main!$B$5)</f>
        <v>10.798209196861958</v>
      </c>
      <c r="X3" s="2">
        <f>('[1]Qc, Winter, S2'!X3*Main!$B$5)</f>
        <v>16.506036960812342</v>
      </c>
      <c r="Y3" s="2">
        <f>('[1]Qc, Winter, S2'!Y3*Main!$B$5)</f>
        <v>16.506036960812342</v>
      </c>
    </row>
    <row r="4" spans="1:25" x14ac:dyDescent="0.3">
      <c r="A4">
        <v>3</v>
      </c>
      <c r="B4" s="2">
        <f>('[1]Qc, Winter, S2'!B4*Main!$B$5)</f>
        <v>12.168406455166281</v>
      </c>
      <c r="C4" s="2">
        <f>('[1]Qc, Winter, S2'!C4*Main!$B$5)</f>
        <v>9.3863744722068052</v>
      </c>
      <c r="D4" s="2">
        <f>('[1]Qc, Winter, S2'!D4*Main!$B$5)</f>
        <v>8.035216903097373</v>
      </c>
      <c r="E4" s="2">
        <f>('[1]Qc, Winter, S2'!E4*Main!$B$5)</f>
        <v>7.8629937366154348</v>
      </c>
      <c r="F4" s="2">
        <f>('[1]Qc, Winter, S2'!F4*Main!$B$5)</f>
        <v>8.9367702181173936</v>
      </c>
      <c r="G4" s="2">
        <f>('[1]Qc, Winter, S2'!G4*Main!$B$5)</f>
        <v>11.096231655607369</v>
      </c>
      <c r="H4" s="2">
        <f>('[1]Qc, Winter, S2'!H4*Main!$B$5)</f>
        <v>17.21589435991956</v>
      </c>
      <c r="I4" s="2">
        <f>('[1]Qc, Winter, S2'!I4*Main!$B$5)</f>
        <v>21.017312875690852</v>
      </c>
      <c r="J4" s="2">
        <f>('[1]Qc, Winter, S2'!J4*Main!$B$5)</f>
        <v>24.282528086144904</v>
      </c>
      <c r="K4" s="2">
        <f>('[1]Qc, Winter, S2'!K4*Main!$B$5)</f>
        <v>26.739531713722052</v>
      </c>
      <c r="L4" s="2">
        <f>('[1]Qc, Winter, S2'!L4*Main!$B$5)</f>
        <v>26.965192857337684</v>
      </c>
      <c r="M4" s="2">
        <f>('[1]Qc, Winter, S2'!M4*Main!$B$5)</f>
        <v>26.481685121275049</v>
      </c>
      <c r="N4" s="2">
        <f>('[1]Qc, Winter, S2'!N4*Main!$B$5)</f>
        <v>26.594469245300832</v>
      </c>
      <c r="O4" s="2">
        <f>('[1]Qc, Winter, S2'!O4*Main!$B$5)</f>
        <v>26.323087979126395</v>
      </c>
      <c r="P4" s="2">
        <f>('[1]Qc, Winter, S2'!P4*Main!$B$5)</f>
        <v>23.746463803297818</v>
      </c>
      <c r="Q4" s="2">
        <f>('[1]Qc, Winter, S2'!Q4*Main!$B$5)</f>
        <v>22.561272937910321</v>
      </c>
      <c r="R4" s="2">
        <f>('[1]Qc, Winter, S2'!R4*Main!$B$5)</f>
        <v>23.283302315129699</v>
      </c>
      <c r="S4" s="2">
        <f>('[1]Qc, Winter, S2'!S4*Main!$B$5)</f>
        <v>31.734092463946748</v>
      </c>
      <c r="T4" s="2">
        <f>('[1]Qc, Winter, S2'!T4*Main!$B$5)</f>
        <v>31.688024187036433</v>
      </c>
      <c r="U4" s="2">
        <f>('[1]Qc, Winter, S2'!U4*Main!$B$5)</f>
        <v>30.72105473089718</v>
      </c>
      <c r="V4" s="2">
        <f>('[1]Qc, Winter, S2'!V4*Main!$B$5)</f>
        <v>28.435576792476724</v>
      </c>
      <c r="W4" s="2">
        <f>('[1]Qc, Winter, S2'!W4*Main!$B$5)</f>
        <v>25.28870570560963</v>
      </c>
      <c r="X4" s="2">
        <f>('[1]Qc, Winter, S2'!X4*Main!$B$5)</f>
        <v>20.62605606789343</v>
      </c>
      <c r="Y4" s="2">
        <f>('[1]Qc, Winter, S2'!Y4*Main!$B$5)</f>
        <v>15.824158526854157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-15.060309900897805</v>
      </c>
      <c r="C2" s="2">
        <f>('[1]Qc, Winter, S3'!C2*Main!$B$5)</f>
        <v>-16.368488728238756</v>
      </c>
      <c r="D2" s="2">
        <f>('[1]Qc, Winter, S3'!D2*Main!$B$5)</f>
        <v>-17.631122740101738</v>
      </c>
      <c r="E2" s="2">
        <f>('[1]Qc, Winter, S3'!E2*Main!$B$5)</f>
        <v>-17.502772686318323</v>
      </c>
      <c r="F2" s="2">
        <f>('[1]Qc, Winter, S3'!F2*Main!$B$5)</f>
        <v>-18.116161523107465</v>
      </c>
      <c r="G2" s="2">
        <f>('[1]Qc, Winter, S3'!G2*Main!$B$5)</f>
        <v>-16.126793938625994</v>
      </c>
      <c r="H2" s="2">
        <f>('[1]Qc, Winter, S3'!H2*Main!$B$5)</f>
        <v>-12.009390850641751</v>
      </c>
      <c r="I2" s="2">
        <f>('[1]Qc, Winter, S3'!I2*Main!$B$5)</f>
        <v>-4.943304231485091</v>
      </c>
      <c r="J2" s="2">
        <f>('[1]Qc, Winter, S3'!J2*Main!$B$5)</f>
        <v>-1.4557746664666193</v>
      </c>
      <c r="K2" s="2">
        <f>('[1]Qc, Winter, S3'!K2*Main!$B$5)</f>
        <v>-0.2277317217790614</v>
      </c>
      <c r="L2" s="2">
        <f>('[1]Qc, Winter, S3'!L2*Main!$B$5)</f>
        <v>-2.0444455713561247</v>
      </c>
      <c r="M2" s="2">
        <f>('[1]Qc, Winter, S3'!M2*Main!$B$5)</f>
        <v>-1.5030366828378532</v>
      </c>
      <c r="N2" s="2">
        <f>('[1]Qc, Winter, S3'!N2*Main!$B$5)</f>
        <v>-2.0804073371532343</v>
      </c>
      <c r="O2" s="2">
        <f>('[1]Qc, Winter, S3'!O2*Main!$B$5)</f>
        <v>-2.0986497232212602</v>
      </c>
      <c r="P2" s="2">
        <f>('[1]Qc, Winter, S3'!P2*Main!$B$5)</f>
        <v>-5.3054457740081142</v>
      </c>
      <c r="Q2" s="2">
        <f>('[1]Qc, Winter, S3'!Q2*Main!$B$5)</f>
        <v>-7.6406772097153244</v>
      </c>
      <c r="R2" s="2">
        <f>('[1]Qc, Winter, S3'!R2*Main!$B$5)</f>
        <v>-6.7949869111816081</v>
      </c>
      <c r="S2" s="2">
        <f>('[1]Qc, Winter, S3'!S2*Main!$B$5)</f>
        <v>-2.3194875938541273</v>
      </c>
      <c r="T2" s="2">
        <f>('[1]Qc, Winter, S3'!T2*Main!$B$5)</f>
        <v>-3.3740227247655374</v>
      </c>
      <c r="U2" s="2">
        <f>('[1]Qc, Winter, S3'!U2*Main!$B$5)</f>
        <v>-4.2413078155918553</v>
      </c>
      <c r="V2" s="2">
        <f>('[1]Qc, Winter, S3'!V2*Main!$B$5)</f>
        <v>-6.6623429660304083</v>
      </c>
      <c r="W2" s="2">
        <f>('[1]Qc, Winter, S3'!W2*Main!$B$5)</f>
        <v>-8.6481538384980592</v>
      </c>
      <c r="X2" s="2">
        <f>('[1]Qc, Winter, S3'!X2*Main!$B$5)</f>
        <v>-11.602674614424952</v>
      </c>
      <c r="Y2" s="2">
        <f>('[1]Qc, Winter, S3'!Y2*Main!$B$5)</f>
        <v>-13.059797284893959</v>
      </c>
    </row>
    <row r="3" spans="1:25" x14ac:dyDescent="0.3">
      <c r="A3">
        <v>2</v>
      </c>
      <c r="B3" s="2">
        <f>('[1]Qc, Winter, S3'!B3*Main!$B$5)</f>
        <v>17.062460217246542</v>
      </c>
      <c r="C3" s="2">
        <f>('[1]Qc, Winter, S3'!C3*Main!$B$5)</f>
        <v>21.135521776958708</v>
      </c>
      <c r="D3" s="2">
        <f>('[1]Qc, Winter, S3'!D3*Main!$B$5)</f>
        <v>21.135521776958708</v>
      </c>
      <c r="E3" s="2">
        <f>('[1]Qc, Winter, S3'!E3*Main!$B$5)</f>
        <v>21.135521776958708</v>
      </c>
      <c r="F3" s="2">
        <f>('[1]Qc, Winter, S3'!F3*Main!$B$5)</f>
        <v>21.135521776958708</v>
      </c>
      <c r="G3" s="2">
        <f>('[1]Qc, Winter, S3'!G3*Main!$B$5)</f>
        <v>17.125124978726078</v>
      </c>
      <c r="H3" s="2">
        <f>('[1]Qc, Winter, S3'!H3*Main!$B$5)</f>
        <v>7.7675324847983713</v>
      </c>
      <c r="I3" s="2">
        <f>('[1]Qc, Winter, S3'!I3*Main!$B$5)</f>
        <v>0.99998929831652716</v>
      </c>
      <c r="J3" s="2">
        <f>('[1]Qc, Winter, S3'!J3*Main!$B$5)</f>
        <v>-5.8510979536626158</v>
      </c>
      <c r="K3" s="2">
        <f>('[1]Qc, Winter, S3'!K3*Main!$B$5)</f>
        <v>-5.8510979536626158</v>
      </c>
      <c r="L3" s="2">
        <f>('[1]Qc, Winter, S3'!L3*Main!$B$5)</f>
        <v>-0.5039022226857709</v>
      </c>
      <c r="M3" s="2">
        <f>('[1]Qc, Winter, S3'!M3*Main!$B$5)</f>
        <v>-6.1017569995807541</v>
      </c>
      <c r="N3" s="2">
        <f>('[1]Qc, Winter, S3'!N3*Main!$B$5)</f>
        <v>-6.1017569995807541</v>
      </c>
      <c r="O3" s="2">
        <f>('[1]Qc, Winter, S3'!O3*Main!$B$5)</f>
        <v>-4.7231815591835193</v>
      </c>
      <c r="P3" s="2">
        <f>('[1]Qc, Winter, S3'!P3*Main!$B$5)</f>
        <v>-0.58745523799181742</v>
      </c>
      <c r="Q3" s="2">
        <f>('[1]Qc, Winter, S3'!Q3*Main!$B$5)</f>
        <v>3.548257640845879</v>
      </c>
      <c r="R3" s="2">
        <f>('[1]Qc, Winter, S3'!R3*Main!$B$5)</f>
        <v>4.9268286004584452</v>
      </c>
      <c r="S3" s="2">
        <f>('[1]Qc, Winter, S3'!S3*Main!$B$5)</f>
        <v>4.9268286004584452</v>
      </c>
      <c r="T3" s="2">
        <f>('[1]Qc, Winter, S3'!T3*Main!$B$5)</f>
        <v>4.9268286004584452</v>
      </c>
      <c r="U3" s="2">
        <f>('[1]Qc, Winter, S3'!U3*Main!$B$5)</f>
        <v>4.9268286004584452</v>
      </c>
      <c r="V3" s="2">
        <f>('[1]Qc, Winter, S3'!V3*Main!$B$5)</f>
        <v>4.9268286004584452</v>
      </c>
      <c r="W3" s="2">
        <f>('[1]Qc, Winter, S3'!W3*Main!$B$5)</f>
        <v>10.274024284392929</v>
      </c>
      <c r="X3" s="2">
        <f>('[1]Qc, Winter, S3'!X3*Main!$B$5)</f>
        <v>15.70477303067582</v>
      </c>
      <c r="Y3" s="2">
        <f>('[1]Qc, Winter, S3'!Y3*Main!$B$5)</f>
        <v>15.70477303067582</v>
      </c>
    </row>
    <row r="4" spans="1:25" x14ac:dyDescent="0.3">
      <c r="A4">
        <v>3</v>
      </c>
      <c r="B4" s="2">
        <f>('[1]Qc, Winter, S3'!B4*Main!$B$5)</f>
        <v>11.577707112682479</v>
      </c>
      <c r="C4" s="2">
        <f>('[1]Qc, Winter, S3'!C4*Main!$B$5)</f>
        <v>8.930725225983176</v>
      </c>
      <c r="D4" s="2">
        <f>('[1]Qc, Winter, S3'!D4*Main!$B$5)</f>
        <v>7.6451578301314811</v>
      </c>
      <c r="E4" s="2">
        <f>('[1]Qc, Winter, S3'!E4*Main!$B$5)</f>
        <v>7.4812950115370151</v>
      </c>
      <c r="F4" s="2">
        <f>('[1]Qc, Winter, S3'!F4*Main!$B$5)</f>
        <v>8.5029464211214023</v>
      </c>
      <c r="G4" s="2">
        <f>('[1]Qc, Winter, S3'!G4*Main!$B$5)</f>
        <v>10.557579633490505</v>
      </c>
      <c r="H4" s="2">
        <f>('[1]Qc, Winter, S3'!H4*Main!$B$5)</f>
        <v>16.380171332739</v>
      </c>
      <c r="I4" s="2">
        <f>('[1]Qc, Winter, S3'!I4*Main!$B$5)</f>
        <v>19.997054969103917</v>
      </c>
      <c r="J4" s="2">
        <f>('[1]Qc, Winter, S3'!J4*Main!$B$5)</f>
        <v>23.10376458681748</v>
      </c>
      <c r="K4" s="2">
        <f>('[1]Qc, Winter, S3'!K4*Main!$B$5)</f>
        <v>25.441496193638454</v>
      </c>
      <c r="L4" s="2">
        <f>('[1]Qc, Winter, S3'!L4*Main!$B$5)</f>
        <v>25.65620291280673</v>
      </c>
      <c r="M4" s="2">
        <f>('[1]Qc, Winter, S3'!M4*Main!$B$5)</f>
        <v>25.196166426067524</v>
      </c>
      <c r="N4" s="2">
        <f>('[1]Qc, Winter, S3'!N4*Main!$B$5)</f>
        <v>25.303475592616326</v>
      </c>
      <c r="O4" s="2">
        <f>('[1]Qc, Winter, S3'!O4*Main!$B$5)</f>
        <v>25.045268174314437</v>
      </c>
      <c r="P4" s="2">
        <f>('[1]Qc, Winter, S3'!P4*Main!$B$5)</f>
        <v>22.593722841972681</v>
      </c>
      <c r="Q4" s="2">
        <f>('[1]Qc, Winter, S3'!Q4*Main!$B$5)</f>
        <v>21.46606551373992</v>
      </c>
      <c r="R4" s="2">
        <f>('[1]Qc, Winter, S3'!R4*Main!$B$5)</f>
        <v>22.153044921191366</v>
      </c>
      <c r="S4" s="2">
        <f>('[1]Qc, Winter, S3'!S4*Main!$B$5)</f>
        <v>30.19360253851244</v>
      </c>
      <c r="T4" s="2">
        <f>('[1]Qc, Winter, S3'!T4*Main!$B$5)</f>
        <v>30.149770585723989</v>
      </c>
      <c r="U4" s="2">
        <f>('[1]Qc, Winter, S3'!U4*Main!$B$5)</f>
        <v>29.229741394445856</v>
      </c>
      <c r="V4" s="2">
        <f>('[1]Qc, Winter, S3'!V4*Main!$B$5)</f>
        <v>27.055208987016687</v>
      </c>
      <c r="W4" s="2">
        <f>('[1]Qc, Winter, S3'!W4*Main!$B$5)</f>
        <v>24.061098632521787</v>
      </c>
      <c r="X4" s="2">
        <f>('[1]Qc, Winter, S3'!X4*Main!$B$5)</f>
        <v>19.6247912102287</v>
      </c>
      <c r="Y4" s="2">
        <f>('[1]Qc, Winter, S3'!Y4*Main!$B$5)</f>
        <v>15.055995491569972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-15.060309900897805</v>
      </c>
      <c r="C2" s="2">
        <f>('[1]Qc, Winter, S3'!C2*Main!$B$5)</f>
        <v>-16.368488728238756</v>
      </c>
      <c r="D2" s="2">
        <f>('[1]Qc, Winter, S3'!D2*Main!$B$5)</f>
        <v>-17.631122740101738</v>
      </c>
      <c r="E2" s="2">
        <f>('[1]Qc, Winter, S3'!E2*Main!$B$5)</f>
        <v>-17.502772686318323</v>
      </c>
      <c r="F2" s="2">
        <f>('[1]Qc, Winter, S3'!F2*Main!$B$5)</f>
        <v>-18.116161523107465</v>
      </c>
      <c r="G2" s="2">
        <f>('[1]Qc, Winter, S3'!G2*Main!$B$5)</f>
        <v>-16.126793938625994</v>
      </c>
      <c r="H2" s="2">
        <f>('[1]Qc, Winter, S3'!H2*Main!$B$5)</f>
        <v>-12.009390850641751</v>
      </c>
      <c r="I2" s="2">
        <f>('[1]Qc, Winter, S3'!I2*Main!$B$5)</f>
        <v>-4.943304231485091</v>
      </c>
      <c r="J2" s="2">
        <f>('[1]Qc, Winter, S3'!J2*Main!$B$5)</f>
        <v>-1.4557746664666193</v>
      </c>
      <c r="K2" s="2">
        <f>('[1]Qc, Winter, S3'!K2*Main!$B$5)</f>
        <v>-0.2277317217790614</v>
      </c>
      <c r="L2" s="2">
        <f>('[1]Qc, Winter, S3'!L2*Main!$B$5)</f>
        <v>-2.0444455713561247</v>
      </c>
      <c r="M2" s="2">
        <f>('[1]Qc, Winter, S3'!M2*Main!$B$5)</f>
        <v>-1.5030366828378532</v>
      </c>
      <c r="N2" s="2">
        <f>('[1]Qc, Winter, S3'!N2*Main!$B$5)</f>
        <v>-2.0804073371532343</v>
      </c>
      <c r="O2" s="2">
        <f>('[1]Qc, Winter, S3'!O2*Main!$B$5)</f>
        <v>-2.0986497232212602</v>
      </c>
      <c r="P2" s="2">
        <f>('[1]Qc, Winter, S3'!P2*Main!$B$5)</f>
        <v>-5.3054457740081142</v>
      </c>
      <c r="Q2" s="2">
        <f>('[1]Qc, Winter, S3'!Q2*Main!$B$5)</f>
        <v>-7.6406772097153244</v>
      </c>
      <c r="R2" s="2">
        <f>('[1]Qc, Winter, S3'!R2*Main!$B$5)</f>
        <v>-6.7949869111816081</v>
      </c>
      <c r="S2" s="2">
        <f>('[1]Qc, Winter, S3'!S2*Main!$B$5)</f>
        <v>-2.3194875938541273</v>
      </c>
      <c r="T2" s="2">
        <f>('[1]Qc, Winter, S3'!T2*Main!$B$5)</f>
        <v>-3.3740227247655374</v>
      </c>
      <c r="U2" s="2">
        <f>('[1]Qc, Winter, S3'!U2*Main!$B$5)</f>
        <v>-4.2413078155918553</v>
      </c>
      <c r="V2" s="2">
        <f>('[1]Qc, Winter, S3'!V2*Main!$B$5)</f>
        <v>-6.6623429660304083</v>
      </c>
      <c r="W2" s="2">
        <f>('[1]Qc, Winter, S3'!W2*Main!$B$5)</f>
        <v>-8.6481538384980592</v>
      </c>
      <c r="X2" s="2">
        <f>('[1]Qc, Winter, S3'!X2*Main!$B$5)</f>
        <v>-11.602674614424952</v>
      </c>
      <c r="Y2" s="2">
        <f>('[1]Qc, Winter, S3'!Y2*Main!$B$5)</f>
        <v>-13.059797284893959</v>
      </c>
    </row>
    <row r="3" spans="1:25" x14ac:dyDescent="0.3">
      <c r="A3">
        <v>2</v>
      </c>
      <c r="B3" s="2">
        <f>('[1]Qc, Winter, S3'!B3*Main!$B$5)</f>
        <v>17.062460217246542</v>
      </c>
      <c r="C3" s="2">
        <f>('[1]Qc, Winter, S3'!C3*Main!$B$5)</f>
        <v>21.135521776958708</v>
      </c>
      <c r="D3" s="2">
        <f>('[1]Qc, Winter, S3'!D3*Main!$B$5)</f>
        <v>21.135521776958708</v>
      </c>
      <c r="E3" s="2">
        <f>('[1]Qc, Winter, S3'!E3*Main!$B$5)</f>
        <v>21.135521776958708</v>
      </c>
      <c r="F3" s="2">
        <f>('[1]Qc, Winter, S3'!F3*Main!$B$5)</f>
        <v>21.135521776958708</v>
      </c>
      <c r="G3" s="2">
        <f>('[1]Qc, Winter, S3'!G3*Main!$B$5)</f>
        <v>17.125124978726078</v>
      </c>
      <c r="H3" s="2">
        <f>('[1]Qc, Winter, S3'!H3*Main!$B$5)</f>
        <v>7.7675324847983713</v>
      </c>
      <c r="I3" s="2">
        <f>('[1]Qc, Winter, S3'!I3*Main!$B$5)</f>
        <v>0.99998929831652716</v>
      </c>
      <c r="J3" s="2">
        <f>('[1]Qc, Winter, S3'!J3*Main!$B$5)</f>
        <v>-5.8510979536626158</v>
      </c>
      <c r="K3" s="2">
        <f>('[1]Qc, Winter, S3'!K3*Main!$B$5)</f>
        <v>-5.8510979536626158</v>
      </c>
      <c r="L3" s="2">
        <f>('[1]Qc, Winter, S3'!L3*Main!$B$5)</f>
        <v>-0.5039022226857709</v>
      </c>
      <c r="M3" s="2">
        <f>('[1]Qc, Winter, S3'!M3*Main!$B$5)</f>
        <v>-6.1017569995807541</v>
      </c>
      <c r="N3" s="2">
        <f>('[1]Qc, Winter, S3'!N3*Main!$B$5)</f>
        <v>-6.1017569995807541</v>
      </c>
      <c r="O3" s="2">
        <f>('[1]Qc, Winter, S3'!O3*Main!$B$5)</f>
        <v>-4.7231815591835193</v>
      </c>
      <c r="P3" s="2">
        <f>('[1]Qc, Winter, S3'!P3*Main!$B$5)</f>
        <v>-0.58745523799181742</v>
      </c>
      <c r="Q3" s="2">
        <f>('[1]Qc, Winter, S3'!Q3*Main!$B$5)</f>
        <v>3.548257640845879</v>
      </c>
      <c r="R3" s="2">
        <f>('[1]Qc, Winter, S3'!R3*Main!$B$5)</f>
        <v>4.9268286004584452</v>
      </c>
      <c r="S3" s="2">
        <f>('[1]Qc, Winter, S3'!S3*Main!$B$5)</f>
        <v>4.9268286004584452</v>
      </c>
      <c r="T3" s="2">
        <f>('[1]Qc, Winter, S3'!T3*Main!$B$5)</f>
        <v>4.9268286004584452</v>
      </c>
      <c r="U3" s="2">
        <f>('[1]Qc, Winter, S3'!U3*Main!$B$5)</f>
        <v>4.9268286004584452</v>
      </c>
      <c r="V3" s="2">
        <f>('[1]Qc, Winter, S3'!V3*Main!$B$5)</f>
        <v>4.9268286004584452</v>
      </c>
      <c r="W3" s="2">
        <f>('[1]Qc, Winter, S3'!W3*Main!$B$5)</f>
        <v>10.274024284392929</v>
      </c>
      <c r="X3" s="2">
        <f>('[1]Qc, Winter, S3'!X3*Main!$B$5)</f>
        <v>15.70477303067582</v>
      </c>
      <c r="Y3" s="2">
        <f>('[1]Qc, Winter, S3'!Y3*Main!$B$5)</f>
        <v>15.70477303067582</v>
      </c>
    </row>
    <row r="4" spans="1:25" x14ac:dyDescent="0.3">
      <c r="A4">
        <v>3</v>
      </c>
      <c r="B4" s="2">
        <f>('[1]Qc, Winter, S3'!B4*Main!$B$5)</f>
        <v>11.577707112682479</v>
      </c>
      <c r="C4" s="2">
        <f>('[1]Qc, Winter, S3'!C4*Main!$B$5)</f>
        <v>8.930725225983176</v>
      </c>
      <c r="D4" s="2">
        <f>('[1]Qc, Winter, S3'!D4*Main!$B$5)</f>
        <v>7.6451578301314811</v>
      </c>
      <c r="E4" s="2">
        <f>('[1]Qc, Winter, S3'!E4*Main!$B$5)</f>
        <v>7.4812950115370151</v>
      </c>
      <c r="F4" s="2">
        <f>('[1]Qc, Winter, S3'!F4*Main!$B$5)</f>
        <v>8.5029464211214023</v>
      </c>
      <c r="G4" s="2">
        <f>('[1]Qc, Winter, S3'!G4*Main!$B$5)</f>
        <v>10.557579633490505</v>
      </c>
      <c r="H4" s="2">
        <f>('[1]Qc, Winter, S3'!H4*Main!$B$5)</f>
        <v>16.380171332739</v>
      </c>
      <c r="I4" s="2">
        <f>('[1]Qc, Winter, S3'!I4*Main!$B$5)</f>
        <v>19.997054969103917</v>
      </c>
      <c r="J4" s="2">
        <f>('[1]Qc, Winter, S3'!J4*Main!$B$5)</f>
        <v>23.10376458681748</v>
      </c>
      <c r="K4" s="2">
        <f>('[1]Qc, Winter, S3'!K4*Main!$B$5)</f>
        <v>25.441496193638454</v>
      </c>
      <c r="L4" s="2">
        <f>('[1]Qc, Winter, S3'!L4*Main!$B$5)</f>
        <v>25.65620291280673</v>
      </c>
      <c r="M4" s="2">
        <f>('[1]Qc, Winter, S3'!M4*Main!$B$5)</f>
        <v>25.196166426067524</v>
      </c>
      <c r="N4" s="2">
        <f>('[1]Qc, Winter, S3'!N4*Main!$B$5)</f>
        <v>25.303475592616326</v>
      </c>
      <c r="O4" s="2">
        <f>('[1]Qc, Winter, S3'!O4*Main!$B$5)</f>
        <v>25.045268174314437</v>
      </c>
      <c r="P4" s="2">
        <f>('[1]Qc, Winter, S3'!P4*Main!$B$5)</f>
        <v>22.593722841972681</v>
      </c>
      <c r="Q4" s="2">
        <f>('[1]Qc, Winter, S3'!Q4*Main!$B$5)</f>
        <v>21.46606551373992</v>
      </c>
      <c r="R4" s="2">
        <f>('[1]Qc, Winter, S3'!R4*Main!$B$5)</f>
        <v>22.153044921191366</v>
      </c>
      <c r="S4" s="2">
        <f>('[1]Qc, Winter, S3'!S4*Main!$B$5)</f>
        <v>30.19360253851244</v>
      </c>
      <c r="T4" s="2">
        <f>('[1]Qc, Winter, S3'!T4*Main!$B$5)</f>
        <v>30.149770585723989</v>
      </c>
      <c r="U4" s="2">
        <f>('[1]Qc, Winter, S3'!U4*Main!$B$5)</f>
        <v>29.229741394445856</v>
      </c>
      <c r="V4" s="2">
        <f>('[1]Qc, Winter, S3'!V4*Main!$B$5)</f>
        <v>27.055208987016687</v>
      </c>
      <c r="W4" s="2">
        <f>('[1]Qc, Winter, S3'!W4*Main!$B$5)</f>
        <v>24.061098632521787</v>
      </c>
      <c r="X4" s="2">
        <f>('[1]Qc, Winter, S3'!X4*Main!$B$5)</f>
        <v>19.6247912102287</v>
      </c>
      <c r="Y4" s="2">
        <f>('[1]Qc, Winter, S3'!Y4*Main!$B$5)</f>
        <v>15.055995491569972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-15.060309900897805</v>
      </c>
      <c r="C2" s="2">
        <f>('[1]Qc, Winter, S3'!C2*Main!$B$5)</f>
        <v>-16.368488728238756</v>
      </c>
      <c r="D2" s="2">
        <f>('[1]Qc, Winter, S3'!D2*Main!$B$5)</f>
        <v>-17.631122740101738</v>
      </c>
      <c r="E2" s="2">
        <f>('[1]Qc, Winter, S3'!E2*Main!$B$5)</f>
        <v>-17.502772686318323</v>
      </c>
      <c r="F2" s="2">
        <f>('[1]Qc, Winter, S3'!F2*Main!$B$5)</f>
        <v>-18.116161523107465</v>
      </c>
      <c r="G2" s="2">
        <f>('[1]Qc, Winter, S3'!G2*Main!$B$5)</f>
        <v>-16.126793938625994</v>
      </c>
      <c r="H2" s="2">
        <f>('[1]Qc, Winter, S3'!H2*Main!$B$5)</f>
        <v>-12.009390850641751</v>
      </c>
      <c r="I2" s="2">
        <f>('[1]Qc, Winter, S3'!I2*Main!$B$5)</f>
        <v>-4.943304231485091</v>
      </c>
      <c r="J2" s="2">
        <f>('[1]Qc, Winter, S3'!J2*Main!$B$5)</f>
        <v>-1.4557746664666193</v>
      </c>
      <c r="K2" s="2">
        <f>('[1]Qc, Winter, S3'!K2*Main!$B$5)</f>
        <v>-0.2277317217790614</v>
      </c>
      <c r="L2" s="2">
        <f>('[1]Qc, Winter, S3'!L2*Main!$B$5)</f>
        <v>-2.0444455713561247</v>
      </c>
      <c r="M2" s="2">
        <f>('[1]Qc, Winter, S3'!M2*Main!$B$5)</f>
        <v>-1.5030366828378532</v>
      </c>
      <c r="N2" s="2">
        <f>('[1]Qc, Winter, S3'!N2*Main!$B$5)</f>
        <v>-2.0804073371532343</v>
      </c>
      <c r="O2" s="2">
        <f>('[1]Qc, Winter, S3'!O2*Main!$B$5)</f>
        <v>-2.0986497232212602</v>
      </c>
      <c r="P2" s="2">
        <f>('[1]Qc, Winter, S3'!P2*Main!$B$5)</f>
        <v>-5.3054457740081142</v>
      </c>
      <c r="Q2" s="2">
        <f>('[1]Qc, Winter, S3'!Q2*Main!$B$5)</f>
        <v>-7.6406772097153244</v>
      </c>
      <c r="R2" s="2">
        <f>('[1]Qc, Winter, S3'!R2*Main!$B$5)</f>
        <v>-6.7949869111816081</v>
      </c>
      <c r="S2" s="2">
        <f>('[1]Qc, Winter, S3'!S2*Main!$B$5)</f>
        <v>-2.3194875938541273</v>
      </c>
      <c r="T2" s="2">
        <f>('[1]Qc, Winter, S3'!T2*Main!$B$5)</f>
        <v>-3.3740227247655374</v>
      </c>
      <c r="U2" s="2">
        <f>('[1]Qc, Winter, S3'!U2*Main!$B$5)</f>
        <v>-4.2413078155918553</v>
      </c>
      <c r="V2" s="2">
        <f>('[1]Qc, Winter, S3'!V2*Main!$B$5)</f>
        <v>-6.6623429660304083</v>
      </c>
      <c r="W2" s="2">
        <f>('[1]Qc, Winter, S3'!W2*Main!$B$5)</f>
        <v>-8.6481538384980592</v>
      </c>
      <c r="X2" s="2">
        <f>('[1]Qc, Winter, S3'!X2*Main!$B$5)</f>
        <v>-11.602674614424952</v>
      </c>
      <c r="Y2" s="2">
        <f>('[1]Qc, Winter, S3'!Y2*Main!$B$5)</f>
        <v>-13.059797284893959</v>
      </c>
    </row>
    <row r="3" spans="1:25" x14ac:dyDescent="0.3">
      <c r="A3">
        <v>2</v>
      </c>
      <c r="B3" s="2">
        <f>('[1]Qc, Winter, S3'!B3*Main!$B$5)</f>
        <v>17.062460217246542</v>
      </c>
      <c r="C3" s="2">
        <f>('[1]Qc, Winter, S3'!C3*Main!$B$5)</f>
        <v>21.135521776958708</v>
      </c>
      <c r="D3" s="2">
        <f>('[1]Qc, Winter, S3'!D3*Main!$B$5)</f>
        <v>21.135521776958708</v>
      </c>
      <c r="E3" s="2">
        <f>('[1]Qc, Winter, S3'!E3*Main!$B$5)</f>
        <v>21.135521776958708</v>
      </c>
      <c r="F3" s="2">
        <f>('[1]Qc, Winter, S3'!F3*Main!$B$5)</f>
        <v>21.135521776958708</v>
      </c>
      <c r="G3" s="2">
        <f>('[1]Qc, Winter, S3'!G3*Main!$B$5)</f>
        <v>17.125124978726078</v>
      </c>
      <c r="H3" s="2">
        <f>('[1]Qc, Winter, S3'!H3*Main!$B$5)</f>
        <v>7.7675324847983713</v>
      </c>
      <c r="I3" s="2">
        <f>('[1]Qc, Winter, S3'!I3*Main!$B$5)</f>
        <v>0.99998929831652716</v>
      </c>
      <c r="J3" s="2">
        <f>('[1]Qc, Winter, S3'!J3*Main!$B$5)</f>
        <v>-5.8510979536626158</v>
      </c>
      <c r="K3" s="2">
        <f>('[1]Qc, Winter, S3'!K3*Main!$B$5)</f>
        <v>-5.8510979536626158</v>
      </c>
      <c r="L3" s="2">
        <f>('[1]Qc, Winter, S3'!L3*Main!$B$5)</f>
        <v>-0.5039022226857709</v>
      </c>
      <c r="M3" s="2">
        <f>('[1]Qc, Winter, S3'!M3*Main!$B$5)</f>
        <v>-6.1017569995807541</v>
      </c>
      <c r="N3" s="2">
        <f>('[1]Qc, Winter, S3'!N3*Main!$B$5)</f>
        <v>-6.1017569995807541</v>
      </c>
      <c r="O3" s="2">
        <f>('[1]Qc, Winter, S3'!O3*Main!$B$5)</f>
        <v>-4.7231815591835193</v>
      </c>
      <c r="P3" s="2">
        <f>('[1]Qc, Winter, S3'!P3*Main!$B$5)</f>
        <v>-0.58745523799181742</v>
      </c>
      <c r="Q3" s="2">
        <f>('[1]Qc, Winter, S3'!Q3*Main!$B$5)</f>
        <v>3.548257640845879</v>
      </c>
      <c r="R3" s="2">
        <f>('[1]Qc, Winter, S3'!R3*Main!$B$5)</f>
        <v>4.9268286004584452</v>
      </c>
      <c r="S3" s="2">
        <f>('[1]Qc, Winter, S3'!S3*Main!$B$5)</f>
        <v>4.9268286004584452</v>
      </c>
      <c r="T3" s="2">
        <f>('[1]Qc, Winter, S3'!T3*Main!$B$5)</f>
        <v>4.9268286004584452</v>
      </c>
      <c r="U3" s="2">
        <f>('[1]Qc, Winter, S3'!U3*Main!$B$5)</f>
        <v>4.9268286004584452</v>
      </c>
      <c r="V3" s="2">
        <f>('[1]Qc, Winter, S3'!V3*Main!$B$5)</f>
        <v>4.9268286004584452</v>
      </c>
      <c r="W3" s="2">
        <f>('[1]Qc, Winter, S3'!W3*Main!$B$5)</f>
        <v>10.274024284392929</v>
      </c>
      <c r="X3" s="2">
        <f>('[1]Qc, Winter, S3'!X3*Main!$B$5)</f>
        <v>15.70477303067582</v>
      </c>
      <c r="Y3" s="2">
        <f>('[1]Qc, Winter, S3'!Y3*Main!$B$5)</f>
        <v>15.70477303067582</v>
      </c>
    </row>
    <row r="4" spans="1:25" x14ac:dyDescent="0.3">
      <c r="A4">
        <v>3</v>
      </c>
      <c r="B4" s="2">
        <f>('[1]Qc, Winter, S3'!B4*Main!$B$5)</f>
        <v>11.577707112682479</v>
      </c>
      <c r="C4" s="2">
        <f>('[1]Qc, Winter, S3'!C4*Main!$B$5)</f>
        <v>8.930725225983176</v>
      </c>
      <c r="D4" s="2">
        <f>('[1]Qc, Winter, S3'!D4*Main!$B$5)</f>
        <v>7.6451578301314811</v>
      </c>
      <c r="E4" s="2">
        <f>('[1]Qc, Winter, S3'!E4*Main!$B$5)</f>
        <v>7.4812950115370151</v>
      </c>
      <c r="F4" s="2">
        <f>('[1]Qc, Winter, S3'!F4*Main!$B$5)</f>
        <v>8.5029464211214023</v>
      </c>
      <c r="G4" s="2">
        <f>('[1]Qc, Winter, S3'!G4*Main!$B$5)</f>
        <v>10.557579633490505</v>
      </c>
      <c r="H4" s="2">
        <f>('[1]Qc, Winter, S3'!H4*Main!$B$5)</f>
        <v>16.380171332739</v>
      </c>
      <c r="I4" s="2">
        <f>('[1]Qc, Winter, S3'!I4*Main!$B$5)</f>
        <v>19.997054969103917</v>
      </c>
      <c r="J4" s="2">
        <f>('[1]Qc, Winter, S3'!J4*Main!$B$5)</f>
        <v>23.10376458681748</v>
      </c>
      <c r="K4" s="2">
        <f>('[1]Qc, Winter, S3'!K4*Main!$B$5)</f>
        <v>25.441496193638454</v>
      </c>
      <c r="L4" s="2">
        <f>('[1]Qc, Winter, S3'!L4*Main!$B$5)</f>
        <v>25.65620291280673</v>
      </c>
      <c r="M4" s="2">
        <f>('[1]Qc, Winter, S3'!M4*Main!$B$5)</f>
        <v>25.196166426067524</v>
      </c>
      <c r="N4" s="2">
        <f>('[1]Qc, Winter, S3'!N4*Main!$B$5)</f>
        <v>25.303475592616326</v>
      </c>
      <c r="O4" s="2">
        <f>('[1]Qc, Winter, S3'!O4*Main!$B$5)</f>
        <v>25.045268174314437</v>
      </c>
      <c r="P4" s="2">
        <f>('[1]Qc, Winter, S3'!P4*Main!$B$5)</f>
        <v>22.593722841972681</v>
      </c>
      <c r="Q4" s="2">
        <f>('[1]Qc, Winter, S3'!Q4*Main!$B$5)</f>
        <v>21.46606551373992</v>
      </c>
      <c r="R4" s="2">
        <f>('[1]Qc, Winter, S3'!R4*Main!$B$5)</f>
        <v>22.153044921191366</v>
      </c>
      <c r="S4" s="2">
        <f>('[1]Qc, Winter, S3'!S4*Main!$B$5)</f>
        <v>30.19360253851244</v>
      </c>
      <c r="T4" s="2">
        <f>('[1]Qc, Winter, S3'!T4*Main!$B$5)</f>
        <v>30.149770585723989</v>
      </c>
      <c r="U4" s="2">
        <f>('[1]Qc, Winter, S3'!U4*Main!$B$5)</f>
        <v>29.229741394445856</v>
      </c>
      <c r="V4" s="2">
        <f>('[1]Qc, Winter, S3'!V4*Main!$B$5)</f>
        <v>27.055208987016687</v>
      </c>
      <c r="W4" s="2">
        <f>('[1]Qc, Winter, S3'!W4*Main!$B$5)</f>
        <v>24.061098632521787</v>
      </c>
      <c r="X4" s="2">
        <f>('[1]Qc, Winter, S3'!X4*Main!$B$5)</f>
        <v>19.6247912102287</v>
      </c>
      <c r="Y4" s="2">
        <f>('[1]Qc, Winter, S3'!Y4*Main!$B$5)</f>
        <v>15.055995491569972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3.2344043626809196</v>
      </c>
      <c r="C2" s="2">
        <f>('FL Characterization'!C$4-'FL Characterization'!C$2)*VLOOKUP($A2,'FL Ratio'!$A$2:$B$21,2,FALSE)</f>
        <v>3.5606687359016611</v>
      </c>
      <c r="D2" s="2">
        <f>('FL Characterization'!D$4-'FL Characterization'!D$2)*VLOOKUP($A2,'FL Ratio'!$A$2:$B$21,2,FALSE)</f>
        <v>4.6345485827720134</v>
      </c>
      <c r="E2" s="2">
        <f>('FL Characterization'!E$4-'FL Characterization'!E$2)*VLOOKUP($A2,'FL Ratio'!$A$2:$B$21,2,FALSE)</f>
        <v>5.3133235949431068</v>
      </c>
      <c r="F2" s="2">
        <f>('FL Characterization'!F$4-'FL Characterization'!F$2)*VLOOKUP($A2,'FL Ratio'!$A$2:$B$21,2,FALSE)</f>
        <v>6.2472606819633381</v>
      </c>
      <c r="G2" s="2">
        <f>('FL Characterization'!G$4-'FL Characterization'!G$2)*VLOOKUP($A2,'FL Ratio'!$A$2:$B$21,2,FALSE)</f>
        <v>7.302597945195366</v>
      </c>
      <c r="H2" s="2">
        <f>('FL Characterization'!H$4-'FL Characterization'!H$2)*VLOOKUP($A2,'FL Ratio'!$A$2:$B$21,2,FALSE)</f>
        <v>6.5096113671360332</v>
      </c>
      <c r="I2" s="2">
        <f>('FL Characterization'!I$4-'FL Characterization'!I$2)*VLOOKUP($A2,'FL Ratio'!$A$2:$B$21,2,FALSE)</f>
        <v>9.3062047272453654</v>
      </c>
      <c r="J2" s="2">
        <f>('FL Characterization'!J$4-'FL Characterization'!J$2)*VLOOKUP($A2,'FL Ratio'!$A$2:$B$21,2,FALSE)</f>
        <v>8.5374041278447166</v>
      </c>
      <c r="K2" s="2">
        <f>('FL Characterization'!K$4-'FL Characterization'!K$2)*VLOOKUP($A2,'FL Ratio'!$A$2:$B$21,2,FALSE)</f>
        <v>9.6425018027245208</v>
      </c>
      <c r="L2" s="2">
        <f>('FL Characterization'!L$4-'FL Characterization'!L$2)*VLOOKUP($A2,'FL Ratio'!$A$2:$B$21,2,FALSE)</f>
        <v>9.9099136278757936</v>
      </c>
      <c r="M2" s="2">
        <f>('FL Characterization'!M$4-'FL Characterization'!M$2)*VLOOKUP($A2,'FL Ratio'!$A$2:$B$21,2,FALSE)</f>
        <v>9.1922618944533312</v>
      </c>
      <c r="N2" s="2">
        <f>('FL Characterization'!N$4-'FL Characterization'!N$2)*VLOOKUP($A2,'FL Ratio'!$A$2:$B$21,2,FALSE)</f>
        <v>8.671569126126375</v>
      </c>
      <c r="O2" s="2">
        <f>('FL Characterization'!O$4-'FL Characterization'!O$2)*VLOOKUP($A2,'FL Ratio'!$A$2:$B$21,2,FALSE)</f>
        <v>7.983433244437383</v>
      </c>
      <c r="P2" s="2">
        <f>('FL Characterization'!P$4-'FL Characterization'!P$2)*VLOOKUP($A2,'FL Ratio'!$A$2:$B$21,2,FALSE)</f>
        <v>7.3536124446254449</v>
      </c>
      <c r="Q2" s="2">
        <f>('FL Characterization'!Q$4-'FL Characterization'!Q$2)*VLOOKUP($A2,'FL Ratio'!$A$2:$B$21,2,FALSE)</f>
        <v>6.6181571435792286</v>
      </c>
      <c r="R2" s="2">
        <f>('FL Characterization'!R$4-'FL Characterization'!R$2)*VLOOKUP($A2,'FL Ratio'!$A$2:$B$21,2,FALSE)</f>
        <v>6.5492718932513405</v>
      </c>
      <c r="S2" s="2">
        <f>('FL Characterization'!S$4-'FL Characterization'!S$2)*VLOOKUP($A2,'FL Ratio'!$A$2:$B$21,2,FALSE)</f>
        <v>5.1890569323717637</v>
      </c>
      <c r="T2" s="2">
        <f>('FL Characterization'!T$4-'FL Characterization'!T$2)*VLOOKUP($A2,'FL Ratio'!$A$2:$B$21,2,FALSE)</f>
        <v>4.2933247338623817</v>
      </c>
      <c r="U2" s="2">
        <f>('FL Characterization'!U$4-'FL Characterization'!U$2)*VLOOKUP($A2,'FL Ratio'!$A$2:$B$21,2,FALSE)</f>
        <v>5.0945972490547842</v>
      </c>
      <c r="V2" s="2">
        <f>('FL Characterization'!V$4-'FL Characterization'!V$2)*VLOOKUP($A2,'FL Ratio'!$A$2:$B$21,2,FALSE)</f>
        <v>5.1908932751958492</v>
      </c>
      <c r="W2" s="2">
        <f>('FL Characterization'!W$4-'FL Characterization'!W$2)*VLOOKUP($A2,'FL Ratio'!$A$2:$B$21,2,FALSE)</f>
        <v>5.9321487322352144</v>
      </c>
      <c r="X2" s="2">
        <f>('FL Characterization'!X$4-'FL Characterization'!X$2)*VLOOKUP($A2,'FL Ratio'!$A$2:$B$21,2,FALSE)</f>
        <v>2.8803709028520581</v>
      </c>
      <c r="Y2" s="2">
        <f>('FL Characterization'!Y$4-'FL Characterization'!Y$2)*VLOOKUP($A2,'FL Ratio'!$A$2:$B$21,2,FALSE)</f>
        <v>2.7654875042232989</v>
      </c>
    </row>
    <row r="3" spans="1:25" x14ac:dyDescent="0.3">
      <c r="A3">
        <v>2</v>
      </c>
      <c r="B3" s="2">
        <f>('FL Characterization'!B$4-'FL Characterization'!B$2)*VLOOKUP($A3,'FL Ratio'!$A$2:$B$21,2,FALSE)</f>
        <v>3.2344043626809196</v>
      </c>
      <c r="C3" s="2">
        <f>('FL Characterization'!C$4-'FL Characterization'!C$2)*VLOOKUP($A3,'FL Ratio'!$A$2:$B$21,2,FALSE)</f>
        <v>3.5606687359016611</v>
      </c>
      <c r="D3" s="2">
        <f>('FL Characterization'!D$4-'FL Characterization'!D$2)*VLOOKUP($A3,'FL Ratio'!$A$2:$B$21,2,FALSE)</f>
        <v>4.6345485827720134</v>
      </c>
      <c r="E3" s="2">
        <f>('FL Characterization'!E$4-'FL Characterization'!E$2)*VLOOKUP($A3,'FL Ratio'!$A$2:$B$21,2,FALSE)</f>
        <v>5.3133235949431068</v>
      </c>
      <c r="F3" s="2">
        <f>('FL Characterization'!F$4-'FL Characterization'!F$2)*VLOOKUP($A3,'FL Ratio'!$A$2:$B$21,2,FALSE)</f>
        <v>6.2472606819633381</v>
      </c>
      <c r="G3" s="2">
        <f>('FL Characterization'!G$4-'FL Characterization'!G$2)*VLOOKUP($A3,'FL Ratio'!$A$2:$B$21,2,FALSE)</f>
        <v>7.302597945195366</v>
      </c>
      <c r="H3" s="2">
        <f>('FL Characterization'!H$4-'FL Characterization'!H$2)*VLOOKUP($A3,'FL Ratio'!$A$2:$B$21,2,FALSE)</f>
        <v>6.5096113671360332</v>
      </c>
      <c r="I3" s="2">
        <f>('FL Characterization'!I$4-'FL Characterization'!I$2)*VLOOKUP($A3,'FL Ratio'!$A$2:$B$21,2,FALSE)</f>
        <v>9.3062047272453654</v>
      </c>
      <c r="J3" s="2">
        <f>('FL Characterization'!J$4-'FL Characterization'!J$2)*VLOOKUP($A3,'FL Ratio'!$A$2:$B$21,2,FALSE)</f>
        <v>8.5374041278447166</v>
      </c>
      <c r="K3" s="2">
        <f>('FL Characterization'!K$4-'FL Characterization'!K$2)*VLOOKUP($A3,'FL Ratio'!$A$2:$B$21,2,FALSE)</f>
        <v>9.6425018027245208</v>
      </c>
      <c r="L3" s="2">
        <f>('FL Characterization'!L$4-'FL Characterization'!L$2)*VLOOKUP($A3,'FL Ratio'!$A$2:$B$21,2,FALSE)</f>
        <v>9.9099136278757936</v>
      </c>
      <c r="M3" s="2">
        <f>('FL Characterization'!M$4-'FL Characterization'!M$2)*VLOOKUP($A3,'FL Ratio'!$A$2:$B$21,2,FALSE)</f>
        <v>9.1922618944533312</v>
      </c>
      <c r="N3" s="2">
        <f>('FL Characterization'!N$4-'FL Characterization'!N$2)*VLOOKUP($A3,'FL Ratio'!$A$2:$B$21,2,FALSE)</f>
        <v>8.671569126126375</v>
      </c>
      <c r="O3" s="2">
        <f>('FL Characterization'!O$4-'FL Characterization'!O$2)*VLOOKUP($A3,'FL Ratio'!$A$2:$B$21,2,FALSE)</f>
        <v>7.983433244437383</v>
      </c>
      <c r="P3" s="2">
        <f>('FL Characterization'!P$4-'FL Characterization'!P$2)*VLOOKUP($A3,'FL Ratio'!$A$2:$B$21,2,FALSE)</f>
        <v>7.3536124446254449</v>
      </c>
      <c r="Q3" s="2">
        <f>('FL Characterization'!Q$4-'FL Characterization'!Q$2)*VLOOKUP($A3,'FL Ratio'!$A$2:$B$21,2,FALSE)</f>
        <v>6.6181571435792286</v>
      </c>
      <c r="R3" s="2">
        <f>('FL Characterization'!R$4-'FL Characterization'!R$2)*VLOOKUP($A3,'FL Ratio'!$A$2:$B$21,2,FALSE)</f>
        <v>6.5492718932513405</v>
      </c>
      <c r="S3" s="2">
        <f>('FL Characterization'!S$4-'FL Characterization'!S$2)*VLOOKUP($A3,'FL Ratio'!$A$2:$B$21,2,FALSE)</f>
        <v>5.1890569323717637</v>
      </c>
      <c r="T3" s="2">
        <f>('FL Characterization'!T$4-'FL Characterization'!T$2)*VLOOKUP($A3,'FL Ratio'!$A$2:$B$21,2,FALSE)</f>
        <v>4.2933247338623817</v>
      </c>
      <c r="U3" s="2">
        <f>('FL Characterization'!U$4-'FL Characterization'!U$2)*VLOOKUP($A3,'FL Ratio'!$A$2:$B$21,2,FALSE)</f>
        <v>5.0945972490547842</v>
      </c>
      <c r="V3" s="2">
        <f>('FL Characterization'!V$4-'FL Characterization'!V$2)*VLOOKUP($A3,'FL Ratio'!$A$2:$B$21,2,FALSE)</f>
        <v>5.1908932751958492</v>
      </c>
      <c r="W3" s="2">
        <f>('FL Characterization'!W$4-'FL Characterization'!W$2)*VLOOKUP($A3,'FL Ratio'!$A$2:$B$21,2,FALSE)</f>
        <v>5.9321487322352144</v>
      </c>
      <c r="X3" s="2">
        <f>('FL Characterization'!X$4-'FL Characterization'!X$2)*VLOOKUP($A3,'FL Ratio'!$A$2:$B$21,2,FALSE)</f>
        <v>2.8803709028520581</v>
      </c>
      <c r="Y3" s="2">
        <f>('FL Characterization'!Y$4-'FL Characterization'!Y$2)*VLOOKUP($A3,'FL Ratio'!$A$2:$B$21,2,FALSE)</f>
        <v>2.7654875042232989</v>
      </c>
    </row>
    <row r="4" spans="1:25" x14ac:dyDescent="0.3">
      <c r="A4">
        <v>3</v>
      </c>
      <c r="B4" s="2">
        <f>('FL Characterization'!B$4-'FL Characterization'!B$2)*VLOOKUP($A4,'FL Ratio'!$A$2:$B$21,2,FALSE)</f>
        <v>3.2344043626809196</v>
      </c>
      <c r="C4" s="2">
        <f>('FL Characterization'!C$4-'FL Characterization'!C$2)*VLOOKUP($A4,'FL Ratio'!$A$2:$B$21,2,FALSE)</f>
        <v>3.5606687359016611</v>
      </c>
      <c r="D4" s="2">
        <f>('FL Characterization'!D$4-'FL Characterization'!D$2)*VLOOKUP($A4,'FL Ratio'!$A$2:$B$21,2,FALSE)</f>
        <v>4.6345485827720134</v>
      </c>
      <c r="E4" s="2">
        <f>('FL Characterization'!E$4-'FL Characterization'!E$2)*VLOOKUP($A4,'FL Ratio'!$A$2:$B$21,2,FALSE)</f>
        <v>5.3133235949431068</v>
      </c>
      <c r="F4" s="2">
        <f>('FL Characterization'!F$4-'FL Characterization'!F$2)*VLOOKUP($A4,'FL Ratio'!$A$2:$B$21,2,FALSE)</f>
        <v>6.2472606819633381</v>
      </c>
      <c r="G4" s="2">
        <f>('FL Characterization'!G$4-'FL Characterization'!G$2)*VLOOKUP($A4,'FL Ratio'!$A$2:$B$21,2,FALSE)</f>
        <v>7.302597945195366</v>
      </c>
      <c r="H4" s="2">
        <f>('FL Characterization'!H$4-'FL Characterization'!H$2)*VLOOKUP($A4,'FL Ratio'!$A$2:$B$21,2,FALSE)</f>
        <v>6.5096113671360332</v>
      </c>
      <c r="I4" s="2">
        <f>('FL Characterization'!I$4-'FL Characterization'!I$2)*VLOOKUP($A4,'FL Ratio'!$A$2:$B$21,2,FALSE)</f>
        <v>9.3062047272453654</v>
      </c>
      <c r="J4" s="2">
        <f>('FL Characterization'!J$4-'FL Characterization'!J$2)*VLOOKUP($A4,'FL Ratio'!$A$2:$B$21,2,FALSE)</f>
        <v>8.5374041278447166</v>
      </c>
      <c r="K4" s="2">
        <f>('FL Characterization'!K$4-'FL Characterization'!K$2)*VLOOKUP($A4,'FL Ratio'!$A$2:$B$21,2,FALSE)</f>
        <v>9.6425018027245208</v>
      </c>
      <c r="L4" s="2">
        <f>('FL Characterization'!L$4-'FL Characterization'!L$2)*VLOOKUP($A4,'FL Ratio'!$A$2:$B$21,2,FALSE)</f>
        <v>9.9099136278757936</v>
      </c>
      <c r="M4" s="2">
        <f>('FL Characterization'!M$4-'FL Characterization'!M$2)*VLOOKUP($A4,'FL Ratio'!$A$2:$B$21,2,FALSE)</f>
        <v>9.1922618944533312</v>
      </c>
      <c r="N4" s="2">
        <f>('FL Characterization'!N$4-'FL Characterization'!N$2)*VLOOKUP($A4,'FL Ratio'!$A$2:$B$21,2,FALSE)</f>
        <v>8.671569126126375</v>
      </c>
      <c r="O4" s="2">
        <f>('FL Characterization'!O$4-'FL Characterization'!O$2)*VLOOKUP($A4,'FL Ratio'!$A$2:$B$21,2,FALSE)</f>
        <v>7.983433244437383</v>
      </c>
      <c r="P4" s="2">
        <f>('FL Characterization'!P$4-'FL Characterization'!P$2)*VLOOKUP($A4,'FL Ratio'!$A$2:$B$21,2,FALSE)</f>
        <v>7.3536124446254449</v>
      </c>
      <c r="Q4" s="2">
        <f>('FL Characterization'!Q$4-'FL Characterization'!Q$2)*VLOOKUP($A4,'FL Ratio'!$A$2:$B$21,2,FALSE)</f>
        <v>6.6181571435792286</v>
      </c>
      <c r="R4" s="2">
        <f>('FL Characterization'!R$4-'FL Characterization'!R$2)*VLOOKUP($A4,'FL Ratio'!$A$2:$B$21,2,FALSE)</f>
        <v>6.5492718932513405</v>
      </c>
      <c r="S4" s="2">
        <f>('FL Characterization'!S$4-'FL Characterization'!S$2)*VLOOKUP($A4,'FL Ratio'!$A$2:$B$21,2,FALSE)</f>
        <v>5.1890569323717637</v>
      </c>
      <c r="T4" s="2">
        <f>('FL Characterization'!T$4-'FL Characterization'!T$2)*VLOOKUP($A4,'FL Ratio'!$A$2:$B$21,2,FALSE)</f>
        <v>4.2933247338623817</v>
      </c>
      <c r="U4" s="2">
        <f>('FL Characterization'!U$4-'FL Characterization'!U$2)*VLOOKUP($A4,'FL Ratio'!$A$2:$B$21,2,FALSE)</f>
        <v>5.0945972490547842</v>
      </c>
      <c r="V4" s="2">
        <f>('FL Characterization'!V$4-'FL Characterization'!V$2)*VLOOKUP($A4,'FL Ratio'!$A$2:$B$21,2,FALSE)</f>
        <v>5.1908932751958492</v>
      </c>
      <c r="W4" s="2">
        <f>('FL Characterization'!W$4-'FL Characterization'!W$2)*VLOOKUP($A4,'FL Ratio'!$A$2:$B$21,2,FALSE)</f>
        <v>5.9321487322352144</v>
      </c>
      <c r="X4" s="2">
        <f>('FL Characterization'!X$4-'FL Characterization'!X$2)*VLOOKUP($A4,'FL Ratio'!$A$2:$B$21,2,FALSE)</f>
        <v>2.8803709028520581</v>
      </c>
      <c r="Y4" s="2">
        <f>('FL Characterization'!Y$4-'FL Characterization'!Y$2)*VLOOKUP($A4,'FL Ratio'!$A$2:$B$21,2,FALSE)</f>
        <v>2.7654875042232989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8.9669515877079213</v>
      </c>
      <c r="C2" s="2">
        <f>('FL Characterization'!C$2-'FL Characterization'!C$3)*VLOOKUP($A2,'FL Ratio'!$A$2:$B$21,2,FALSE)</f>
        <v>9.4896374598317514</v>
      </c>
      <c r="D2" s="2">
        <f>('FL Characterization'!D$2-'FL Characterization'!D$3)*VLOOKUP($A2,'FL Ratio'!$A$2:$B$21,2,FALSE)</f>
        <v>10.020833213335489</v>
      </c>
      <c r="E2" s="2">
        <f>('FL Characterization'!E$2-'FL Characterization'!E$3)*VLOOKUP($A2,'FL Ratio'!$A$2:$B$21,2,FALSE)</f>
        <v>10.476335811407413</v>
      </c>
      <c r="F2" s="2">
        <f>('FL Characterization'!F$2-'FL Characterization'!F$3)*VLOOKUP($A2,'FL Ratio'!$A$2:$B$21,2,FALSE)</f>
        <v>10.595250206479289</v>
      </c>
      <c r="G2" s="2">
        <f>('FL Characterization'!G$2-'FL Characterization'!G$3)*VLOOKUP($A2,'FL Ratio'!$A$2:$B$21,2,FALSE)</f>
        <v>11.083224720342965</v>
      </c>
      <c r="H2" s="2">
        <f>('FL Characterization'!H$2-'FL Characterization'!H$3)*VLOOKUP($A2,'FL Ratio'!$A$2:$B$21,2,FALSE)</f>
        <v>11.026566825892527</v>
      </c>
      <c r="I2" s="2">
        <f>('FL Characterization'!I$2-'FL Characterization'!I$3)*VLOOKUP($A2,'FL Ratio'!$A$2:$B$21,2,FALSE)</f>
        <v>10.422678769864625</v>
      </c>
      <c r="J2" s="2">
        <f>('FL Characterization'!J$2-'FL Characterization'!J$3)*VLOOKUP($A2,'FL Ratio'!$A$2:$B$21,2,FALSE)</f>
        <v>9.4433705784346724</v>
      </c>
      <c r="K2" s="2">
        <f>('FL Characterization'!K$2-'FL Characterization'!K$3)*VLOOKUP($A2,'FL Ratio'!$A$2:$B$21,2,FALSE)</f>
        <v>13.867321991478644</v>
      </c>
      <c r="L2" s="2">
        <f>('FL Characterization'!L$2-'FL Characterization'!L$3)*VLOOKUP($A2,'FL Ratio'!$A$2:$B$21,2,FALSE)</f>
        <v>13.541998184094632</v>
      </c>
      <c r="M2" s="2">
        <f>('FL Characterization'!M$2-'FL Characterization'!M$3)*VLOOKUP($A2,'FL Ratio'!$A$2:$B$21,2,FALSE)</f>
        <v>12.469753130226206</v>
      </c>
      <c r="N2" s="2">
        <f>('FL Characterization'!N$2-'FL Characterization'!N$3)*VLOOKUP($A2,'FL Ratio'!$A$2:$B$21,2,FALSE)</f>
        <v>12.166756564252111</v>
      </c>
      <c r="O2" s="2">
        <f>('FL Characterization'!O$2-'FL Characterization'!O$3)*VLOOKUP($A2,'FL Ratio'!$A$2:$B$21,2,FALSE)</f>
        <v>12.216763314571413</v>
      </c>
      <c r="P2" s="2">
        <f>('FL Characterization'!P$2-'FL Characterization'!P$3)*VLOOKUP($A2,'FL Ratio'!$A$2:$B$21,2,FALSE)</f>
        <v>11.637979408614239</v>
      </c>
      <c r="Q2" s="2">
        <f>('FL Characterization'!Q$2-'FL Characterization'!Q$3)*VLOOKUP($A2,'FL Ratio'!$A$2:$B$21,2,FALSE)</f>
        <v>10.667942509003449</v>
      </c>
      <c r="R2" s="2">
        <f>('FL Characterization'!R$2-'FL Characterization'!R$3)*VLOOKUP($A2,'FL Ratio'!$A$2:$B$21,2,FALSE)</f>
        <v>9.5875906733994327</v>
      </c>
      <c r="S2" s="2">
        <f>('FL Characterization'!S$2-'FL Characterization'!S$3)*VLOOKUP($A2,'FL Ratio'!$A$2:$B$21,2,FALSE)</f>
        <v>9.2436570991030393</v>
      </c>
      <c r="T2" s="2">
        <f>('FL Characterization'!T$2-'FL Characterization'!T$3)*VLOOKUP($A2,'FL Ratio'!$A$2:$B$21,2,FALSE)</f>
        <v>5.8105246117765796</v>
      </c>
      <c r="U2" s="2">
        <f>('FL Characterization'!U$2-'FL Characterization'!U$3)*VLOOKUP($A2,'FL Ratio'!$A$2:$B$21,2,FALSE)</f>
        <v>6.2138258059101732</v>
      </c>
      <c r="V2" s="2">
        <f>('FL Characterization'!V$2-'FL Characterization'!V$3)*VLOOKUP($A2,'FL Ratio'!$A$2:$B$21,2,FALSE)</f>
        <v>6.7937070386768585</v>
      </c>
      <c r="W2" s="2">
        <f>('FL Characterization'!W$2-'FL Characterization'!W$3)*VLOOKUP($A2,'FL Ratio'!$A$2:$B$21,2,FALSE)</f>
        <v>6.9558202789641088</v>
      </c>
      <c r="X2" s="2">
        <f>('FL Characterization'!X$2-'FL Characterization'!X$3)*VLOOKUP($A2,'FL Ratio'!$A$2:$B$21,2,FALSE)</f>
        <v>7.2544499321248326</v>
      </c>
      <c r="Y2" s="2">
        <f>('FL Characterization'!Y$2-'FL Characterization'!Y$3)*VLOOKUP($A2,'FL Ratio'!$A$2:$B$21,2,FALSE)</f>
        <v>8.0075744342467008</v>
      </c>
    </row>
    <row r="3" spans="1:25" x14ac:dyDescent="0.3">
      <c r="A3">
        <v>2</v>
      </c>
      <c r="B3" s="2">
        <f>('FL Characterization'!B$2-'FL Characterization'!B$3)*VLOOKUP($A3,'FL Ratio'!$A$2:$B$21,2,FALSE)</f>
        <v>8.9669515877079213</v>
      </c>
      <c r="C3" s="2">
        <f>('FL Characterization'!C$2-'FL Characterization'!C$3)*VLOOKUP($A3,'FL Ratio'!$A$2:$B$21,2,FALSE)</f>
        <v>9.4896374598317514</v>
      </c>
      <c r="D3" s="2">
        <f>('FL Characterization'!D$2-'FL Characterization'!D$3)*VLOOKUP($A3,'FL Ratio'!$A$2:$B$21,2,FALSE)</f>
        <v>10.020833213335489</v>
      </c>
      <c r="E3" s="2">
        <f>('FL Characterization'!E$2-'FL Characterization'!E$3)*VLOOKUP($A3,'FL Ratio'!$A$2:$B$21,2,FALSE)</f>
        <v>10.476335811407413</v>
      </c>
      <c r="F3" s="2">
        <f>('FL Characterization'!F$2-'FL Characterization'!F$3)*VLOOKUP($A3,'FL Ratio'!$A$2:$B$21,2,FALSE)</f>
        <v>10.595250206479289</v>
      </c>
      <c r="G3" s="2">
        <f>('FL Characterization'!G$2-'FL Characterization'!G$3)*VLOOKUP($A3,'FL Ratio'!$A$2:$B$21,2,FALSE)</f>
        <v>11.083224720342965</v>
      </c>
      <c r="H3" s="2">
        <f>('FL Characterization'!H$2-'FL Characterization'!H$3)*VLOOKUP($A3,'FL Ratio'!$A$2:$B$21,2,FALSE)</f>
        <v>11.026566825892527</v>
      </c>
      <c r="I3" s="2">
        <f>('FL Characterization'!I$2-'FL Characterization'!I$3)*VLOOKUP($A3,'FL Ratio'!$A$2:$B$21,2,FALSE)</f>
        <v>10.422678769864625</v>
      </c>
      <c r="J3" s="2">
        <f>('FL Characterization'!J$2-'FL Characterization'!J$3)*VLOOKUP($A3,'FL Ratio'!$A$2:$B$21,2,FALSE)</f>
        <v>9.4433705784346724</v>
      </c>
      <c r="K3" s="2">
        <f>('FL Characterization'!K$2-'FL Characterization'!K$3)*VLOOKUP($A3,'FL Ratio'!$A$2:$B$21,2,FALSE)</f>
        <v>13.867321991478644</v>
      </c>
      <c r="L3" s="2">
        <f>('FL Characterization'!L$2-'FL Characterization'!L$3)*VLOOKUP($A3,'FL Ratio'!$A$2:$B$21,2,FALSE)</f>
        <v>13.541998184094632</v>
      </c>
      <c r="M3" s="2">
        <f>('FL Characterization'!M$2-'FL Characterization'!M$3)*VLOOKUP($A3,'FL Ratio'!$A$2:$B$21,2,FALSE)</f>
        <v>12.469753130226206</v>
      </c>
      <c r="N3" s="2">
        <f>('FL Characterization'!N$2-'FL Characterization'!N$3)*VLOOKUP($A3,'FL Ratio'!$A$2:$B$21,2,FALSE)</f>
        <v>12.166756564252111</v>
      </c>
      <c r="O3" s="2">
        <f>('FL Characterization'!O$2-'FL Characterization'!O$3)*VLOOKUP($A3,'FL Ratio'!$A$2:$B$21,2,FALSE)</f>
        <v>12.216763314571413</v>
      </c>
      <c r="P3" s="2">
        <f>('FL Characterization'!P$2-'FL Characterization'!P$3)*VLOOKUP($A3,'FL Ratio'!$A$2:$B$21,2,FALSE)</f>
        <v>11.637979408614239</v>
      </c>
      <c r="Q3" s="2">
        <f>('FL Characterization'!Q$2-'FL Characterization'!Q$3)*VLOOKUP($A3,'FL Ratio'!$A$2:$B$21,2,FALSE)</f>
        <v>10.667942509003449</v>
      </c>
      <c r="R3" s="2">
        <f>('FL Characterization'!R$2-'FL Characterization'!R$3)*VLOOKUP($A3,'FL Ratio'!$A$2:$B$21,2,FALSE)</f>
        <v>9.5875906733994327</v>
      </c>
      <c r="S3" s="2">
        <f>('FL Characterization'!S$2-'FL Characterization'!S$3)*VLOOKUP($A3,'FL Ratio'!$A$2:$B$21,2,FALSE)</f>
        <v>9.2436570991030393</v>
      </c>
      <c r="T3" s="2">
        <f>('FL Characterization'!T$2-'FL Characterization'!T$3)*VLOOKUP($A3,'FL Ratio'!$A$2:$B$21,2,FALSE)</f>
        <v>5.8105246117765796</v>
      </c>
      <c r="U3" s="2">
        <f>('FL Characterization'!U$2-'FL Characterization'!U$3)*VLOOKUP($A3,'FL Ratio'!$A$2:$B$21,2,FALSE)</f>
        <v>6.2138258059101732</v>
      </c>
      <c r="V3" s="2">
        <f>('FL Characterization'!V$2-'FL Characterization'!V$3)*VLOOKUP($A3,'FL Ratio'!$A$2:$B$21,2,FALSE)</f>
        <v>6.7937070386768585</v>
      </c>
      <c r="W3" s="2">
        <f>('FL Characterization'!W$2-'FL Characterization'!W$3)*VLOOKUP($A3,'FL Ratio'!$A$2:$B$21,2,FALSE)</f>
        <v>6.9558202789641088</v>
      </c>
      <c r="X3" s="2">
        <f>('FL Characterization'!X$2-'FL Characterization'!X$3)*VLOOKUP($A3,'FL Ratio'!$A$2:$B$21,2,FALSE)</f>
        <v>7.2544499321248326</v>
      </c>
      <c r="Y3" s="2">
        <f>('FL Characterization'!Y$2-'FL Characterization'!Y$3)*VLOOKUP($A3,'FL Ratio'!$A$2:$B$21,2,FALSE)</f>
        <v>8.0075744342467008</v>
      </c>
    </row>
    <row r="4" spans="1:25" x14ac:dyDescent="0.3">
      <c r="A4">
        <v>3</v>
      </c>
      <c r="B4" s="2">
        <f>('FL Characterization'!B$2-'FL Characterization'!B$3)*VLOOKUP($A4,'FL Ratio'!$A$2:$B$21,2,FALSE)</f>
        <v>8.9669515877079213</v>
      </c>
      <c r="C4" s="2">
        <f>('FL Characterization'!C$2-'FL Characterization'!C$3)*VLOOKUP($A4,'FL Ratio'!$A$2:$B$21,2,FALSE)</f>
        <v>9.4896374598317514</v>
      </c>
      <c r="D4" s="2">
        <f>('FL Characterization'!D$2-'FL Characterization'!D$3)*VLOOKUP($A4,'FL Ratio'!$A$2:$B$21,2,FALSE)</f>
        <v>10.020833213335489</v>
      </c>
      <c r="E4" s="2">
        <f>('FL Characterization'!E$2-'FL Characterization'!E$3)*VLOOKUP($A4,'FL Ratio'!$A$2:$B$21,2,FALSE)</f>
        <v>10.476335811407413</v>
      </c>
      <c r="F4" s="2">
        <f>('FL Characterization'!F$2-'FL Characterization'!F$3)*VLOOKUP($A4,'FL Ratio'!$A$2:$B$21,2,FALSE)</f>
        <v>10.595250206479289</v>
      </c>
      <c r="G4" s="2">
        <f>('FL Characterization'!G$2-'FL Characterization'!G$3)*VLOOKUP($A4,'FL Ratio'!$A$2:$B$21,2,FALSE)</f>
        <v>11.083224720342965</v>
      </c>
      <c r="H4" s="2">
        <f>('FL Characterization'!H$2-'FL Characterization'!H$3)*VLOOKUP($A4,'FL Ratio'!$A$2:$B$21,2,FALSE)</f>
        <v>11.026566825892527</v>
      </c>
      <c r="I4" s="2">
        <f>('FL Characterization'!I$2-'FL Characterization'!I$3)*VLOOKUP($A4,'FL Ratio'!$A$2:$B$21,2,FALSE)</f>
        <v>10.422678769864625</v>
      </c>
      <c r="J4" s="2">
        <f>('FL Characterization'!J$2-'FL Characterization'!J$3)*VLOOKUP($A4,'FL Ratio'!$A$2:$B$21,2,FALSE)</f>
        <v>9.4433705784346724</v>
      </c>
      <c r="K4" s="2">
        <f>('FL Characterization'!K$2-'FL Characterization'!K$3)*VLOOKUP($A4,'FL Ratio'!$A$2:$B$21,2,FALSE)</f>
        <v>13.867321991478644</v>
      </c>
      <c r="L4" s="2">
        <f>('FL Characterization'!L$2-'FL Characterization'!L$3)*VLOOKUP($A4,'FL Ratio'!$A$2:$B$21,2,FALSE)</f>
        <v>13.541998184094632</v>
      </c>
      <c r="M4" s="2">
        <f>('FL Characterization'!M$2-'FL Characterization'!M$3)*VLOOKUP($A4,'FL Ratio'!$A$2:$B$21,2,FALSE)</f>
        <v>12.469753130226206</v>
      </c>
      <c r="N4" s="2">
        <f>('FL Characterization'!N$2-'FL Characterization'!N$3)*VLOOKUP($A4,'FL Ratio'!$A$2:$B$21,2,FALSE)</f>
        <v>12.166756564252111</v>
      </c>
      <c r="O4" s="2">
        <f>('FL Characterization'!O$2-'FL Characterization'!O$3)*VLOOKUP($A4,'FL Ratio'!$A$2:$B$21,2,FALSE)</f>
        <v>12.216763314571413</v>
      </c>
      <c r="P4" s="2">
        <f>('FL Characterization'!P$2-'FL Characterization'!P$3)*VLOOKUP($A4,'FL Ratio'!$A$2:$B$21,2,FALSE)</f>
        <v>11.637979408614239</v>
      </c>
      <c r="Q4" s="2">
        <f>('FL Characterization'!Q$2-'FL Characterization'!Q$3)*VLOOKUP($A4,'FL Ratio'!$A$2:$B$21,2,FALSE)</f>
        <v>10.667942509003449</v>
      </c>
      <c r="R4" s="2">
        <f>('FL Characterization'!R$2-'FL Characterization'!R$3)*VLOOKUP($A4,'FL Ratio'!$A$2:$B$21,2,FALSE)</f>
        <v>9.5875906733994327</v>
      </c>
      <c r="S4" s="2">
        <f>('FL Characterization'!S$2-'FL Characterization'!S$3)*VLOOKUP($A4,'FL Ratio'!$A$2:$B$21,2,FALSE)</f>
        <v>9.2436570991030393</v>
      </c>
      <c r="T4" s="2">
        <f>('FL Characterization'!T$2-'FL Characterization'!T$3)*VLOOKUP($A4,'FL Ratio'!$A$2:$B$21,2,FALSE)</f>
        <v>5.8105246117765796</v>
      </c>
      <c r="U4" s="2">
        <f>('FL Characterization'!U$2-'FL Characterization'!U$3)*VLOOKUP($A4,'FL Ratio'!$A$2:$B$21,2,FALSE)</f>
        <v>6.2138258059101732</v>
      </c>
      <c r="V4" s="2">
        <f>('FL Characterization'!V$2-'FL Characterization'!V$3)*VLOOKUP($A4,'FL Ratio'!$A$2:$B$21,2,FALSE)</f>
        <v>6.7937070386768585</v>
      </c>
      <c r="W4" s="2">
        <f>('FL Characterization'!W$2-'FL Characterization'!W$3)*VLOOKUP($A4,'FL Ratio'!$A$2:$B$21,2,FALSE)</f>
        <v>6.9558202789641088</v>
      </c>
      <c r="X4" s="2">
        <f>('FL Characterization'!X$2-'FL Characterization'!X$3)*VLOOKUP($A4,'FL Ratio'!$A$2:$B$21,2,FALSE)</f>
        <v>7.2544499321248326</v>
      </c>
      <c r="Y4" s="2">
        <f>('FL Characterization'!Y$2-'FL Characterization'!Y$3)*VLOOKUP($A4,'FL Ratio'!$A$2:$B$21,2,FALSE)</f>
        <v>8.0075744342467008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24.396828582898433</v>
      </c>
      <c r="C5" s="9">
        <f>VLOOKUP($A5,'RES installed'!$A$2:$C$7,3,FALSE)*'[1]Profiles, RES, Winter'!C$5</f>
        <v>26.248494580489762</v>
      </c>
      <c r="D5" s="9">
        <f>VLOOKUP($A5,'RES installed'!$A$2:$C$7,3,FALSE)*'[1]Profiles, RES, Winter'!D$5</f>
        <v>26.113006824568448</v>
      </c>
      <c r="E5" s="9">
        <f>VLOOKUP($A5,'RES installed'!$A$2:$C$7,3,FALSE)*'[1]Profiles, RES, Winter'!E$5</f>
        <v>26.167201926936976</v>
      </c>
      <c r="F5" s="9">
        <f>VLOOKUP($A5,'RES installed'!$A$2:$C$7,3,FALSE)*'[1]Profiles, RES, Winter'!F$5</f>
        <v>27.088518667201928</v>
      </c>
      <c r="G5" s="9">
        <f>VLOOKUP($A5,'RES installed'!$A$2:$C$7,3,FALSE)*'[1]Profiles, RES, Winter'!G$5</f>
        <v>28.596949016459256</v>
      </c>
      <c r="H5" s="9">
        <f>VLOOKUP($A5,'RES installed'!$A$2:$C$7,3,FALSE)*'[1]Profiles, RES, Winter'!H$5</f>
        <v>30.466680048173423</v>
      </c>
      <c r="I5" s="9">
        <f>VLOOKUP($A5,'RES installed'!$A$2:$C$7,3,FALSE)*'[1]Profiles, RES, Winter'!I$5</f>
        <v>30.520875150541951</v>
      </c>
      <c r="J5" s="9">
        <f>VLOOKUP($A5,'RES installed'!$A$2:$C$7,3,FALSE)*'[1]Profiles, RES, Winter'!J$5</f>
        <v>30.249899638699318</v>
      </c>
      <c r="K5" s="9">
        <f>VLOOKUP($A5,'RES installed'!$A$2:$C$7,3,FALSE)*'[1]Profiles, RES, Winter'!K$5</f>
        <v>28.389201124046568</v>
      </c>
      <c r="L5" s="9">
        <f>VLOOKUP($A5,'RES installed'!$A$2:$C$7,3,FALSE)*'[1]Profiles, RES, Winter'!L$5</f>
        <v>24.758129265355279</v>
      </c>
      <c r="M5" s="9">
        <f>VLOOKUP($A5,'RES installed'!$A$2:$C$7,3,FALSE)*'[1]Profiles, RES, Winter'!M$5</f>
        <v>22.780008028904053</v>
      </c>
      <c r="N5" s="9">
        <f>VLOOKUP($A5,'RES installed'!$A$2:$C$7,3,FALSE)*'[1]Profiles, RES, Winter'!N$5</f>
        <v>21.885788839823366</v>
      </c>
      <c r="O5" s="9">
        <f>VLOOKUP($A5,'RES installed'!$A$2:$C$7,3,FALSE)*'[1]Profiles, RES, Winter'!O$5</f>
        <v>20.39542352468888</v>
      </c>
      <c r="P5" s="9">
        <f>VLOOKUP($A5,'RES installed'!$A$2:$C$7,3,FALSE)*'[1]Profiles, RES, Winter'!P$5</f>
        <v>18.643115214773182</v>
      </c>
      <c r="Q5" s="9">
        <f>VLOOKUP($A5,'RES installed'!$A$2:$C$7,3,FALSE)*'[1]Profiles, RES, Winter'!Q$5</f>
        <v>18.805700521878762</v>
      </c>
      <c r="R5" s="9">
        <f>VLOOKUP($A5,'RES installed'!$A$2:$C$7,3,FALSE)*'[1]Profiles, RES, Winter'!R$5</f>
        <v>19.51023685266961</v>
      </c>
      <c r="S5" s="9">
        <f>VLOOKUP($A5,'RES installed'!$A$2:$C$7,3,FALSE)*'[1]Profiles, RES, Winter'!S$5</f>
        <v>22.481934965877159</v>
      </c>
      <c r="T5" s="9">
        <f>VLOOKUP($A5,'RES installed'!$A$2:$C$7,3,FALSE)*'[1]Profiles, RES, Winter'!T$5</f>
        <v>24.342633480529908</v>
      </c>
      <c r="U5" s="9">
        <f>VLOOKUP($A5,'RES installed'!$A$2:$C$7,3,FALSE)*'[1]Profiles, RES, Winter'!U$5</f>
        <v>24.947812123645122</v>
      </c>
      <c r="V5" s="9">
        <f>VLOOKUP($A5,'RES installed'!$A$2:$C$7,3,FALSE)*'[1]Profiles, RES, Winter'!V$5</f>
        <v>24.125853071055801</v>
      </c>
      <c r="W5" s="9">
        <f>VLOOKUP($A5,'RES installed'!$A$2:$C$7,3,FALSE)*'[1]Profiles, RES, Winter'!W$5</f>
        <v>22.816138097149736</v>
      </c>
      <c r="X5" s="9">
        <f>VLOOKUP($A5,'RES installed'!$A$2:$C$7,3,FALSE)*'[1]Profiles, RES, Winter'!X$5</f>
        <v>23.060016057808109</v>
      </c>
      <c r="Y5" s="9">
        <f>VLOOKUP($A5,'RES installed'!$A$2:$C$7,3,FALSE)*'[1]Profiles, RES, Winter'!Y$5</f>
        <v>24.008430349257328</v>
      </c>
    </row>
    <row r="6" spans="1:25" x14ac:dyDescent="0.3">
      <c r="A6" s="8">
        <v>5</v>
      </c>
      <c r="B6" s="9">
        <f>VLOOKUP($A6,'RES installed'!$A$2:$C$7,3,FALSE)*'[1]Profiles, RES, Winter'!B$5</f>
        <v>32.529104777197915</v>
      </c>
      <c r="C6" s="9">
        <f>VLOOKUP($A6,'RES installed'!$A$2:$C$7,3,FALSE)*'[1]Profiles, RES, Winter'!C$5</f>
        <v>34.997992773986347</v>
      </c>
      <c r="D6" s="9">
        <f>VLOOKUP($A6,'RES installed'!$A$2:$C$7,3,FALSE)*'[1]Profiles, RES, Winter'!D$5</f>
        <v>34.817342432757933</v>
      </c>
      <c r="E6" s="9">
        <f>VLOOKUP($A6,'RES installed'!$A$2:$C$7,3,FALSE)*'[1]Profiles, RES, Winter'!E$5</f>
        <v>34.889602569249298</v>
      </c>
      <c r="F6" s="9">
        <f>VLOOKUP($A6,'RES installed'!$A$2:$C$7,3,FALSE)*'[1]Profiles, RES, Winter'!F$5</f>
        <v>36.118024889602573</v>
      </c>
      <c r="G6" s="9">
        <f>VLOOKUP($A6,'RES installed'!$A$2:$C$7,3,FALSE)*'[1]Profiles, RES, Winter'!G$5</f>
        <v>38.12926535527901</v>
      </c>
      <c r="H6" s="9">
        <f>VLOOKUP($A6,'RES installed'!$A$2:$C$7,3,FALSE)*'[1]Profiles, RES, Winter'!H$5</f>
        <v>40.622240064231228</v>
      </c>
      <c r="I6" s="9">
        <f>VLOOKUP($A6,'RES installed'!$A$2:$C$7,3,FALSE)*'[1]Profiles, RES, Winter'!I$5</f>
        <v>40.694500200722601</v>
      </c>
      <c r="J6" s="9">
        <f>VLOOKUP($A6,'RES installed'!$A$2:$C$7,3,FALSE)*'[1]Profiles, RES, Winter'!J$5</f>
        <v>40.333199518265758</v>
      </c>
      <c r="K6" s="9">
        <f>VLOOKUP($A6,'RES installed'!$A$2:$C$7,3,FALSE)*'[1]Profiles, RES, Winter'!K$5</f>
        <v>37.852268165395422</v>
      </c>
      <c r="L6" s="9">
        <f>VLOOKUP($A6,'RES installed'!$A$2:$C$7,3,FALSE)*'[1]Profiles, RES, Winter'!L$5</f>
        <v>33.010839020473703</v>
      </c>
      <c r="M6" s="9">
        <f>VLOOKUP($A6,'RES installed'!$A$2:$C$7,3,FALSE)*'[1]Profiles, RES, Winter'!M$5</f>
        <v>30.373344038538736</v>
      </c>
      <c r="N6" s="9">
        <f>VLOOKUP($A6,'RES installed'!$A$2:$C$7,3,FALSE)*'[1]Profiles, RES, Winter'!N$5</f>
        <v>29.181051786431155</v>
      </c>
      <c r="O6" s="9">
        <f>VLOOKUP($A6,'RES installed'!$A$2:$C$7,3,FALSE)*'[1]Profiles, RES, Winter'!O$5</f>
        <v>27.193898032918508</v>
      </c>
      <c r="P6" s="9">
        <f>VLOOKUP($A6,'RES installed'!$A$2:$C$7,3,FALSE)*'[1]Profiles, RES, Winter'!P$5</f>
        <v>24.857486953030911</v>
      </c>
      <c r="Q6" s="9">
        <f>VLOOKUP($A6,'RES installed'!$A$2:$C$7,3,FALSE)*'[1]Profiles, RES, Winter'!Q$5</f>
        <v>25.074267362505019</v>
      </c>
      <c r="R6" s="9">
        <f>VLOOKUP($A6,'RES installed'!$A$2:$C$7,3,FALSE)*'[1]Profiles, RES, Winter'!R$5</f>
        <v>26.013649136892816</v>
      </c>
      <c r="S6" s="9">
        <f>VLOOKUP($A6,'RES installed'!$A$2:$C$7,3,FALSE)*'[1]Profiles, RES, Winter'!S$5</f>
        <v>29.97591328783621</v>
      </c>
      <c r="T6" s="9">
        <f>VLOOKUP($A6,'RES installed'!$A$2:$C$7,3,FALSE)*'[1]Profiles, RES, Winter'!T$5</f>
        <v>32.456844640706549</v>
      </c>
      <c r="U6" s="9">
        <f>VLOOKUP($A6,'RES installed'!$A$2:$C$7,3,FALSE)*'[1]Profiles, RES, Winter'!U$5</f>
        <v>33.263749498193498</v>
      </c>
      <c r="V6" s="9">
        <f>VLOOKUP($A6,'RES installed'!$A$2:$C$7,3,FALSE)*'[1]Profiles, RES, Winter'!V$5</f>
        <v>32.167804094741065</v>
      </c>
      <c r="W6" s="9">
        <f>VLOOKUP($A6,'RES installed'!$A$2:$C$7,3,FALSE)*'[1]Profiles, RES, Winter'!W$5</f>
        <v>30.421517462866316</v>
      </c>
      <c r="X6" s="9">
        <f>VLOOKUP($A6,'RES installed'!$A$2:$C$7,3,FALSE)*'[1]Profiles, RES, Winter'!X$5</f>
        <v>30.746688077077479</v>
      </c>
      <c r="Y6" s="9">
        <f>VLOOKUP($A6,'RES installed'!$A$2:$C$7,3,FALSE)*'[1]Profiles, RES, Winter'!Y$5</f>
        <v>32.011240465676437</v>
      </c>
    </row>
    <row r="7" spans="1:25" x14ac:dyDescent="0.3">
      <c r="A7" s="8">
        <v>6</v>
      </c>
      <c r="B7" s="9">
        <f>VLOOKUP($A7,'RES installed'!$A$2:$C$7,3,FALSE)*'[1]Profiles, RES, Winter'!B$5</f>
        <v>24.396828582898433</v>
      </c>
      <c r="C7" s="9">
        <f>VLOOKUP($A7,'RES installed'!$A$2:$C$7,3,FALSE)*'[1]Profiles, RES, Winter'!C$5</f>
        <v>26.248494580489762</v>
      </c>
      <c r="D7" s="9">
        <f>VLOOKUP($A7,'RES installed'!$A$2:$C$7,3,FALSE)*'[1]Profiles, RES, Winter'!D$5</f>
        <v>26.113006824568448</v>
      </c>
      <c r="E7" s="9">
        <f>VLOOKUP($A7,'RES installed'!$A$2:$C$7,3,FALSE)*'[1]Profiles, RES, Winter'!E$5</f>
        <v>26.167201926936976</v>
      </c>
      <c r="F7" s="9">
        <f>VLOOKUP($A7,'RES installed'!$A$2:$C$7,3,FALSE)*'[1]Profiles, RES, Winter'!F$5</f>
        <v>27.088518667201928</v>
      </c>
      <c r="G7" s="9">
        <f>VLOOKUP($A7,'RES installed'!$A$2:$C$7,3,FALSE)*'[1]Profiles, RES, Winter'!G$5</f>
        <v>28.596949016459256</v>
      </c>
      <c r="H7" s="9">
        <f>VLOOKUP($A7,'RES installed'!$A$2:$C$7,3,FALSE)*'[1]Profiles, RES, Winter'!H$5</f>
        <v>30.466680048173423</v>
      </c>
      <c r="I7" s="9">
        <f>VLOOKUP($A7,'RES installed'!$A$2:$C$7,3,FALSE)*'[1]Profiles, RES, Winter'!I$5</f>
        <v>30.520875150541951</v>
      </c>
      <c r="J7" s="9">
        <f>VLOOKUP($A7,'RES installed'!$A$2:$C$7,3,FALSE)*'[1]Profiles, RES, Winter'!J$5</f>
        <v>30.249899638699318</v>
      </c>
      <c r="K7" s="9">
        <f>VLOOKUP($A7,'RES installed'!$A$2:$C$7,3,FALSE)*'[1]Profiles, RES, Winter'!K$5</f>
        <v>28.389201124046568</v>
      </c>
      <c r="L7" s="9">
        <f>VLOOKUP($A7,'RES installed'!$A$2:$C$7,3,FALSE)*'[1]Profiles, RES, Winter'!L$5</f>
        <v>24.758129265355279</v>
      </c>
      <c r="M7" s="9">
        <f>VLOOKUP($A7,'RES installed'!$A$2:$C$7,3,FALSE)*'[1]Profiles, RES, Winter'!M$5</f>
        <v>22.780008028904053</v>
      </c>
      <c r="N7" s="9">
        <f>VLOOKUP($A7,'RES installed'!$A$2:$C$7,3,FALSE)*'[1]Profiles, RES, Winter'!N$5</f>
        <v>21.885788839823366</v>
      </c>
      <c r="O7" s="9">
        <f>VLOOKUP($A7,'RES installed'!$A$2:$C$7,3,FALSE)*'[1]Profiles, RES, Winter'!O$5</f>
        <v>20.39542352468888</v>
      </c>
      <c r="P7" s="9">
        <f>VLOOKUP($A7,'RES installed'!$A$2:$C$7,3,FALSE)*'[1]Profiles, RES, Winter'!P$5</f>
        <v>18.643115214773182</v>
      </c>
      <c r="Q7" s="9">
        <f>VLOOKUP($A7,'RES installed'!$A$2:$C$7,3,FALSE)*'[1]Profiles, RES, Winter'!Q$5</f>
        <v>18.805700521878762</v>
      </c>
      <c r="R7" s="9">
        <f>VLOOKUP($A7,'RES installed'!$A$2:$C$7,3,FALSE)*'[1]Profiles, RES, Winter'!R$5</f>
        <v>19.51023685266961</v>
      </c>
      <c r="S7" s="9">
        <f>VLOOKUP($A7,'RES installed'!$A$2:$C$7,3,FALSE)*'[1]Profiles, RES, Winter'!S$5</f>
        <v>22.481934965877159</v>
      </c>
      <c r="T7" s="9">
        <f>VLOOKUP($A7,'RES installed'!$A$2:$C$7,3,FALSE)*'[1]Profiles, RES, Winter'!T$5</f>
        <v>24.342633480529908</v>
      </c>
      <c r="U7" s="9">
        <f>VLOOKUP($A7,'RES installed'!$A$2:$C$7,3,FALSE)*'[1]Profiles, RES, Winter'!U$5</f>
        <v>24.947812123645122</v>
      </c>
      <c r="V7" s="9">
        <f>VLOOKUP($A7,'RES installed'!$A$2:$C$7,3,FALSE)*'[1]Profiles, RES, Winter'!V$5</f>
        <v>24.125853071055801</v>
      </c>
      <c r="W7" s="9">
        <f>VLOOKUP($A7,'RES installed'!$A$2:$C$7,3,FALSE)*'[1]Profiles, RES, Winter'!W$5</f>
        <v>22.816138097149736</v>
      </c>
      <c r="X7" s="9">
        <f>VLOOKUP($A7,'RES installed'!$A$2:$C$7,3,FALSE)*'[1]Profiles, RES, Winter'!X$5</f>
        <v>23.060016057808109</v>
      </c>
      <c r="Y7" s="9">
        <f>VLOOKUP($A7,'RES installed'!$A$2:$C$7,3,FALSE)*'[1]Profiles, RES, Winter'!Y$5</f>
        <v>24.008430349257328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2.843062926459439E-2</v>
      </c>
      <c r="J8" s="6">
        <f>VLOOKUP($A8,'RES installed'!$A$2:$C$7,3,FALSE)*'[1]Profiles, RES, Winter'!J$2</f>
        <v>3.3263836239575437</v>
      </c>
      <c r="K8" s="6">
        <f>VLOOKUP($A8,'RES installed'!$A$2:$C$7,3,FALSE)*'[1]Profiles, RES, Winter'!K$2</f>
        <v>14.044730856709629</v>
      </c>
      <c r="L8" s="6">
        <f>VLOOKUP($A8,'RES installed'!$A$2:$C$7,3,FALSE)*'[1]Profiles, RES, Winter'!L$2</f>
        <v>24.706216830932526</v>
      </c>
      <c r="M8" s="6">
        <f>VLOOKUP($A8,'RES installed'!$A$2:$C$7,3,FALSE)*'[1]Profiles, RES, Winter'!M$2</f>
        <v>29.3972706595906</v>
      </c>
      <c r="N8" s="6">
        <f>VLOOKUP($A8,'RES installed'!$A$2:$C$7,3,FALSE)*'[1]Profiles, RES, Winter'!N$2</f>
        <v>28.288476118271419</v>
      </c>
      <c r="O8" s="6">
        <f>VLOOKUP($A8,'RES installed'!$A$2:$C$7,3,FALSE)*'[1]Profiles, RES, Winter'!O$2</f>
        <v>28.515921152388174</v>
      </c>
      <c r="P8" s="6">
        <f>VLOOKUP($A8,'RES installed'!$A$2:$C$7,3,FALSE)*'[1]Profiles, RES, Winter'!P$2</f>
        <v>26.923805913570888</v>
      </c>
      <c r="Q8" s="6">
        <f>VLOOKUP($A8,'RES installed'!$A$2:$C$7,3,FALSE)*'[1]Profiles, RES, Winter'!Q$2</f>
        <v>20.15731614859742</v>
      </c>
      <c r="R8" s="6">
        <f>VLOOKUP($A8,'RES installed'!$A$2:$C$7,3,FALSE)*'[1]Profiles, RES, Winter'!R$2</f>
        <v>7.5909780136467022</v>
      </c>
      <c r="S8" s="6">
        <f>VLOOKUP($A8,'RES installed'!$A$2:$C$7,3,FALSE)*'[1]Profiles, RES, Winter'!S$2</f>
        <v>0.3411675511751327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1.8953752843062926E-2</v>
      </c>
      <c r="J9" s="6">
        <f>VLOOKUP($A9,'RES installed'!$A$2:$C$7,3,FALSE)*'[1]Profiles, RES, Winter'!J$2</f>
        <v>2.2175890826383626</v>
      </c>
      <c r="K9" s="6">
        <f>VLOOKUP($A9,'RES installed'!$A$2:$C$7,3,FALSE)*'[1]Profiles, RES, Winter'!K$2</f>
        <v>9.3631539044730854</v>
      </c>
      <c r="L9" s="6">
        <f>VLOOKUP($A9,'RES installed'!$A$2:$C$7,3,FALSE)*'[1]Profiles, RES, Winter'!L$2</f>
        <v>16.470811220621684</v>
      </c>
      <c r="M9" s="6">
        <f>VLOOKUP($A9,'RES installed'!$A$2:$C$7,3,FALSE)*'[1]Profiles, RES, Winter'!M$2</f>
        <v>19.598180439727066</v>
      </c>
      <c r="N9" s="6">
        <f>VLOOKUP($A9,'RES installed'!$A$2:$C$7,3,FALSE)*'[1]Profiles, RES, Winter'!N$2</f>
        <v>18.858984078847612</v>
      </c>
      <c r="O9" s="6">
        <f>VLOOKUP($A9,'RES installed'!$A$2:$C$7,3,FALSE)*'[1]Profiles, RES, Winter'!O$2</f>
        <v>19.010614101592115</v>
      </c>
      <c r="P9" s="6">
        <f>VLOOKUP($A9,'RES installed'!$A$2:$C$7,3,FALSE)*'[1]Profiles, RES, Winter'!P$2</f>
        <v>17.949203942380592</v>
      </c>
      <c r="Q9" s="6">
        <f>VLOOKUP($A9,'RES installed'!$A$2:$C$7,3,FALSE)*'[1]Profiles, RES, Winter'!Q$2</f>
        <v>13.438210765731615</v>
      </c>
      <c r="R9" s="6">
        <f>VLOOKUP($A9,'RES installed'!$A$2:$C$7,3,FALSE)*'[1]Profiles, RES, Winter'!R$2</f>
        <v>5.0606520090978009</v>
      </c>
      <c r="S9" s="6">
        <f>VLOOKUP($A9,'RES installed'!$A$2:$C$7,3,FALSE)*'[1]Profiles, RES, Winter'!S$2</f>
        <v>0.22744503411675512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2.2744503411675512E-2</v>
      </c>
      <c r="J10" s="6">
        <f>VLOOKUP($A10,'RES installed'!$A$2:$C$7,3,FALSE)*'[1]Profiles, RES, Winter'!J$2</f>
        <v>2.6611068991660352</v>
      </c>
      <c r="K10" s="6">
        <f>VLOOKUP($A10,'RES installed'!$A$2:$C$7,3,FALSE)*'[1]Profiles, RES, Winter'!K$2</f>
        <v>11.235784685367703</v>
      </c>
      <c r="L10" s="6">
        <f>VLOOKUP($A10,'RES installed'!$A$2:$C$7,3,FALSE)*'[1]Profiles, RES, Winter'!L$2</f>
        <v>19.764973464746021</v>
      </c>
      <c r="M10" s="6">
        <f>VLOOKUP($A10,'RES installed'!$A$2:$C$7,3,FALSE)*'[1]Profiles, RES, Winter'!M$2</f>
        <v>23.51781652767248</v>
      </c>
      <c r="N10" s="6">
        <f>VLOOKUP($A10,'RES installed'!$A$2:$C$7,3,FALSE)*'[1]Profiles, RES, Winter'!N$2</f>
        <v>22.630780894617136</v>
      </c>
      <c r="O10" s="6">
        <f>VLOOKUP($A10,'RES installed'!$A$2:$C$7,3,FALSE)*'[1]Profiles, RES, Winter'!O$2</f>
        <v>22.812736921910538</v>
      </c>
      <c r="P10" s="6">
        <f>VLOOKUP($A10,'RES installed'!$A$2:$C$7,3,FALSE)*'[1]Profiles, RES, Winter'!P$2</f>
        <v>21.539044730856713</v>
      </c>
      <c r="Q10" s="6">
        <f>VLOOKUP($A10,'RES installed'!$A$2:$C$7,3,FALSE)*'[1]Profiles, RES, Winter'!Q$2</f>
        <v>16.125852918877939</v>
      </c>
      <c r="R10" s="6">
        <f>VLOOKUP($A10,'RES installed'!$A$2:$C$7,3,FALSE)*'[1]Profiles, RES, Winter'!R$2</f>
        <v>6.0727824109173616</v>
      </c>
      <c r="S10" s="6">
        <f>VLOOKUP($A10,'RES installed'!$A$2:$C$7,3,FALSE)*'[1]Profiles, RES, Winter'!S$2</f>
        <v>0.27293404094010615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23.610999598554798</v>
      </c>
      <c r="C5" s="9">
        <f>VLOOKUP($A5,'RES installed'!$A$2:$C$7,3,FALSE)*'[1]Profiles, RES, Winter'!C$6</f>
        <v>23.972300281011641</v>
      </c>
      <c r="D5" s="9">
        <f>VLOOKUP($A5,'RES installed'!$A$2:$C$7,3,FALSE)*'[1]Profiles, RES, Winter'!D$6</f>
        <v>24.053592934564428</v>
      </c>
      <c r="E5" s="9">
        <f>VLOOKUP($A5,'RES installed'!$A$2:$C$7,3,FALSE)*'[1]Profiles, RES, Winter'!E$6</f>
        <v>21.994179044560418</v>
      </c>
      <c r="F5" s="9">
        <f>VLOOKUP($A5,'RES installed'!$A$2:$C$7,3,FALSE)*'[1]Profiles, RES, Winter'!F$6</f>
        <v>22.698715375351266</v>
      </c>
      <c r="G5" s="9">
        <f>VLOOKUP($A5,'RES installed'!$A$2:$C$7,3,FALSE)*'[1]Profiles, RES, Winter'!G$6</f>
        <v>23.963267763950221</v>
      </c>
      <c r="H5" s="9">
        <f>VLOOKUP($A5,'RES installed'!$A$2:$C$7,3,FALSE)*'[1]Profiles, RES, Winter'!H$6</f>
        <v>24.532316338819751</v>
      </c>
      <c r="I5" s="9">
        <f>VLOOKUP($A5,'RES installed'!$A$2:$C$7,3,FALSE)*'[1]Profiles, RES, Winter'!I$6</f>
        <v>23.367121637896425</v>
      </c>
      <c r="J5" s="9">
        <f>VLOOKUP($A5,'RES installed'!$A$2:$C$7,3,FALSE)*'[1]Profiles, RES, Winter'!J$6</f>
        <v>22.238057005218788</v>
      </c>
      <c r="K5" s="9">
        <f>VLOOKUP($A5,'RES installed'!$A$2:$C$7,3,FALSE)*'[1]Profiles, RES, Winter'!K$6</f>
        <v>20.946407065435569</v>
      </c>
      <c r="L5" s="9">
        <f>VLOOKUP($A5,'RES installed'!$A$2:$C$7,3,FALSE)*'[1]Profiles, RES, Winter'!L$6</f>
        <v>19.681854676836611</v>
      </c>
      <c r="M5" s="9">
        <f>VLOOKUP($A5,'RES installed'!$A$2:$C$7,3,FALSE)*'[1]Profiles, RES, Winter'!M$6</f>
        <v>18.597952629466079</v>
      </c>
      <c r="N5" s="9">
        <f>VLOOKUP($A5,'RES installed'!$A$2:$C$7,3,FALSE)*'[1]Profiles, RES, Winter'!N$6</f>
        <v>17.143717382577279</v>
      </c>
      <c r="O5" s="9">
        <f>VLOOKUP($A5,'RES installed'!$A$2:$C$7,3,FALSE)*'[1]Profiles, RES, Winter'!O$6</f>
        <v>13.27780008028904</v>
      </c>
      <c r="P5" s="9">
        <f>VLOOKUP($A5,'RES installed'!$A$2:$C$7,3,FALSE)*'[1]Profiles, RES, Winter'!P$6</f>
        <v>12.988759534323565</v>
      </c>
      <c r="Q5" s="9">
        <f>VLOOKUP($A5,'RES installed'!$A$2:$C$7,3,FALSE)*'[1]Profiles, RES, Winter'!Q$6</f>
        <v>13.214572460859094</v>
      </c>
      <c r="R5" s="9">
        <f>VLOOKUP($A5,'RES installed'!$A$2:$C$7,3,FALSE)*'[1]Profiles, RES, Winter'!R$6</f>
        <v>16.764351665997591</v>
      </c>
      <c r="S5" s="9">
        <f>VLOOKUP($A5,'RES installed'!$A$2:$C$7,3,FALSE)*'[1]Profiles, RES, Winter'!S$6</f>
        <v>19.645724608590928</v>
      </c>
      <c r="T5" s="9">
        <f>VLOOKUP($A5,'RES installed'!$A$2:$C$7,3,FALSE)*'[1]Profiles, RES, Winter'!T$6</f>
        <v>20.928342031312724</v>
      </c>
      <c r="U5" s="9">
        <f>VLOOKUP($A5,'RES installed'!$A$2:$C$7,3,FALSE)*'[1]Profiles, RES, Winter'!U$6</f>
        <v>21.8586912886391</v>
      </c>
      <c r="V5" s="9">
        <f>VLOOKUP($A5,'RES installed'!$A$2:$C$7,3,FALSE)*'[1]Profiles, RES, Winter'!V$6</f>
        <v>22.590325170614211</v>
      </c>
      <c r="W5" s="9">
        <f>VLOOKUP($A5,'RES installed'!$A$2:$C$7,3,FALSE)*'[1]Profiles, RES, Winter'!W$6</f>
        <v>23.448414291449218</v>
      </c>
      <c r="X5" s="9">
        <f>VLOOKUP($A5,'RES installed'!$A$2:$C$7,3,FALSE)*'[1]Profiles, RES, Winter'!X$6</f>
        <v>23.005820955439585</v>
      </c>
      <c r="Y5" s="9">
        <f>VLOOKUP($A5,'RES installed'!$A$2:$C$7,3,FALSE)*'[1]Profiles, RES, Winter'!Y$6</f>
        <v>22.382577278201524</v>
      </c>
    </row>
    <row r="6" spans="1:25" x14ac:dyDescent="0.3">
      <c r="A6" s="8">
        <v>5</v>
      </c>
      <c r="B6" s="9">
        <f>VLOOKUP($A6,'RES installed'!$A$2:$C$7,3,FALSE)*'[1]Profiles, RES, Winter'!B$6</f>
        <v>31.481332798073062</v>
      </c>
      <c r="C6" s="9">
        <f>VLOOKUP($A6,'RES installed'!$A$2:$C$7,3,FALSE)*'[1]Profiles, RES, Winter'!C$6</f>
        <v>31.963067041348857</v>
      </c>
      <c r="D6" s="9">
        <f>VLOOKUP($A6,'RES installed'!$A$2:$C$7,3,FALSE)*'[1]Profiles, RES, Winter'!D$6</f>
        <v>32.071457246085906</v>
      </c>
      <c r="E6" s="9">
        <f>VLOOKUP($A6,'RES installed'!$A$2:$C$7,3,FALSE)*'[1]Profiles, RES, Winter'!E$6</f>
        <v>29.32557205941389</v>
      </c>
      <c r="F6" s="9">
        <f>VLOOKUP($A6,'RES installed'!$A$2:$C$7,3,FALSE)*'[1]Profiles, RES, Winter'!F$6</f>
        <v>30.264953833801687</v>
      </c>
      <c r="G6" s="9">
        <f>VLOOKUP($A6,'RES installed'!$A$2:$C$7,3,FALSE)*'[1]Profiles, RES, Winter'!G$6</f>
        <v>31.951023685266961</v>
      </c>
      <c r="H6" s="9">
        <f>VLOOKUP($A6,'RES installed'!$A$2:$C$7,3,FALSE)*'[1]Profiles, RES, Winter'!H$6</f>
        <v>32.709755118426337</v>
      </c>
      <c r="I6" s="9">
        <f>VLOOKUP($A6,'RES installed'!$A$2:$C$7,3,FALSE)*'[1]Profiles, RES, Winter'!I$6</f>
        <v>31.156162183861898</v>
      </c>
      <c r="J6" s="9">
        <f>VLOOKUP($A6,'RES installed'!$A$2:$C$7,3,FALSE)*'[1]Profiles, RES, Winter'!J$6</f>
        <v>29.65074267362505</v>
      </c>
      <c r="K6" s="9">
        <f>VLOOKUP($A6,'RES installed'!$A$2:$C$7,3,FALSE)*'[1]Profiles, RES, Winter'!K$6</f>
        <v>27.92854275391409</v>
      </c>
      <c r="L6" s="9">
        <f>VLOOKUP($A6,'RES installed'!$A$2:$C$7,3,FALSE)*'[1]Profiles, RES, Winter'!L$6</f>
        <v>26.242472902448814</v>
      </c>
      <c r="M6" s="9">
        <f>VLOOKUP($A6,'RES installed'!$A$2:$C$7,3,FALSE)*'[1]Profiles, RES, Winter'!M$6</f>
        <v>24.797270172621438</v>
      </c>
      <c r="N6" s="9">
        <f>VLOOKUP($A6,'RES installed'!$A$2:$C$7,3,FALSE)*'[1]Profiles, RES, Winter'!N$6</f>
        <v>22.858289843436374</v>
      </c>
      <c r="O6" s="9">
        <f>VLOOKUP($A6,'RES installed'!$A$2:$C$7,3,FALSE)*'[1]Profiles, RES, Winter'!O$6</f>
        <v>17.703733440385388</v>
      </c>
      <c r="P6" s="9">
        <f>VLOOKUP($A6,'RES installed'!$A$2:$C$7,3,FALSE)*'[1]Profiles, RES, Winter'!P$6</f>
        <v>17.318346045764756</v>
      </c>
      <c r="Q6" s="9">
        <f>VLOOKUP($A6,'RES installed'!$A$2:$C$7,3,FALSE)*'[1]Profiles, RES, Winter'!Q$6</f>
        <v>17.619429947812122</v>
      </c>
      <c r="R6" s="9">
        <f>VLOOKUP($A6,'RES installed'!$A$2:$C$7,3,FALSE)*'[1]Profiles, RES, Winter'!R$6</f>
        <v>22.352468887996789</v>
      </c>
      <c r="S6" s="9">
        <f>VLOOKUP($A6,'RES installed'!$A$2:$C$7,3,FALSE)*'[1]Profiles, RES, Winter'!S$6</f>
        <v>26.194299478121238</v>
      </c>
      <c r="T6" s="9">
        <f>VLOOKUP($A6,'RES installed'!$A$2:$C$7,3,FALSE)*'[1]Profiles, RES, Winter'!T$6</f>
        <v>27.904456041750301</v>
      </c>
      <c r="U6" s="9">
        <f>VLOOKUP($A6,'RES installed'!$A$2:$C$7,3,FALSE)*'[1]Profiles, RES, Winter'!U$6</f>
        <v>29.144921718185469</v>
      </c>
      <c r="V6" s="9">
        <f>VLOOKUP($A6,'RES installed'!$A$2:$C$7,3,FALSE)*'[1]Profiles, RES, Winter'!V$6</f>
        <v>30.120433560818945</v>
      </c>
      <c r="W6" s="9">
        <f>VLOOKUP($A6,'RES installed'!$A$2:$C$7,3,FALSE)*'[1]Profiles, RES, Winter'!W$6</f>
        <v>31.264552388598958</v>
      </c>
      <c r="X6" s="9">
        <f>VLOOKUP($A6,'RES installed'!$A$2:$C$7,3,FALSE)*'[1]Profiles, RES, Winter'!X$6</f>
        <v>30.674427940586114</v>
      </c>
      <c r="Y6" s="9">
        <f>VLOOKUP($A6,'RES installed'!$A$2:$C$7,3,FALSE)*'[1]Profiles, RES, Winter'!Y$6</f>
        <v>29.843436370935368</v>
      </c>
    </row>
    <row r="7" spans="1:25" x14ac:dyDescent="0.3">
      <c r="A7" s="8">
        <v>6</v>
      </c>
      <c r="B7" s="9">
        <f>VLOOKUP($A7,'RES installed'!$A$2:$C$7,3,FALSE)*'[1]Profiles, RES, Winter'!B$6</f>
        <v>23.610999598554798</v>
      </c>
      <c r="C7" s="9">
        <f>VLOOKUP($A7,'RES installed'!$A$2:$C$7,3,FALSE)*'[1]Profiles, RES, Winter'!C$6</f>
        <v>23.972300281011641</v>
      </c>
      <c r="D7" s="9">
        <f>VLOOKUP($A7,'RES installed'!$A$2:$C$7,3,FALSE)*'[1]Profiles, RES, Winter'!D$6</f>
        <v>24.053592934564428</v>
      </c>
      <c r="E7" s="9">
        <f>VLOOKUP($A7,'RES installed'!$A$2:$C$7,3,FALSE)*'[1]Profiles, RES, Winter'!E$6</f>
        <v>21.994179044560418</v>
      </c>
      <c r="F7" s="9">
        <f>VLOOKUP($A7,'RES installed'!$A$2:$C$7,3,FALSE)*'[1]Profiles, RES, Winter'!F$6</f>
        <v>22.698715375351266</v>
      </c>
      <c r="G7" s="9">
        <f>VLOOKUP($A7,'RES installed'!$A$2:$C$7,3,FALSE)*'[1]Profiles, RES, Winter'!G$6</f>
        <v>23.963267763950221</v>
      </c>
      <c r="H7" s="9">
        <f>VLOOKUP($A7,'RES installed'!$A$2:$C$7,3,FALSE)*'[1]Profiles, RES, Winter'!H$6</f>
        <v>24.532316338819751</v>
      </c>
      <c r="I7" s="9">
        <f>VLOOKUP($A7,'RES installed'!$A$2:$C$7,3,FALSE)*'[1]Profiles, RES, Winter'!I$6</f>
        <v>23.367121637896425</v>
      </c>
      <c r="J7" s="9">
        <f>VLOOKUP($A7,'RES installed'!$A$2:$C$7,3,FALSE)*'[1]Profiles, RES, Winter'!J$6</f>
        <v>22.238057005218788</v>
      </c>
      <c r="K7" s="9">
        <f>VLOOKUP($A7,'RES installed'!$A$2:$C$7,3,FALSE)*'[1]Profiles, RES, Winter'!K$6</f>
        <v>20.946407065435569</v>
      </c>
      <c r="L7" s="9">
        <f>VLOOKUP($A7,'RES installed'!$A$2:$C$7,3,FALSE)*'[1]Profiles, RES, Winter'!L$6</f>
        <v>19.681854676836611</v>
      </c>
      <c r="M7" s="9">
        <f>VLOOKUP($A7,'RES installed'!$A$2:$C$7,3,FALSE)*'[1]Profiles, RES, Winter'!M$6</f>
        <v>18.597952629466079</v>
      </c>
      <c r="N7" s="9">
        <f>VLOOKUP($A7,'RES installed'!$A$2:$C$7,3,FALSE)*'[1]Profiles, RES, Winter'!N$6</f>
        <v>17.143717382577279</v>
      </c>
      <c r="O7" s="9">
        <f>VLOOKUP($A7,'RES installed'!$A$2:$C$7,3,FALSE)*'[1]Profiles, RES, Winter'!O$6</f>
        <v>13.27780008028904</v>
      </c>
      <c r="P7" s="9">
        <f>VLOOKUP($A7,'RES installed'!$A$2:$C$7,3,FALSE)*'[1]Profiles, RES, Winter'!P$6</f>
        <v>12.988759534323565</v>
      </c>
      <c r="Q7" s="9">
        <f>VLOOKUP($A7,'RES installed'!$A$2:$C$7,3,FALSE)*'[1]Profiles, RES, Winter'!Q$6</f>
        <v>13.214572460859094</v>
      </c>
      <c r="R7" s="9">
        <f>VLOOKUP($A7,'RES installed'!$A$2:$C$7,3,FALSE)*'[1]Profiles, RES, Winter'!R$6</f>
        <v>16.764351665997591</v>
      </c>
      <c r="S7" s="9">
        <f>VLOOKUP($A7,'RES installed'!$A$2:$C$7,3,FALSE)*'[1]Profiles, RES, Winter'!S$6</f>
        <v>19.645724608590928</v>
      </c>
      <c r="T7" s="9">
        <f>VLOOKUP($A7,'RES installed'!$A$2:$C$7,3,FALSE)*'[1]Profiles, RES, Winter'!T$6</f>
        <v>20.928342031312724</v>
      </c>
      <c r="U7" s="9">
        <f>VLOOKUP($A7,'RES installed'!$A$2:$C$7,3,FALSE)*'[1]Profiles, RES, Winter'!U$6</f>
        <v>21.8586912886391</v>
      </c>
      <c r="V7" s="9">
        <f>VLOOKUP($A7,'RES installed'!$A$2:$C$7,3,FALSE)*'[1]Profiles, RES, Winter'!V$6</f>
        <v>22.590325170614211</v>
      </c>
      <c r="W7" s="9">
        <f>VLOOKUP($A7,'RES installed'!$A$2:$C$7,3,FALSE)*'[1]Profiles, RES, Winter'!W$6</f>
        <v>23.448414291449218</v>
      </c>
      <c r="X7" s="9">
        <f>VLOOKUP($A7,'RES installed'!$A$2:$C$7,3,FALSE)*'[1]Profiles, RES, Winter'!X$6</f>
        <v>23.005820955439585</v>
      </c>
      <c r="Y7" s="9">
        <f>VLOOKUP($A7,'RES installed'!$A$2:$C$7,3,FALSE)*'[1]Profiles, RES, Winter'!Y$6</f>
        <v>22.382577278201524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5.6861258529188781E-2</v>
      </c>
      <c r="J8" s="6">
        <f>VLOOKUP($A8,'RES installed'!$A$2:$C$7,3,FALSE)*'[1]Profiles, RES, Winter'!J$3</f>
        <v>4.8616376042456411</v>
      </c>
      <c r="K8" s="6">
        <f>VLOOKUP($A8,'RES installed'!$A$2:$C$7,3,FALSE)*'[1]Profiles, RES, Winter'!K$3</f>
        <v>16.717210007581503</v>
      </c>
      <c r="L8" s="6">
        <f>VLOOKUP($A8,'RES installed'!$A$2:$C$7,3,FALSE)*'[1]Profiles, RES, Winter'!L$3</f>
        <v>25.672858225928731</v>
      </c>
      <c r="M8" s="6">
        <f>VLOOKUP($A8,'RES installed'!$A$2:$C$7,3,FALSE)*'[1]Profiles, RES, Winter'!M$3</f>
        <v>25.473843821076574</v>
      </c>
      <c r="N8" s="6">
        <f>VLOOKUP($A8,'RES installed'!$A$2:$C$7,3,FALSE)*'[1]Profiles, RES, Winter'!N$3</f>
        <v>28.316906747536013</v>
      </c>
      <c r="O8" s="6">
        <f>VLOOKUP($A8,'RES installed'!$A$2:$C$7,3,FALSE)*'[1]Profiles, RES, Winter'!O$3</f>
        <v>27.691432903714933</v>
      </c>
      <c r="P8" s="6">
        <f>VLOOKUP($A8,'RES installed'!$A$2:$C$7,3,FALSE)*'[1]Profiles, RES, Winter'!P$3</f>
        <v>23.426838514025775</v>
      </c>
      <c r="Q8" s="6">
        <f>VLOOKUP($A8,'RES installed'!$A$2:$C$7,3,FALSE)*'[1]Profiles, RES, Winter'!Q$3</f>
        <v>15.068233510235027</v>
      </c>
      <c r="R8" s="6">
        <f>VLOOKUP($A8,'RES installed'!$A$2:$C$7,3,FALSE)*'[1]Profiles, RES, Winter'!R$3</f>
        <v>4.8047763457164523</v>
      </c>
      <c r="S8" s="6">
        <f>VLOOKUP($A8,'RES installed'!$A$2:$C$7,3,FALSE)*'[1]Profiles, RES, Winter'!S$3</f>
        <v>0.28430629264594387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3.7907505686125852E-2</v>
      </c>
      <c r="J9" s="6">
        <f>VLOOKUP($A9,'RES installed'!$A$2:$C$7,3,FALSE)*'[1]Profiles, RES, Winter'!J$3</f>
        <v>3.2410917361637606</v>
      </c>
      <c r="K9" s="6">
        <f>VLOOKUP($A9,'RES installed'!$A$2:$C$7,3,FALSE)*'[1]Profiles, RES, Winter'!K$3</f>
        <v>11.144806671721001</v>
      </c>
      <c r="L9" s="6">
        <f>VLOOKUP($A9,'RES installed'!$A$2:$C$7,3,FALSE)*'[1]Profiles, RES, Winter'!L$3</f>
        <v>17.115238817285821</v>
      </c>
      <c r="M9" s="6">
        <f>VLOOKUP($A9,'RES installed'!$A$2:$C$7,3,FALSE)*'[1]Profiles, RES, Winter'!M$3</f>
        <v>16.982562547384383</v>
      </c>
      <c r="N9" s="6">
        <f>VLOOKUP($A9,'RES installed'!$A$2:$C$7,3,FALSE)*'[1]Profiles, RES, Winter'!N$3</f>
        <v>18.877937831690677</v>
      </c>
      <c r="O9" s="6">
        <f>VLOOKUP($A9,'RES installed'!$A$2:$C$7,3,FALSE)*'[1]Profiles, RES, Winter'!O$3</f>
        <v>18.460955269143291</v>
      </c>
      <c r="P9" s="6">
        <f>VLOOKUP($A9,'RES installed'!$A$2:$C$7,3,FALSE)*'[1]Profiles, RES, Winter'!P$3</f>
        <v>15.617892342683851</v>
      </c>
      <c r="Q9" s="6">
        <f>VLOOKUP($A9,'RES installed'!$A$2:$C$7,3,FALSE)*'[1]Profiles, RES, Winter'!Q$3</f>
        <v>10.045489006823351</v>
      </c>
      <c r="R9" s="6">
        <f>VLOOKUP($A9,'RES installed'!$A$2:$C$7,3,FALSE)*'[1]Profiles, RES, Winter'!R$3</f>
        <v>3.2031842304776346</v>
      </c>
      <c r="S9" s="6">
        <f>VLOOKUP($A9,'RES installed'!$A$2:$C$7,3,FALSE)*'[1]Profiles, RES, Winter'!S$3</f>
        <v>0.18953752843062927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4.5489006823351025E-2</v>
      </c>
      <c r="J10" s="6">
        <f>VLOOKUP($A10,'RES installed'!$A$2:$C$7,3,FALSE)*'[1]Profiles, RES, Winter'!J$3</f>
        <v>3.8893100833965129</v>
      </c>
      <c r="K10" s="6">
        <f>VLOOKUP($A10,'RES installed'!$A$2:$C$7,3,FALSE)*'[1]Profiles, RES, Winter'!K$3</f>
        <v>13.373768006065202</v>
      </c>
      <c r="L10" s="6">
        <f>VLOOKUP($A10,'RES installed'!$A$2:$C$7,3,FALSE)*'[1]Profiles, RES, Winter'!L$3</f>
        <v>20.538286580742987</v>
      </c>
      <c r="M10" s="6">
        <f>VLOOKUP($A10,'RES installed'!$A$2:$C$7,3,FALSE)*'[1]Profiles, RES, Winter'!M$3</f>
        <v>20.379075056861261</v>
      </c>
      <c r="N10" s="6">
        <f>VLOOKUP($A10,'RES installed'!$A$2:$C$7,3,FALSE)*'[1]Profiles, RES, Winter'!N$3</f>
        <v>22.653525398028808</v>
      </c>
      <c r="O10" s="6">
        <f>VLOOKUP($A10,'RES installed'!$A$2:$C$7,3,FALSE)*'[1]Profiles, RES, Winter'!O$3</f>
        <v>22.153146322971946</v>
      </c>
      <c r="P10" s="6">
        <f>VLOOKUP($A10,'RES installed'!$A$2:$C$7,3,FALSE)*'[1]Profiles, RES, Winter'!P$3</f>
        <v>18.741470811220619</v>
      </c>
      <c r="Q10" s="6">
        <f>VLOOKUP($A10,'RES installed'!$A$2:$C$7,3,FALSE)*'[1]Profiles, RES, Winter'!Q$3</f>
        <v>12.05458680818802</v>
      </c>
      <c r="R10" s="6">
        <f>VLOOKUP($A10,'RES installed'!$A$2:$C$7,3,FALSE)*'[1]Profiles, RES, Winter'!R$3</f>
        <v>3.8438210765731617</v>
      </c>
      <c r="S10" s="6">
        <f>VLOOKUP($A10,'RES installed'!$A$2:$C$7,3,FALSE)*'[1]Profiles, RES, Winter'!S$3</f>
        <v>0.22744503411675512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22.608390204737056</v>
      </c>
      <c r="C5" s="9">
        <f>VLOOKUP($A5,'RES installed'!$A$2:$C$7,3,FALSE)*'[1]Profiles, RES, Winter'!C$7</f>
        <v>22.509032517061421</v>
      </c>
      <c r="D5" s="9">
        <f>VLOOKUP($A5,'RES installed'!$A$2:$C$7,3,FALSE)*'[1]Profiles, RES, Winter'!D$7</f>
        <v>21.939983942191891</v>
      </c>
      <c r="E5" s="9">
        <f>VLOOKUP($A5,'RES installed'!$A$2:$C$7,3,FALSE)*'[1]Profiles, RES, Winter'!E$7</f>
        <v>22.481934965877159</v>
      </c>
      <c r="F5" s="9">
        <f>VLOOKUP($A5,'RES installed'!$A$2:$C$7,3,FALSE)*'[1]Profiles, RES, Winter'!F$7</f>
        <v>21.84965877157768</v>
      </c>
      <c r="G5" s="9">
        <f>VLOOKUP($A5,'RES installed'!$A$2:$C$7,3,FALSE)*'[1]Profiles, RES, Winter'!G$7</f>
        <v>21.732236049779207</v>
      </c>
      <c r="H5" s="9">
        <f>VLOOKUP($A5,'RES installed'!$A$2:$C$7,3,FALSE)*'[1]Profiles, RES, Winter'!H$7</f>
        <v>22.518065034122841</v>
      </c>
      <c r="I5" s="9">
        <f>VLOOKUP($A5,'RES installed'!$A$2:$C$7,3,FALSE)*'[1]Profiles, RES, Winter'!I$7</f>
        <v>21.163187474909677</v>
      </c>
      <c r="J5" s="9">
        <f>VLOOKUP($A5,'RES installed'!$A$2:$C$7,3,FALSE)*'[1]Profiles, RES, Winter'!J$7</f>
        <v>19.483139301485345</v>
      </c>
      <c r="K5" s="9">
        <f>VLOOKUP($A5,'RES installed'!$A$2:$C$7,3,FALSE)*'[1]Profiles, RES, Winter'!K$7</f>
        <v>18.245684464070653</v>
      </c>
      <c r="L5" s="9">
        <f>VLOOKUP($A5,'RES installed'!$A$2:$C$7,3,FALSE)*'[1]Profiles, RES, Winter'!L$7</f>
        <v>16.502408671216379</v>
      </c>
      <c r="M5" s="9">
        <f>VLOOKUP($A5,'RES installed'!$A$2:$C$7,3,FALSE)*'[1]Profiles, RES, Winter'!M$7</f>
        <v>14.217181854676838</v>
      </c>
      <c r="N5" s="9">
        <f>VLOOKUP($A5,'RES installed'!$A$2:$C$7,3,FALSE)*'[1]Profiles, RES, Winter'!N$7</f>
        <v>12.817141710156562</v>
      </c>
      <c r="O5" s="9">
        <f>VLOOKUP($A5,'RES installed'!$A$2:$C$7,3,FALSE)*'[1]Profiles, RES, Winter'!O$7</f>
        <v>12.735849056603774</v>
      </c>
      <c r="P5" s="9">
        <f>VLOOKUP($A5,'RES installed'!$A$2:$C$7,3,FALSE)*'[1]Profiles, RES, Winter'!P$7</f>
        <v>14.452027298273785</v>
      </c>
      <c r="Q5" s="9">
        <f>VLOOKUP($A5,'RES installed'!$A$2:$C$7,3,FALSE)*'[1]Profiles, RES, Winter'!Q$7</f>
        <v>14.957848253713367</v>
      </c>
      <c r="R5" s="9">
        <f>VLOOKUP($A5,'RES installed'!$A$2:$C$7,3,FALSE)*'[1]Profiles, RES, Winter'!R$7</f>
        <v>16.538538739462066</v>
      </c>
      <c r="S5" s="9">
        <f>VLOOKUP($A5,'RES installed'!$A$2:$C$7,3,FALSE)*'[1]Profiles, RES, Winter'!S$7</f>
        <v>19.167001204335609</v>
      </c>
      <c r="T5" s="9">
        <f>VLOOKUP($A5,'RES installed'!$A$2:$C$7,3,FALSE)*'[1]Profiles, RES, Winter'!T$7</f>
        <v>20.847049377759937</v>
      </c>
      <c r="U5" s="9">
        <f>VLOOKUP($A5,'RES installed'!$A$2:$C$7,3,FALSE)*'[1]Profiles, RES, Winter'!U$7</f>
        <v>22.09353673223605</v>
      </c>
      <c r="V5" s="9">
        <f>VLOOKUP($A5,'RES installed'!$A$2:$C$7,3,FALSE)*'[1]Profiles, RES, Winter'!V$7</f>
        <v>22.274187073464471</v>
      </c>
      <c r="W5" s="9">
        <f>VLOOKUP($A5,'RES installed'!$A$2:$C$7,3,FALSE)*'[1]Profiles, RES, Winter'!W$7</f>
        <v>20.530911280610194</v>
      </c>
      <c r="X5" s="9">
        <f>VLOOKUP($A5,'RES installed'!$A$2:$C$7,3,FALSE)*'[1]Profiles, RES, Winter'!X$7</f>
        <v>18.932155760738659</v>
      </c>
      <c r="Y5" s="9">
        <f>VLOOKUP($A5,'RES installed'!$A$2:$C$7,3,FALSE)*'[1]Profiles, RES, Winter'!Y$7</f>
        <v>18.182456844640708</v>
      </c>
    </row>
    <row r="6" spans="1:25" x14ac:dyDescent="0.3">
      <c r="A6" s="8">
        <v>5</v>
      </c>
      <c r="B6" s="9">
        <f>VLOOKUP($A6,'RES installed'!$A$2:$C$7,3,FALSE)*'[1]Profiles, RES, Winter'!B$7</f>
        <v>30.144520272982739</v>
      </c>
      <c r="C6" s="9">
        <f>VLOOKUP($A6,'RES installed'!$A$2:$C$7,3,FALSE)*'[1]Profiles, RES, Winter'!C$7</f>
        <v>30.012043356081897</v>
      </c>
      <c r="D6" s="9">
        <f>VLOOKUP($A6,'RES installed'!$A$2:$C$7,3,FALSE)*'[1]Profiles, RES, Winter'!D$7</f>
        <v>29.253311922922521</v>
      </c>
      <c r="E6" s="9">
        <f>VLOOKUP($A6,'RES installed'!$A$2:$C$7,3,FALSE)*'[1]Profiles, RES, Winter'!E$7</f>
        <v>29.97591328783621</v>
      </c>
      <c r="F6" s="9">
        <f>VLOOKUP($A6,'RES installed'!$A$2:$C$7,3,FALSE)*'[1]Profiles, RES, Winter'!F$7</f>
        <v>29.132878362103575</v>
      </c>
      <c r="G6" s="9">
        <f>VLOOKUP($A6,'RES installed'!$A$2:$C$7,3,FALSE)*'[1]Profiles, RES, Winter'!G$7</f>
        <v>28.97631473303894</v>
      </c>
      <c r="H6" s="9">
        <f>VLOOKUP($A6,'RES installed'!$A$2:$C$7,3,FALSE)*'[1]Profiles, RES, Winter'!H$7</f>
        <v>30.024086712163786</v>
      </c>
      <c r="I6" s="9">
        <f>VLOOKUP($A6,'RES installed'!$A$2:$C$7,3,FALSE)*'[1]Profiles, RES, Winter'!I$7</f>
        <v>28.217583299879568</v>
      </c>
      <c r="J6" s="9">
        <f>VLOOKUP($A6,'RES installed'!$A$2:$C$7,3,FALSE)*'[1]Profiles, RES, Winter'!J$7</f>
        <v>25.977519068647126</v>
      </c>
      <c r="K6" s="9">
        <f>VLOOKUP($A6,'RES installed'!$A$2:$C$7,3,FALSE)*'[1]Profiles, RES, Winter'!K$7</f>
        <v>24.327579285427539</v>
      </c>
      <c r="L6" s="9">
        <f>VLOOKUP($A6,'RES installed'!$A$2:$C$7,3,FALSE)*'[1]Profiles, RES, Winter'!L$7</f>
        <v>22.003211561621839</v>
      </c>
      <c r="M6" s="9">
        <f>VLOOKUP($A6,'RES installed'!$A$2:$C$7,3,FALSE)*'[1]Profiles, RES, Winter'!M$7</f>
        <v>18.956242472902449</v>
      </c>
      <c r="N6" s="9">
        <f>VLOOKUP($A6,'RES installed'!$A$2:$C$7,3,FALSE)*'[1]Profiles, RES, Winter'!N$7</f>
        <v>17.089522280208751</v>
      </c>
      <c r="O6" s="9">
        <f>VLOOKUP($A6,'RES installed'!$A$2:$C$7,3,FALSE)*'[1]Profiles, RES, Winter'!O$7</f>
        <v>16.981132075471699</v>
      </c>
      <c r="P6" s="9">
        <f>VLOOKUP($A6,'RES installed'!$A$2:$C$7,3,FALSE)*'[1]Profiles, RES, Winter'!P$7</f>
        <v>19.269369731031713</v>
      </c>
      <c r="Q6" s="9">
        <f>VLOOKUP($A6,'RES installed'!$A$2:$C$7,3,FALSE)*'[1]Profiles, RES, Winter'!Q$7</f>
        <v>19.943797671617823</v>
      </c>
      <c r="R6" s="9">
        <f>VLOOKUP($A6,'RES installed'!$A$2:$C$7,3,FALSE)*'[1]Profiles, RES, Winter'!R$7</f>
        <v>22.051384985949419</v>
      </c>
      <c r="S6" s="9">
        <f>VLOOKUP($A6,'RES installed'!$A$2:$C$7,3,FALSE)*'[1]Profiles, RES, Winter'!S$7</f>
        <v>25.556001605780811</v>
      </c>
      <c r="T6" s="9">
        <f>VLOOKUP($A6,'RES installed'!$A$2:$C$7,3,FALSE)*'[1]Profiles, RES, Winter'!T$7</f>
        <v>27.796065837013249</v>
      </c>
      <c r="U6" s="9">
        <f>VLOOKUP($A6,'RES installed'!$A$2:$C$7,3,FALSE)*'[1]Profiles, RES, Winter'!U$7</f>
        <v>29.458048976314732</v>
      </c>
      <c r="V6" s="9">
        <f>VLOOKUP($A6,'RES installed'!$A$2:$C$7,3,FALSE)*'[1]Profiles, RES, Winter'!V$7</f>
        <v>29.69891609795263</v>
      </c>
      <c r="W6" s="9">
        <f>VLOOKUP($A6,'RES installed'!$A$2:$C$7,3,FALSE)*'[1]Profiles, RES, Winter'!W$7</f>
        <v>27.374548374146926</v>
      </c>
      <c r="X6" s="9">
        <f>VLOOKUP($A6,'RES installed'!$A$2:$C$7,3,FALSE)*'[1]Profiles, RES, Winter'!X$7</f>
        <v>25.242874347651544</v>
      </c>
      <c r="Y6" s="9">
        <f>VLOOKUP($A6,'RES installed'!$A$2:$C$7,3,FALSE)*'[1]Profiles, RES, Winter'!Y$7</f>
        <v>24.243275792854277</v>
      </c>
    </row>
    <row r="7" spans="1:25" x14ac:dyDescent="0.3">
      <c r="A7" s="8">
        <v>6</v>
      </c>
      <c r="B7" s="9">
        <f>VLOOKUP($A7,'RES installed'!$A$2:$C$7,3,FALSE)*'[1]Profiles, RES, Winter'!B$7</f>
        <v>22.608390204737056</v>
      </c>
      <c r="C7" s="9">
        <f>VLOOKUP($A7,'RES installed'!$A$2:$C$7,3,FALSE)*'[1]Profiles, RES, Winter'!C$7</f>
        <v>22.509032517061421</v>
      </c>
      <c r="D7" s="9">
        <f>VLOOKUP($A7,'RES installed'!$A$2:$C$7,3,FALSE)*'[1]Profiles, RES, Winter'!D$7</f>
        <v>21.939983942191891</v>
      </c>
      <c r="E7" s="9">
        <f>VLOOKUP($A7,'RES installed'!$A$2:$C$7,3,FALSE)*'[1]Profiles, RES, Winter'!E$7</f>
        <v>22.481934965877159</v>
      </c>
      <c r="F7" s="9">
        <f>VLOOKUP($A7,'RES installed'!$A$2:$C$7,3,FALSE)*'[1]Profiles, RES, Winter'!F$7</f>
        <v>21.84965877157768</v>
      </c>
      <c r="G7" s="9">
        <f>VLOOKUP($A7,'RES installed'!$A$2:$C$7,3,FALSE)*'[1]Profiles, RES, Winter'!G$7</f>
        <v>21.732236049779207</v>
      </c>
      <c r="H7" s="9">
        <f>VLOOKUP($A7,'RES installed'!$A$2:$C$7,3,FALSE)*'[1]Profiles, RES, Winter'!H$7</f>
        <v>22.518065034122841</v>
      </c>
      <c r="I7" s="9">
        <f>VLOOKUP($A7,'RES installed'!$A$2:$C$7,3,FALSE)*'[1]Profiles, RES, Winter'!I$7</f>
        <v>21.163187474909677</v>
      </c>
      <c r="J7" s="9">
        <f>VLOOKUP($A7,'RES installed'!$A$2:$C$7,3,FALSE)*'[1]Profiles, RES, Winter'!J$7</f>
        <v>19.483139301485345</v>
      </c>
      <c r="K7" s="9">
        <f>VLOOKUP($A7,'RES installed'!$A$2:$C$7,3,FALSE)*'[1]Profiles, RES, Winter'!K$7</f>
        <v>18.245684464070653</v>
      </c>
      <c r="L7" s="9">
        <f>VLOOKUP($A7,'RES installed'!$A$2:$C$7,3,FALSE)*'[1]Profiles, RES, Winter'!L$7</f>
        <v>16.502408671216379</v>
      </c>
      <c r="M7" s="9">
        <f>VLOOKUP($A7,'RES installed'!$A$2:$C$7,3,FALSE)*'[1]Profiles, RES, Winter'!M$7</f>
        <v>14.217181854676838</v>
      </c>
      <c r="N7" s="9">
        <f>VLOOKUP($A7,'RES installed'!$A$2:$C$7,3,FALSE)*'[1]Profiles, RES, Winter'!N$7</f>
        <v>12.817141710156562</v>
      </c>
      <c r="O7" s="9">
        <f>VLOOKUP($A7,'RES installed'!$A$2:$C$7,3,FALSE)*'[1]Profiles, RES, Winter'!O$7</f>
        <v>12.735849056603774</v>
      </c>
      <c r="P7" s="9">
        <f>VLOOKUP($A7,'RES installed'!$A$2:$C$7,3,FALSE)*'[1]Profiles, RES, Winter'!P$7</f>
        <v>14.452027298273785</v>
      </c>
      <c r="Q7" s="9">
        <f>VLOOKUP($A7,'RES installed'!$A$2:$C$7,3,FALSE)*'[1]Profiles, RES, Winter'!Q$7</f>
        <v>14.957848253713367</v>
      </c>
      <c r="R7" s="9">
        <f>VLOOKUP($A7,'RES installed'!$A$2:$C$7,3,FALSE)*'[1]Profiles, RES, Winter'!R$7</f>
        <v>16.538538739462066</v>
      </c>
      <c r="S7" s="9">
        <f>VLOOKUP($A7,'RES installed'!$A$2:$C$7,3,FALSE)*'[1]Profiles, RES, Winter'!S$7</f>
        <v>19.167001204335609</v>
      </c>
      <c r="T7" s="9">
        <f>VLOOKUP($A7,'RES installed'!$A$2:$C$7,3,FALSE)*'[1]Profiles, RES, Winter'!T$7</f>
        <v>20.847049377759937</v>
      </c>
      <c r="U7" s="9">
        <f>VLOOKUP($A7,'RES installed'!$A$2:$C$7,3,FALSE)*'[1]Profiles, RES, Winter'!U$7</f>
        <v>22.09353673223605</v>
      </c>
      <c r="V7" s="9">
        <f>VLOOKUP($A7,'RES installed'!$A$2:$C$7,3,FALSE)*'[1]Profiles, RES, Winter'!V$7</f>
        <v>22.274187073464471</v>
      </c>
      <c r="W7" s="9">
        <f>VLOOKUP($A7,'RES installed'!$A$2:$C$7,3,FALSE)*'[1]Profiles, RES, Winter'!W$7</f>
        <v>20.530911280610194</v>
      </c>
      <c r="X7" s="9">
        <f>VLOOKUP($A7,'RES installed'!$A$2:$C$7,3,FALSE)*'[1]Profiles, RES, Winter'!X$7</f>
        <v>18.932155760738659</v>
      </c>
      <c r="Y7" s="9">
        <f>VLOOKUP($A7,'RES installed'!$A$2:$C$7,3,FALSE)*'[1]Profiles, RES, Winter'!Y$7</f>
        <v>18.182456844640708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2.843062926459439E-2</v>
      </c>
      <c r="J8" s="6">
        <f>VLOOKUP($A8,'RES installed'!$A$2:$C$7,3,FALSE)*'[1]Profiles, RES, Winter'!J$4</f>
        <v>2.5303260045489009</v>
      </c>
      <c r="K8" s="6">
        <f>VLOOKUP($A8,'RES installed'!$A$2:$C$7,3,FALSE)*'[1]Profiles, RES, Winter'!K$4</f>
        <v>10.860500379075058</v>
      </c>
      <c r="L8" s="6">
        <f>VLOOKUP($A8,'RES installed'!$A$2:$C$7,3,FALSE)*'[1]Profiles, RES, Winter'!L$4</f>
        <v>17.911296436694464</v>
      </c>
      <c r="M8" s="6">
        <f>VLOOKUP($A8,'RES installed'!$A$2:$C$7,3,FALSE)*'[1]Profiles, RES, Winter'!M$4</f>
        <v>20.356330553449585</v>
      </c>
      <c r="N8" s="6">
        <f>VLOOKUP($A8,'RES installed'!$A$2:$C$7,3,FALSE)*'[1]Profiles, RES, Winter'!N$4</f>
        <v>19.446550416982564</v>
      </c>
      <c r="O8" s="6">
        <f>VLOOKUP($A8,'RES installed'!$A$2:$C$7,3,FALSE)*'[1]Profiles, RES, Winter'!O$4</f>
        <v>19.816148597422291</v>
      </c>
      <c r="P8" s="6">
        <f>VLOOKUP($A8,'RES installed'!$A$2:$C$7,3,FALSE)*'[1]Profiles, RES, Winter'!P$4</f>
        <v>21.436694465504171</v>
      </c>
      <c r="Q8" s="6">
        <f>VLOOKUP($A8,'RES installed'!$A$2:$C$7,3,FALSE)*'[1]Profiles, RES, Winter'!Q$4</f>
        <v>19.531842304776344</v>
      </c>
      <c r="R8" s="6">
        <f>VLOOKUP($A8,'RES installed'!$A$2:$C$7,3,FALSE)*'[1]Profiles, RES, Winter'!R$4</f>
        <v>8.8987869598180431</v>
      </c>
      <c r="S8" s="6">
        <f>VLOOKUP($A8,'RES installed'!$A$2:$C$7,3,FALSE)*'[1]Profiles, RES, Winter'!S$4</f>
        <v>0.45489006823351025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1.8953752843062926E-2</v>
      </c>
      <c r="J9" s="6">
        <f>VLOOKUP($A9,'RES installed'!$A$2:$C$7,3,FALSE)*'[1]Profiles, RES, Winter'!J$4</f>
        <v>1.6868840030326004</v>
      </c>
      <c r="K9" s="6">
        <f>VLOOKUP($A9,'RES installed'!$A$2:$C$7,3,FALSE)*'[1]Profiles, RES, Winter'!K$4</f>
        <v>7.2403335860500375</v>
      </c>
      <c r="L9" s="6">
        <f>VLOOKUP($A9,'RES installed'!$A$2:$C$7,3,FALSE)*'[1]Profiles, RES, Winter'!L$4</f>
        <v>11.940864291129644</v>
      </c>
      <c r="M9" s="6">
        <f>VLOOKUP($A9,'RES installed'!$A$2:$C$7,3,FALSE)*'[1]Profiles, RES, Winter'!M$4</f>
        <v>13.570887035633056</v>
      </c>
      <c r="N9" s="6">
        <f>VLOOKUP($A9,'RES installed'!$A$2:$C$7,3,FALSE)*'[1]Profiles, RES, Winter'!N$4</f>
        <v>12.964366944655042</v>
      </c>
      <c r="O9" s="6">
        <f>VLOOKUP($A9,'RES installed'!$A$2:$C$7,3,FALSE)*'[1]Profiles, RES, Winter'!O$4</f>
        <v>13.21076573161486</v>
      </c>
      <c r="P9" s="6">
        <f>VLOOKUP($A9,'RES installed'!$A$2:$C$7,3,FALSE)*'[1]Profiles, RES, Winter'!P$4</f>
        <v>14.291129643669448</v>
      </c>
      <c r="Q9" s="6">
        <f>VLOOKUP($A9,'RES installed'!$A$2:$C$7,3,FALSE)*'[1]Profiles, RES, Winter'!Q$4</f>
        <v>13.021228203184229</v>
      </c>
      <c r="R9" s="6">
        <f>VLOOKUP($A9,'RES installed'!$A$2:$C$7,3,FALSE)*'[1]Profiles, RES, Winter'!R$4</f>
        <v>5.9325246398786957</v>
      </c>
      <c r="S9" s="6">
        <f>VLOOKUP($A9,'RES installed'!$A$2:$C$7,3,FALSE)*'[1]Profiles, RES, Winter'!S$4</f>
        <v>0.30326004548900681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2.2744503411675512E-2</v>
      </c>
      <c r="J10" s="6">
        <f>VLOOKUP($A10,'RES installed'!$A$2:$C$7,3,FALSE)*'[1]Profiles, RES, Winter'!J$4</f>
        <v>2.0242608036391205</v>
      </c>
      <c r="K10" s="6">
        <f>VLOOKUP($A10,'RES installed'!$A$2:$C$7,3,FALSE)*'[1]Profiles, RES, Winter'!K$4</f>
        <v>8.6884003032600461</v>
      </c>
      <c r="L10" s="6">
        <f>VLOOKUP($A10,'RES installed'!$A$2:$C$7,3,FALSE)*'[1]Profiles, RES, Winter'!L$4</f>
        <v>14.329037149355573</v>
      </c>
      <c r="M10" s="6">
        <f>VLOOKUP($A10,'RES installed'!$A$2:$C$7,3,FALSE)*'[1]Profiles, RES, Winter'!M$4</f>
        <v>16.285064442759666</v>
      </c>
      <c r="N10" s="6">
        <f>VLOOKUP($A10,'RES installed'!$A$2:$C$7,3,FALSE)*'[1]Profiles, RES, Winter'!N$4</f>
        <v>15.557240333586051</v>
      </c>
      <c r="O10" s="6">
        <f>VLOOKUP($A10,'RES installed'!$A$2:$C$7,3,FALSE)*'[1]Profiles, RES, Winter'!O$4</f>
        <v>15.852918877937832</v>
      </c>
      <c r="P10" s="6">
        <f>VLOOKUP($A10,'RES installed'!$A$2:$C$7,3,FALSE)*'[1]Profiles, RES, Winter'!P$4</f>
        <v>17.149355572403337</v>
      </c>
      <c r="Q10" s="6">
        <f>VLOOKUP($A10,'RES installed'!$A$2:$C$7,3,FALSE)*'[1]Profiles, RES, Winter'!Q$4</f>
        <v>15.625473843821075</v>
      </c>
      <c r="R10" s="6">
        <f>VLOOKUP($A10,'RES installed'!$A$2:$C$7,3,FALSE)*'[1]Profiles, RES, Winter'!R$4</f>
        <v>7.1190295678544349</v>
      </c>
      <c r="S10" s="6">
        <f>VLOOKUP($A10,'RES installed'!$A$2:$C$7,3,FALSE)*'[1]Profiles, RES, Winter'!S$4</f>
        <v>0.3639120545868082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BFD42-4C76-4AC7-A518-39977CCB74F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24.396828582898433</v>
      </c>
      <c r="C5" s="9">
        <f>VLOOKUP($A5,'RES installed'!$A$2:$C$7,3,FALSE)*'[1]Profiles, RES, Winter'!C$5</f>
        <v>26.248494580489762</v>
      </c>
      <c r="D5" s="9">
        <f>VLOOKUP($A5,'RES installed'!$A$2:$C$7,3,FALSE)*'[1]Profiles, RES, Winter'!D$5</f>
        <v>26.113006824568448</v>
      </c>
      <c r="E5" s="9">
        <f>VLOOKUP($A5,'RES installed'!$A$2:$C$7,3,FALSE)*'[1]Profiles, RES, Winter'!E$5</f>
        <v>26.167201926936976</v>
      </c>
      <c r="F5" s="9">
        <f>VLOOKUP($A5,'RES installed'!$A$2:$C$7,3,FALSE)*'[1]Profiles, RES, Winter'!F$5</f>
        <v>27.088518667201928</v>
      </c>
      <c r="G5" s="9">
        <f>VLOOKUP($A5,'RES installed'!$A$2:$C$7,3,FALSE)*'[1]Profiles, RES, Winter'!G$5</f>
        <v>28.596949016459256</v>
      </c>
      <c r="H5" s="9">
        <f>VLOOKUP($A5,'RES installed'!$A$2:$C$7,3,FALSE)*'[1]Profiles, RES, Winter'!H$5</f>
        <v>30.466680048173423</v>
      </c>
      <c r="I5" s="9">
        <f>VLOOKUP($A5,'RES installed'!$A$2:$C$7,3,FALSE)*'[1]Profiles, RES, Winter'!I$5</f>
        <v>30.520875150541951</v>
      </c>
      <c r="J5" s="9">
        <f>VLOOKUP($A5,'RES installed'!$A$2:$C$7,3,FALSE)*'[1]Profiles, RES, Winter'!J$5</f>
        <v>30.249899638699318</v>
      </c>
      <c r="K5" s="9">
        <f>VLOOKUP($A5,'RES installed'!$A$2:$C$7,3,FALSE)*'[1]Profiles, RES, Winter'!K$5</f>
        <v>28.389201124046568</v>
      </c>
      <c r="L5" s="9">
        <f>VLOOKUP($A5,'RES installed'!$A$2:$C$7,3,FALSE)*'[1]Profiles, RES, Winter'!L$5</f>
        <v>24.758129265355279</v>
      </c>
      <c r="M5" s="9">
        <f>VLOOKUP($A5,'RES installed'!$A$2:$C$7,3,FALSE)*'[1]Profiles, RES, Winter'!M$5</f>
        <v>22.780008028904053</v>
      </c>
      <c r="N5" s="9">
        <f>VLOOKUP($A5,'RES installed'!$A$2:$C$7,3,FALSE)*'[1]Profiles, RES, Winter'!N$5</f>
        <v>21.885788839823366</v>
      </c>
      <c r="O5" s="9">
        <f>VLOOKUP($A5,'RES installed'!$A$2:$C$7,3,FALSE)*'[1]Profiles, RES, Winter'!O$5</f>
        <v>20.39542352468888</v>
      </c>
      <c r="P5" s="9">
        <f>VLOOKUP($A5,'RES installed'!$A$2:$C$7,3,FALSE)*'[1]Profiles, RES, Winter'!P$5</f>
        <v>18.643115214773182</v>
      </c>
      <c r="Q5" s="9">
        <f>VLOOKUP($A5,'RES installed'!$A$2:$C$7,3,FALSE)*'[1]Profiles, RES, Winter'!Q$5</f>
        <v>18.805700521878762</v>
      </c>
      <c r="R5" s="9">
        <f>VLOOKUP($A5,'RES installed'!$A$2:$C$7,3,FALSE)*'[1]Profiles, RES, Winter'!R$5</f>
        <v>19.51023685266961</v>
      </c>
      <c r="S5" s="9">
        <f>VLOOKUP($A5,'RES installed'!$A$2:$C$7,3,FALSE)*'[1]Profiles, RES, Winter'!S$5</f>
        <v>22.481934965877159</v>
      </c>
      <c r="T5" s="9">
        <f>VLOOKUP($A5,'RES installed'!$A$2:$C$7,3,FALSE)*'[1]Profiles, RES, Winter'!T$5</f>
        <v>24.342633480529908</v>
      </c>
      <c r="U5" s="9">
        <f>VLOOKUP($A5,'RES installed'!$A$2:$C$7,3,FALSE)*'[1]Profiles, RES, Winter'!U$5</f>
        <v>24.947812123645122</v>
      </c>
      <c r="V5" s="9">
        <f>VLOOKUP($A5,'RES installed'!$A$2:$C$7,3,FALSE)*'[1]Profiles, RES, Winter'!V$5</f>
        <v>24.125853071055801</v>
      </c>
      <c r="W5" s="9">
        <f>VLOOKUP($A5,'RES installed'!$A$2:$C$7,3,FALSE)*'[1]Profiles, RES, Winter'!W$5</f>
        <v>22.816138097149736</v>
      </c>
      <c r="X5" s="9">
        <f>VLOOKUP($A5,'RES installed'!$A$2:$C$7,3,FALSE)*'[1]Profiles, RES, Winter'!X$5</f>
        <v>23.060016057808109</v>
      </c>
      <c r="Y5" s="9">
        <f>VLOOKUP($A5,'RES installed'!$A$2:$C$7,3,FALSE)*'[1]Profiles, RES, Winter'!Y$5</f>
        <v>24.008430349257328</v>
      </c>
    </row>
    <row r="6" spans="1:25" x14ac:dyDescent="0.3">
      <c r="A6" s="8">
        <v>5</v>
      </c>
      <c r="B6" s="9">
        <f>VLOOKUP($A6,'RES installed'!$A$2:$C$7,3,FALSE)*'[1]Profiles, RES, Winter'!B$5</f>
        <v>32.529104777197915</v>
      </c>
      <c r="C6" s="9">
        <f>VLOOKUP($A6,'RES installed'!$A$2:$C$7,3,FALSE)*'[1]Profiles, RES, Winter'!C$5</f>
        <v>34.997992773986347</v>
      </c>
      <c r="D6" s="9">
        <f>VLOOKUP($A6,'RES installed'!$A$2:$C$7,3,FALSE)*'[1]Profiles, RES, Winter'!D$5</f>
        <v>34.817342432757933</v>
      </c>
      <c r="E6" s="9">
        <f>VLOOKUP($A6,'RES installed'!$A$2:$C$7,3,FALSE)*'[1]Profiles, RES, Winter'!E$5</f>
        <v>34.889602569249298</v>
      </c>
      <c r="F6" s="9">
        <f>VLOOKUP($A6,'RES installed'!$A$2:$C$7,3,FALSE)*'[1]Profiles, RES, Winter'!F$5</f>
        <v>36.118024889602573</v>
      </c>
      <c r="G6" s="9">
        <f>VLOOKUP($A6,'RES installed'!$A$2:$C$7,3,FALSE)*'[1]Profiles, RES, Winter'!G$5</f>
        <v>38.12926535527901</v>
      </c>
      <c r="H6" s="9">
        <f>VLOOKUP($A6,'RES installed'!$A$2:$C$7,3,FALSE)*'[1]Profiles, RES, Winter'!H$5</f>
        <v>40.622240064231228</v>
      </c>
      <c r="I6" s="9">
        <f>VLOOKUP($A6,'RES installed'!$A$2:$C$7,3,FALSE)*'[1]Profiles, RES, Winter'!I$5</f>
        <v>40.694500200722601</v>
      </c>
      <c r="J6" s="9">
        <f>VLOOKUP($A6,'RES installed'!$A$2:$C$7,3,FALSE)*'[1]Profiles, RES, Winter'!J$5</f>
        <v>40.333199518265758</v>
      </c>
      <c r="K6" s="9">
        <f>VLOOKUP($A6,'RES installed'!$A$2:$C$7,3,FALSE)*'[1]Profiles, RES, Winter'!K$5</f>
        <v>37.852268165395422</v>
      </c>
      <c r="L6" s="9">
        <f>VLOOKUP($A6,'RES installed'!$A$2:$C$7,3,FALSE)*'[1]Profiles, RES, Winter'!L$5</f>
        <v>33.010839020473703</v>
      </c>
      <c r="M6" s="9">
        <f>VLOOKUP($A6,'RES installed'!$A$2:$C$7,3,FALSE)*'[1]Profiles, RES, Winter'!M$5</f>
        <v>30.373344038538736</v>
      </c>
      <c r="N6" s="9">
        <f>VLOOKUP($A6,'RES installed'!$A$2:$C$7,3,FALSE)*'[1]Profiles, RES, Winter'!N$5</f>
        <v>29.181051786431155</v>
      </c>
      <c r="O6" s="9">
        <f>VLOOKUP($A6,'RES installed'!$A$2:$C$7,3,FALSE)*'[1]Profiles, RES, Winter'!O$5</f>
        <v>27.193898032918508</v>
      </c>
      <c r="P6" s="9">
        <f>VLOOKUP($A6,'RES installed'!$A$2:$C$7,3,FALSE)*'[1]Profiles, RES, Winter'!P$5</f>
        <v>24.857486953030911</v>
      </c>
      <c r="Q6" s="9">
        <f>VLOOKUP($A6,'RES installed'!$A$2:$C$7,3,FALSE)*'[1]Profiles, RES, Winter'!Q$5</f>
        <v>25.074267362505019</v>
      </c>
      <c r="R6" s="9">
        <f>VLOOKUP($A6,'RES installed'!$A$2:$C$7,3,FALSE)*'[1]Profiles, RES, Winter'!R$5</f>
        <v>26.013649136892816</v>
      </c>
      <c r="S6" s="9">
        <f>VLOOKUP($A6,'RES installed'!$A$2:$C$7,3,FALSE)*'[1]Profiles, RES, Winter'!S$5</f>
        <v>29.97591328783621</v>
      </c>
      <c r="T6" s="9">
        <f>VLOOKUP($A6,'RES installed'!$A$2:$C$7,3,FALSE)*'[1]Profiles, RES, Winter'!T$5</f>
        <v>32.456844640706549</v>
      </c>
      <c r="U6" s="9">
        <f>VLOOKUP($A6,'RES installed'!$A$2:$C$7,3,FALSE)*'[1]Profiles, RES, Winter'!U$5</f>
        <v>33.263749498193498</v>
      </c>
      <c r="V6" s="9">
        <f>VLOOKUP($A6,'RES installed'!$A$2:$C$7,3,FALSE)*'[1]Profiles, RES, Winter'!V$5</f>
        <v>32.167804094741065</v>
      </c>
      <c r="W6" s="9">
        <f>VLOOKUP($A6,'RES installed'!$A$2:$C$7,3,FALSE)*'[1]Profiles, RES, Winter'!W$5</f>
        <v>30.421517462866316</v>
      </c>
      <c r="X6" s="9">
        <f>VLOOKUP($A6,'RES installed'!$A$2:$C$7,3,FALSE)*'[1]Profiles, RES, Winter'!X$5</f>
        <v>30.746688077077479</v>
      </c>
      <c r="Y6" s="9">
        <f>VLOOKUP($A6,'RES installed'!$A$2:$C$7,3,FALSE)*'[1]Profiles, RES, Winter'!Y$5</f>
        <v>32.011240465676437</v>
      </c>
    </row>
    <row r="7" spans="1:25" x14ac:dyDescent="0.3">
      <c r="A7" s="8">
        <v>6</v>
      </c>
      <c r="B7" s="9">
        <f>VLOOKUP($A7,'RES installed'!$A$2:$C$7,3,FALSE)*'[1]Profiles, RES, Winter'!B$5</f>
        <v>24.396828582898433</v>
      </c>
      <c r="C7" s="9">
        <f>VLOOKUP($A7,'RES installed'!$A$2:$C$7,3,FALSE)*'[1]Profiles, RES, Winter'!C$5</f>
        <v>26.248494580489762</v>
      </c>
      <c r="D7" s="9">
        <f>VLOOKUP($A7,'RES installed'!$A$2:$C$7,3,FALSE)*'[1]Profiles, RES, Winter'!D$5</f>
        <v>26.113006824568448</v>
      </c>
      <c r="E7" s="9">
        <f>VLOOKUP($A7,'RES installed'!$A$2:$C$7,3,FALSE)*'[1]Profiles, RES, Winter'!E$5</f>
        <v>26.167201926936976</v>
      </c>
      <c r="F7" s="9">
        <f>VLOOKUP($A7,'RES installed'!$A$2:$C$7,3,FALSE)*'[1]Profiles, RES, Winter'!F$5</f>
        <v>27.088518667201928</v>
      </c>
      <c r="G7" s="9">
        <f>VLOOKUP($A7,'RES installed'!$A$2:$C$7,3,FALSE)*'[1]Profiles, RES, Winter'!G$5</f>
        <v>28.596949016459256</v>
      </c>
      <c r="H7" s="9">
        <f>VLOOKUP($A7,'RES installed'!$A$2:$C$7,3,FALSE)*'[1]Profiles, RES, Winter'!H$5</f>
        <v>30.466680048173423</v>
      </c>
      <c r="I7" s="9">
        <f>VLOOKUP($A7,'RES installed'!$A$2:$C$7,3,FALSE)*'[1]Profiles, RES, Winter'!I$5</f>
        <v>30.520875150541951</v>
      </c>
      <c r="J7" s="9">
        <f>VLOOKUP($A7,'RES installed'!$A$2:$C$7,3,FALSE)*'[1]Profiles, RES, Winter'!J$5</f>
        <v>30.249899638699318</v>
      </c>
      <c r="K7" s="9">
        <f>VLOOKUP($A7,'RES installed'!$A$2:$C$7,3,FALSE)*'[1]Profiles, RES, Winter'!K$5</f>
        <v>28.389201124046568</v>
      </c>
      <c r="L7" s="9">
        <f>VLOOKUP($A7,'RES installed'!$A$2:$C$7,3,FALSE)*'[1]Profiles, RES, Winter'!L$5</f>
        <v>24.758129265355279</v>
      </c>
      <c r="M7" s="9">
        <f>VLOOKUP($A7,'RES installed'!$A$2:$C$7,3,FALSE)*'[1]Profiles, RES, Winter'!M$5</f>
        <v>22.780008028904053</v>
      </c>
      <c r="N7" s="9">
        <f>VLOOKUP($A7,'RES installed'!$A$2:$C$7,3,FALSE)*'[1]Profiles, RES, Winter'!N$5</f>
        <v>21.885788839823366</v>
      </c>
      <c r="O7" s="9">
        <f>VLOOKUP($A7,'RES installed'!$A$2:$C$7,3,FALSE)*'[1]Profiles, RES, Winter'!O$5</f>
        <v>20.39542352468888</v>
      </c>
      <c r="P7" s="9">
        <f>VLOOKUP($A7,'RES installed'!$A$2:$C$7,3,FALSE)*'[1]Profiles, RES, Winter'!P$5</f>
        <v>18.643115214773182</v>
      </c>
      <c r="Q7" s="9">
        <f>VLOOKUP($A7,'RES installed'!$A$2:$C$7,3,FALSE)*'[1]Profiles, RES, Winter'!Q$5</f>
        <v>18.805700521878762</v>
      </c>
      <c r="R7" s="9">
        <f>VLOOKUP($A7,'RES installed'!$A$2:$C$7,3,FALSE)*'[1]Profiles, RES, Winter'!R$5</f>
        <v>19.51023685266961</v>
      </c>
      <c r="S7" s="9">
        <f>VLOOKUP($A7,'RES installed'!$A$2:$C$7,3,FALSE)*'[1]Profiles, RES, Winter'!S$5</f>
        <v>22.481934965877159</v>
      </c>
      <c r="T7" s="9">
        <f>VLOOKUP($A7,'RES installed'!$A$2:$C$7,3,FALSE)*'[1]Profiles, RES, Winter'!T$5</f>
        <v>24.342633480529908</v>
      </c>
      <c r="U7" s="9">
        <f>VLOOKUP($A7,'RES installed'!$A$2:$C$7,3,FALSE)*'[1]Profiles, RES, Winter'!U$5</f>
        <v>24.947812123645122</v>
      </c>
      <c r="V7" s="9">
        <f>VLOOKUP($A7,'RES installed'!$A$2:$C$7,3,FALSE)*'[1]Profiles, RES, Winter'!V$5</f>
        <v>24.125853071055801</v>
      </c>
      <c r="W7" s="9">
        <f>VLOOKUP($A7,'RES installed'!$A$2:$C$7,3,FALSE)*'[1]Profiles, RES, Winter'!W$5</f>
        <v>22.816138097149736</v>
      </c>
      <c r="X7" s="9">
        <f>VLOOKUP($A7,'RES installed'!$A$2:$C$7,3,FALSE)*'[1]Profiles, RES, Winter'!X$5</f>
        <v>23.060016057808109</v>
      </c>
      <c r="Y7" s="9">
        <f>VLOOKUP($A7,'RES installed'!$A$2:$C$7,3,FALSE)*'[1]Profiles, RES, Winter'!Y$5</f>
        <v>24.008430349257328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2.843062926459439E-2</v>
      </c>
      <c r="J8" s="6">
        <f>VLOOKUP($A8,'RES installed'!$A$2:$C$7,3,FALSE)*'[1]Profiles, RES, Winter'!J$2</f>
        <v>3.3263836239575437</v>
      </c>
      <c r="K8" s="6">
        <f>VLOOKUP($A8,'RES installed'!$A$2:$C$7,3,FALSE)*'[1]Profiles, RES, Winter'!K$2</f>
        <v>14.044730856709629</v>
      </c>
      <c r="L8" s="6">
        <f>VLOOKUP($A8,'RES installed'!$A$2:$C$7,3,FALSE)*'[1]Profiles, RES, Winter'!L$2</f>
        <v>24.706216830932526</v>
      </c>
      <c r="M8" s="6">
        <f>VLOOKUP($A8,'RES installed'!$A$2:$C$7,3,FALSE)*'[1]Profiles, RES, Winter'!M$2</f>
        <v>29.3972706595906</v>
      </c>
      <c r="N8" s="6">
        <f>VLOOKUP($A8,'RES installed'!$A$2:$C$7,3,FALSE)*'[1]Profiles, RES, Winter'!N$2</f>
        <v>28.288476118271419</v>
      </c>
      <c r="O8" s="6">
        <f>VLOOKUP($A8,'RES installed'!$A$2:$C$7,3,FALSE)*'[1]Profiles, RES, Winter'!O$2</f>
        <v>28.515921152388174</v>
      </c>
      <c r="P8" s="6">
        <f>VLOOKUP($A8,'RES installed'!$A$2:$C$7,3,FALSE)*'[1]Profiles, RES, Winter'!P$2</f>
        <v>26.923805913570888</v>
      </c>
      <c r="Q8" s="6">
        <f>VLOOKUP($A8,'RES installed'!$A$2:$C$7,3,FALSE)*'[1]Profiles, RES, Winter'!Q$2</f>
        <v>20.15731614859742</v>
      </c>
      <c r="R8" s="6">
        <f>VLOOKUP($A8,'RES installed'!$A$2:$C$7,3,FALSE)*'[1]Profiles, RES, Winter'!R$2</f>
        <v>7.5909780136467022</v>
      </c>
      <c r="S8" s="6">
        <f>VLOOKUP($A8,'RES installed'!$A$2:$C$7,3,FALSE)*'[1]Profiles, RES, Winter'!S$2</f>
        <v>0.3411675511751327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1.8953752843062926E-2</v>
      </c>
      <c r="J9" s="6">
        <f>VLOOKUP($A9,'RES installed'!$A$2:$C$7,3,FALSE)*'[1]Profiles, RES, Winter'!J$2</f>
        <v>2.2175890826383626</v>
      </c>
      <c r="K9" s="6">
        <f>VLOOKUP($A9,'RES installed'!$A$2:$C$7,3,FALSE)*'[1]Profiles, RES, Winter'!K$2</f>
        <v>9.3631539044730854</v>
      </c>
      <c r="L9" s="6">
        <f>VLOOKUP($A9,'RES installed'!$A$2:$C$7,3,FALSE)*'[1]Profiles, RES, Winter'!L$2</f>
        <v>16.470811220621684</v>
      </c>
      <c r="M9" s="6">
        <f>VLOOKUP($A9,'RES installed'!$A$2:$C$7,3,FALSE)*'[1]Profiles, RES, Winter'!M$2</f>
        <v>19.598180439727066</v>
      </c>
      <c r="N9" s="6">
        <f>VLOOKUP($A9,'RES installed'!$A$2:$C$7,3,FALSE)*'[1]Profiles, RES, Winter'!N$2</f>
        <v>18.858984078847612</v>
      </c>
      <c r="O9" s="6">
        <f>VLOOKUP($A9,'RES installed'!$A$2:$C$7,3,FALSE)*'[1]Profiles, RES, Winter'!O$2</f>
        <v>19.010614101592115</v>
      </c>
      <c r="P9" s="6">
        <f>VLOOKUP($A9,'RES installed'!$A$2:$C$7,3,FALSE)*'[1]Profiles, RES, Winter'!P$2</f>
        <v>17.949203942380592</v>
      </c>
      <c r="Q9" s="6">
        <f>VLOOKUP($A9,'RES installed'!$A$2:$C$7,3,FALSE)*'[1]Profiles, RES, Winter'!Q$2</f>
        <v>13.438210765731615</v>
      </c>
      <c r="R9" s="6">
        <f>VLOOKUP($A9,'RES installed'!$A$2:$C$7,3,FALSE)*'[1]Profiles, RES, Winter'!R$2</f>
        <v>5.0606520090978009</v>
      </c>
      <c r="S9" s="6">
        <f>VLOOKUP($A9,'RES installed'!$A$2:$C$7,3,FALSE)*'[1]Profiles, RES, Winter'!S$2</f>
        <v>0.22744503411675512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2.2744503411675512E-2</v>
      </c>
      <c r="J10" s="6">
        <f>VLOOKUP($A10,'RES installed'!$A$2:$C$7,3,FALSE)*'[1]Profiles, RES, Winter'!J$2</f>
        <v>2.6611068991660352</v>
      </c>
      <c r="K10" s="6">
        <f>VLOOKUP($A10,'RES installed'!$A$2:$C$7,3,FALSE)*'[1]Profiles, RES, Winter'!K$2</f>
        <v>11.235784685367703</v>
      </c>
      <c r="L10" s="6">
        <f>VLOOKUP($A10,'RES installed'!$A$2:$C$7,3,FALSE)*'[1]Profiles, RES, Winter'!L$2</f>
        <v>19.764973464746021</v>
      </c>
      <c r="M10" s="6">
        <f>VLOOKUP($A10,'RES installed'!$A$2:$C$7,3,FALSE)*'[1]Profiles, RES, Winter'!M$2</f>
        <v>23.51781652767248</v>
      </c>
      <c r="N10" s="6">
        <f>VLOOKUP($A10,'RES installed'!$A$2:$C$7,3,FALSE)*'[1]Profiles, RES, Winter'!N$2</f>
        <v>22.630780894617136</v>
      </c>
      <c r="O10" s="6">
        <f>VLOOKUP($A10,'RES installed'!$A$2:$C$7,3,FALSE)*'[1]Profiles, RES, Winter'!O$2</f>
        <v>22.812736921910538</v>
      </c>
      <c r="P10" s="6">
        <f>VLOOKUP($A10,'RES installed'!$A$2:$C$7,3,FALSE)*'[1]Profiles, RES, Winter'!P$2</f>
        <v>21.539044730856713</v>
      </c>
      <c r="Q10" s="6">
        <f>VLOOKUP($A10,'RES installed'!$A$2:$C$7,3,FALSE)*'[1]Profiles, RES, Winter'!Q$2</f>
        <v>16.125852918877939</v>
      </c>
      <c r="R10" s="6">
        <f>VLOOKUP($A10,'RES installed'!$A$2:$C$7,3,FALSE)*'[1]Profiles, RES, Winter'!R$2</f>
        <v>6.0727824109173616</v>
      </c>
      <c r="S10" s="6">
        <f>VLOOKUP($A10,'RES installed'!$A$2:$C$7,3,FALSE)*'[1]Profiles, RES, Winter'!S$2</f>
        <v>0.27293404094010615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4C0DD-63EC-452B-B727-E7633F01A28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23.610999598554798</v>
      </c>
      <c r="C5" s="9">
        <f>VLOOKUP($A5,'RES installed'!$A$2:$C$7,3,FALSE)*'[1]Profiles, RES, Winter'!C$6</f>
        <v>23.972300281011641</v>
      </c>
      <c r="D5" s="9">
        <f>VLOOKUP($A5,'RES installed'!$A$2:$C$7,3,FALSE)*'[1]Profiles, RES, Winter'!D$6</f>
        <v>24.053592934564428</v>
      </c>
      <c r="E5" s="9">
        <f>VLOOKUP($A5,'RES installed'!$A$2:$C$7,3,FALSE)*'[1]Profiles, RES, Winter'!E$6</f>
        <v>21.994179044560418</v>
      </c>
      <c r="F5" s="9">
        <f>VLOOKUP($A5,'RES installed'!$A$2:$C$7,3,FALSE)*'[1]Profiles, RES, Winter'!F$6</f>
        <v>22.698715375351266</v>
      </c>
      <c r="G5" s="9">
        <f>VLOOKUP($A5,'RES installed'!$A$2:$C$7,3,FALSE)*'[1]Profiles, RES, Winter'!G$6</f>
        <v>23.963267763950221</v>
      </c>
      <c r="H5" s="9">
        <f>VLOOKUP($A5,'RES installed'!$A$2:$C$7,3,FALSE)*'[1]Profiles, RES, Winter'!H$6</f>
        <v>24.532316338819751</v>
      </c>
      <c r="I5" s="9">
        <f>VLOOKUP($A5,'RES installed'!$A$2:$C$7,3,FALSE)*'[1]Profiles, RES, Winter'!I$6</f>
        <v>23.367121637896425</v>
      </c>
      <c r="J5" s="9">
        <f>VLOOKUP($A5,'RES installed'!$A$2:$C$7,3,FALSE)*'[1]Profiles, RES, Winter'!J$6</f>
        <v>22.238057005218788</v>
      </c>
      <c r="K5" s="9">
        <f>VLOOKUP($A5,'RES installed'!$A$2:$C$7,3,FALSE)*'[1]Profiles, RES, Winter'!K$6</f>
        <v>20.946407065435569</v>
      </c>
      <c r="L5" s="9">
        <f>VLOOKUP($A5,'RES installed'!$A$2:$C$7,3,FALSE)*'[1]Profiles, RES, Winter'!L$6</f>
        <v>19.681854676836611</v>
      </c>
      <c r="M5" s="9">
        <f>VLOOKUP($A5,'RES installed'!$A$2:$C$7,3,FALSE)*'[1]Profiles, RES, Winter'!M$6</f>
        <v>18.597952629466079</v>
      </c>
      <c r="N5" s="9">
        <f>VLOOKUP($A5,'RES installed'!$A$2:$C$7,3,FALSE)*'[1]Profiles, RES, Winter'!N$6</f>
        <v>17.143717382577279</v>
      </c>
      <c r="O5" s="9">
        <f>VLOOKUP($A5,'RES installed'!$A$2:$C$7,3,FALSE)*'[1]Profiles, RES, Winter'!O$6</f>
        <v>13.27780008028904</v>
      </c>
      <c r="P5" s="9">
        <f>VLOOKUP($A5,'RES installed'!$A$2:$C$7,3,FALSE)*'[1]Profiles, RES, Winter'!P$6</f>
        <v>12.988759534323565</v>
      </c>
      <c r="Q5" s="9">
        <f>VLOOKUP($A5,'RES installed'!$A$2:$C$7,3,FALSE)*'[1]Profiles, RES, Winter'!Q$6</f>
        <v>13.214572460859094</v>
      </c>
      <c r="R5" s="9">
        <f>VLOOKUP($A5,'RES installed'!$A$2:$C$7,3,FALSE)*'[1]Profiles, RES, Winter'!R$6</f>
        <v>16.764351665997591</v>
      </c>
      <c r="S5" s="9">
        <f>VLOOKUP($A5,'RES installed'!$A$2:$C$7,3,FALSE)*'[1]Profiles, RES, Winter'!S$6</f>
        <v>19.645724608590928</v>
      </c>
      <c r="T5" s="9">
        <f>VLOOKUP($A5,'RES installed'!$A$2:$C$7,3,FALSE)*'[1]Profiles, RES, Winter'!T$6</f>
        <v>20.928342031312724</v>
      </c>
      <c r="U5" s="9">
        <f>VLOOKUP($A5,'RES installed'!$A$2:$C$7,3,FALSE)*'[1]Profiles, RES, Winter'!U$6</f>
        <v>21.8586912886391</v>
      </c>
      <c r="V5" s="9">
        <f>VLOOKUP($A5,'RES installed'!$A$2:$C$7,3,FALSE)*'[1]Profiles, RES, Winter'!V$6</f>
        <v>22.590325170614211</v>
      </c>
      <c r="W5" s="9">
        <f>VLOOKUP($A5,'RES installed'!$A$2:$C$7,3,FALSE)*'[1]Profiles, RES, Winter'!W$6</f>
        <v>23.448414291449218</v>
      </c>
      <c r="X5" s="9">
        <f>VLOOKUP($A5,'RES installed'!$A$2:$C$7,3,FALSE)*'[1]Profiles, RES, Winter'!X$6</f>
        <v>23.005820955439585</v>
      </c>
      <c r="Y5" s="9">
        <f>VLOOKUP($A5,'RES installed'!$A$2:$C$7,3,FALSE)*'[1]Profiles, RES, Winter'!Y$6</f>
        <v>22.382577278201524</v>
      </c>
    </row>
    <row r="6" spans="1:25" x14ac:dyDescent="0.3">
      <c r="A6" s="8">
        <v>5</v>
      </c>
      <c r="B6" s="9">
        <f>VLOOKUP($A6,'RES installed'!$A$2:$C$7,3,FALSE)*'[1]Profiles, RES, Winter'!B$6</f>
        <v>31.481332798073062</v>
      </c>
      <c r="C6" s="9">
        <f>VLOOKUP($A6,'RES installed'!$A$2:$C$7,3,FALSE)*'[1]Profiles, RES, Winter'!C$6</f>
        <v>31.963067041348857</v>
      </c>
      <c r="D6" s="9">
        <f>VLOOKUP($A6,'RES installed'!$A$2:$C$7,3,FALSE)*'[1]Profiles, RES, Winter'!D$6</f>
        <v>32.071457246085906</v>
      </c>
      <c r="E6" s="9">
        <f>VLOOKUP($A6,'RES installed'!$A$2:$C$7,3,FALSE)*'[1]Profiles, RES, Winter'!E$6</f>
        <v>29.32557205941389</v>
      </c>
      <c r="F6" s="9">
        <f>VLOOKUP($A6,'RES installed'!$A$2:$C$7,3,FALSE)*'[1]Profiles, RES, Winter'!F$6</f>
        <v>30.264953833801687</v>
      </c>
      <c r="G6" s="9">
        <f>VLOOKUP($A6,'RES installed'!$A$2:$C$7,3,FALSE)*'[1]Profiles, RES, Winter'!G$6</f>
        <v>31.951023685266961</v>
      </c>
      <c r="H6" s="9">
        <f>VLOOKUP($A6,'RES installed'!$A$2:$C$7,3,FALSE)*'[1]Profiles, RES, Winter'!H$6</f>
        <v>32.709755118426337</v>
      </c>
      <c r="I6" s="9">
        <f>VLOOKUP($A6,'RES installed'!$A$2:$C$7,3,FALSE)*'[1]Profiles, RES, Winter'!I$6</f>
        <v>31.156162183861898</v>
      </c>
      <c r="J6" s="9">
        <f>VLOOKUP($A6,'RES installed'!$A$2:$C$7,3,FALSE)*'[1]Profiles, RES, Winter'!J$6</f>
        <v>29.65074267362505</v>
      </c>
      <c r="K6" s="9">
        <f>VLOOKUP($A6,'RES installed'!$A$2:$C$7,3,FALSE)*'[1]Profiles, RES, Winter'!K$6</f>
        <v>27.92854275391409</v>
      </c>
      <c r="L6" s="9">
        <f>VLOOKUP($A6,'RES installed'!$A$2:$C$7,3,FALSE)*'[1]Profiles, RES, Winter'!L$6</f>
        <v>26.242472902448814</v>
      </c>
      <c r="M6" s="9">
        <f>VLOOKUP($A6,'RES installed'!$A$2:$C$7,3,FALSE)*'[1]Profiles, RES, Winter'!M$6</f>
        <v>24.797270172621438</v>
      </c>
      <c r="N6" s="9">
        <f>VLOOKUP($A6,'RES installed'!$A$2:$C$7,3,FALSE)*'[1]Profiles, RES, Winter'!N$6</f>
        <v>22.858289843436374</v>
      </c>
      <c r="O6" s="9">
        <f>VLOOKUP($A6,'RES installed'!$A$2:$C$7,3,FALSE)*'[1]Profiles, RES, Winter'!O$6</f>
        <v>17.703733440385388</v>
      </c>
      <c r="P6" s="9">
        <f>VLOOKUP($A6,'RES installed'!$A$2:$C$7,3,FALSE)*'[1]Profiles, RES, Winter'!P$6</f>
        <v>17.318346045764756</v>
      </c>
      <c r="Q6" s="9">
        <f>VLOOKUP($A6,'RES installed'!$A$2:$C$7,3,FALSE)*'[1]Profiles, RES, Winter'!Q$6</f>
        <v>17.619429947812122</v>
      </c>
      <c r="R6" s="9">
        <f>VLOOKUP($A6,'RES installed'!$A$2:$C$7,3,FALSE)*'[1]Profiles, RES, Winter'!R$6</f>
        <v>22.352468887996789</v>
      </c>
      <c r="S6" s="9">
        <f>VLOOKUP($A6,'RES installed'!$A$2:$C$7,3,FALSE)*'[1]Profiles, RES, Winter'!S$6</f>
        <v>26.194299478121238</v>
      </c>
      <c r="T6" s="9">
        <f>VLOOKUP($A6,'RES installed'!$A$2:$C$7,3,FALSE)*'[1]Profiles, RES, Winter'!T$6</f>
        <v>27.904456041750301</v>
      </c>
      <c r="U6" s="9">
        <f>VLOOKUP($A6,'RES installed'!$A$2:$C$7,3,FALSE)*'[1]Profiles, RES, Winter'!U$6</f>
        <v>29.144921718185469</v>
      </c>
      <c r="V6" s="9">
        <f>VLOOKUP($A6,'RES installed'!$A$2:$C$7,3,FALSE)*'[1]Profiles, RES, Winter'!V$6</f>
        <v>30.120433560818945</v>
      </c>
      <c r="W6" s="9">
        <f>VLOOKUP($A6,'RES installed'!$A$2:$C$7,3,FALSE)*'[1]Profiles, RES, Winter'!W$6</f>
        <v>31.264552388598958</v>
      </c>
      <c r="X6" s="9">
        <f>VLOOKUP($A6,'RES installed'!$A$2:$C$7,3,FALSE)*'[1]Profiles, RES, Winter'!X$6</f>
        <v>30.674427940586114</v>
      </c>
      <c r="Y6" s="9">
        <f>VLOOKUP($A6,'RES installed'!$A$2:$C$7,3,FALSE)*'[1]Profiles, RES, Winter'!Y$6</f>
        <v>29.843436370935368</v>
      </c>
    </row>
    <row r="7" spans="1:25" x14ac:dyDescent="0.3">
      <c r="A7" s="8">
        <v>6</v>
      </c>
      <c r="B7" s="9">
        <f>VLOOKUP($A7,'RES installed'!$A$2:$C$7,3,FALSE)*'[1]Profiles, RES, Winter'!B$6</f>
        <v>23.610999598554798</v>
      </c>
      <c r="C7" s="9">
        <f>VLOOKUP($A7,'RES installed'!$A$2:$C$7,3,FALSE)*'[1]Profiles, RES, Winter'!C$6</f>
        <v>23.972300281011641</v>
      </c>
      <c r="D7" s="9">
        <f>VLOOKUP($A7,'RES installed'!$A$2:$C$7,3,FALSE)*'[1]Profiles, RES, Winter'!D$6</f>
        <v>24.053592934564428</v>
      </c>
      <c r="E7" s="9">
        <f>VLOOKUP($A7,'RES installed'!$A$2:$C$7,3,FALSE)*'[1]Profiles, RES, Winter'!E$6</f>
        <v>21.994179044560418</v>
      </c>
      <c r="F7" s="9">
        <f>VLOOKUP($A7,'RES installed'!$A$2:$C$7,3,FALSE)*'[1]Profiles, RES, Winter'!F$6</f>
        <v>22.698715375351266</v>
      </c>
      <c r="G7" s="9">
        <f>VLOOKUP($A7,'RES installed'!$A$2:$C$7,3,FALSE)*'[1]Profiles, RES, Winter'!G$6</f>
        <v>23.963267763950221</v>
      </c>
      <c r="H7" s="9">
        <f>VLOOKUP($A7,'RES installed'!$A$2:$C$7,3,FALSE)*'[1]Profiles, RES, Winter'!H$6</f>
        <v>24.532316338819751</v>
      </c>
      <c r="I7" s="9">
        <f>VLOOKUP($A7,'RES installed'!$A$2:$C$7,3,FALSE)*'[1]Profiles, RES, Winter'!I$6</f>
        <v>23.367121637896425</v>
      </c>
      <c r="J7" s="9">
        <f>VLOOKUP($A7,'RES installed'!$A$2:$C$7,3,FALSE)*'[1]Profiles, RES, Winter'!J$6</f>
        <v>22.238057005218788</v>
      </c>
      <c r="K7" s="9">
        <f>VLOOKUP($A7,'RES installed'!$A$2:$C$7,3,FALSE)*'[1]Profiles, RES, Winter'!K$6</f>
        <v>20.946407065435569</v>
      </c>
      <c r="L7" s="9">
        <f>VLOOKUP($A7,'RES installed'!$A$2:$C$7,3,FALSE)*'[1]Profiles, RES, Winter'!L$6</f>
        <v>19.681854676836611</v>
      </c>
      <c r="M7" s="9">
        <f>VLOOKUP($A7,'RES installed'!$A$2:$C$7,3,FALSE)*'[1]Profiles, RES, Winter'!M$6</f>
        <v>18.597952629466079</v>
      </c>
      <c r="N7" s="9">
        <f>VLOOKUP($A7,'RES installed'!$A$2:$C$7,3,FALSE)*'[1]Profiles, RES, Winter'!N$6</f>
        <v>17.143717382577279</v>
      </c>
      <c r="O7" s="9">
        <f>VLOOKUP($A7,'RES installed'!$A$2:$C$7,3,FALSE)*'[1]Profiles, RES, Winter'!O$6</f>
        <v>13.27780008028904</v>
      </c>
      <c r="P7" s="9">
        <f>VLOOKUP($A7,'RES installed'!$A$2:$C$7,3,FALSE)*'[1]Profiles, RES, Winter'!P$6</f>
        <v>12.988759534323565</v>
      </c>
      <c r="Q7" s="9">
        <f>VLOOKUP($A7,'RES installed'!$A$2:$C$7,3,FALSE)*'[1]Profiles, RES, Winter'!Q$6</f>
        <v>13.214572460859094</v>
      </c>
      <c r="R7" s="9">
        <f>VLOOKUP($A7,'RES installed'!$A$2:$C$7,3,FALSE)*'[1]Profiles, RES, Winter'!R$6</f>
        <v>16.764351665997591</v>
      </c>
      <c r="S7" s="9">
        <f>VLOOKUP($A7,'RES installed'!$A$2:$C$7,3,FALSE)*'[1]Profiles, RES, Winter'!S$6</f>
        <v>19.645724608590928</v>
      </c>
      <c r="T7" s="9">
        <f>VLOOKUP($A7,'RES installed'!$A$2:$C$7,3,FALSE)*'[1]Profiles, RES, Winter'!T$6</f>
        <v>20.928342031312724</v>
      </c>
      <c r="U7" s="9">
        <f>VLOOKUP($A7,'RES installed'!$A$2:$C$7,3,FALSE)*'[1]Profiles, RES, Winter'!U$6</f>
        <v>21.8586912886391</v>
      </c>
      <c r="V7" s="9">
        <f>VLOOKUP($A7,'RES installed'!$A$2:$C$7,3,FALSE)*'[1]Profiles, RES, Winter'!V$6</f>
        <v>22.590325170614211</v>
      </c>
      <c r="W7" s="9">
        <f>VLOOKUP($A7,'RES installed'!$A$2:$C$7,3,FALSE)*'[1]Profiles, RES, Winter'!W$6</f>
        <v>23.448414291449218</v>
      </c>
      <c r="X7" s="9">
        <f>VLOOKUP($A7,'RES installed'!$A$2:$C$7,3,FALSE)*'[1]Profiles, RES, Winter'!X$6</f>
        <v>23.005820955439585</v>
      </c>
      <c r="Y7" s="9">
        <f>VLOOKUP($A7,'RES installed'!$A$2:$C$7,3,FALSE)*'[1]Profiles, RES, Winter'!Y$6</f>
        <v>22.382577278201524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5.6861258529188781E-2</v>
      </c>
      <c r="J8" s="6">
        <f>VLOOKUP($A8,'RES installed'!$A$2:$C$7,3,FALSE)*'[1]Profiles, RES, Winter'!J$3</f>
        <v>4.8616376042456411</v>
      </c>
      <c r="K8" s="6">
        <f>VLOOKUP($A8,'RES installed'!$A$2:$C$7,3,FALSE)*'[1]Profiles, RES, Winter'!K$3</f>
        <v>16.717210007581503</v>
      </c>
      <c r="L8" s="6">
        <f>VLOOKUP($A8,'RES installed'!$A$2:$C$7,3,FALSE)*'[1]Profiles, RES, Winter'!L$3</f>
        <v>25.672858225928731</v>
      </c>
      <c r="M8" s="6">
        <f>VLOOKUP($A8,'RES installed'!$A$2:$C$7,3,FALSE)*'[1]Profiles, RES, Winter'!M$3</f>
        <v>25.473843821076574</v>
      </c>
      <c r="N8" s="6">
        <f>VLOOKUP($A8,'RES installed'!$A$2:$C$7,3,FALSE)*'[1]Profiles, RES, Winter'!N$3</f>
        <v>28.316906747536013</v>
      </c>
      <c r="O8" s="6">
        <f>VLOOKUP($A8,'RES installed'!$A$2:$C$7,3,FALSE)*'[1]Profiles, RES, Winter'!O$3</f>
        <v>27.691432903714933</v>
      </c>
      <c r="P8" s="6">
        <f>VLOOKUP($A8,'RES installed'!$A$2:$C$7,3,FALSE)*'[1]Profiles, RES, Winter'!P$3</f>
        <v>23.426838514025775</v>
      </c>
      <c r="Q8" s="6">
        <f>VLOOKUP($A8,'RES installed'!$A$2:$C$7,3,FALSE)*'[1]Profiles, RES, Winter'!Q$3</f>
        <v>15.068233510235027</v>
      </c>
      <c r="R8" s="6">
        <f>VLOOKUP($A8,'RES installed'!$A$2:$C$7,3,FALSE)*'[1]Profiles, RES, Winter'!R$3</f>
        <v>4.8047763457164523</v>
      </c>
      <c r="S8" s="6">
        <f>VLOOKUP($A8,'RES installed'!$A$2:$C$7,3,FALSE)*'[1]Profiles, RES, Winter'!S$3</f>
        <v>0.28430629264594387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3.7907505686125852E-2</v>
      </c>
      <c r="J9" s="6">
        <f>VLOOKUP($A9,'RES installed'!$A$2:$C$7,3,FALSE)*'[1]Profiles, RES, Winter'!J$3</f>
        <v>3.2410917361637606</v>
      </c>
      <c r="K9" s="6">
        <f>VLOOKUP($A9,'RES installed'!$A$2:$C$7,3,FALSE)*'[1]Profiles, RES, Winter'!K$3</f>
        <v>11.144806671721001</v>
      </c>
      <c r="L9" s="6">
        <f>VLOOKUP($A9,'RES installed'!$A$2:$C$7,3,FALSE)*'[1]Profiles, RES, Winter'!L$3</f>
        <v>17.115238817285821</v>
      </c>
      <c r="M9" s="6">
        <f>VLOOKUP($A9,'RES installed'!$A$2:$C$7,3,FALSE)*'[1]Profiles, RES, Winter'!M$3</f>
        <v>16.982562547384383</v>
      </c>
      <c r="N9" s="6">
        <f>VLOOKUP($A9,'RES installed'!$A$2:$C$7,3,FALSE)*'[1]Profiles, RES, Winter'!N$3</f>
        <v>18.877937831690677</v>
      </c>
      <c r="O9" s="6">
        <f>VLOOKUP($A9,'RES installed'!$A$2:$C$7,3,FALSE)*'[1]Profiles, RES, Winter'!O$3</f>
        <v>18.460955269143291</v>
      </c>
      <c r="P9" s="6">
        <f>VLOOKUP($A9,'RES installed'!$A$2:$C$7,3,FALSE)*'[1]Profiles, RES, Winter'!P$3</f>
        <v>15.617892342683851</v>
      </c>
      <c r="Q9" s="6">
        <f>VLOOKUP($A9,'RES installed'!$A$2:$C$7,3,FALSE)*'[1]Profiles, RES, Winter'!Q$3</f>
        <v>10.045489006823351</v>
      </c>
      <c r="R9" s="6">
        <f>VLOOKUP($A9,'RES installed'!$A$2:$C$7,3,FALSE)*'[1]Profiles, RES, Winter'!R$3</f>
        <v>3.2031842304776346</v>
      </c>
      <c r="S9" s="6">
        <f>VLOOKUP($A9,'RES installed'!$A$2:$C$7,3,FALSE)*'[1]Profiles, RES, Winter'!S$3</f>
        <v>0.18953752843062927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4.5489006823351025E-2</v>
      </c>
      <c r="J10" s="6">
        <f>VLOOKUP($A10,'RES installed'!$A$2:$C$7,3,FALSE)*'[1]Profiles, RES, Winter'!J$3</f>
        <v>3.8893100833965129</v>
      </c>
      <c r="K10" s="6">
        <f>VLOOKUP($A10,'RES installed'!$A$2:$C$7,3,FALSE)*'[1]Profiles, RES, Winter'!K$3</f>
        <v>13.373768006065202</v>
      </c>
      <c r="L10" s="6">
        <f>VLOOKUP($A10,'RES installed'!$A$2:$C$7,3,FALSE)*'[1]Profiles, RES, Winter'!L$3</f>
        <v>20.538286580742987</v>
      </c>
      <c r="M10" s="6">
        <f>VLOOKUP($A10,'RES installed'!$A$2:$C$7,3,FALSE)*'[1]Profiles, RES, Winter'!M$3</f>
        <v>20.379075056861261</v>
      </c>
      <c r="N10" s="6">
        <f>VLOOKUP($A10,'RES installed'!$A$2:$C$7,3,FALSE)*'[1]Profiles, RES, Winter'!N$3</f>
        <v>22.653525398028808</v>
      </c>
      <c r="O10" s="6">
        <f>VLOOKUP($A10,'RES installed'!$A$2:$C$7,3,FALSE)*'[1]Profiles, RES, Winter'!O$3</f>
        <v>22.153146322971946</v>
      </c>
      <c r="P10" s="6">
        <f>VLOOKUP($A10,'RES installed'!$A$2:$C$7,3,FALSE)*'[1]Profiles, RES, Winter'!P$3</f>
        <v>18.741470811220619</v>
      </c>
      <c r="Q10" s="6">
        <f>VLOOKUP($A10,'RES installed'!$A$2:$C$7,3,FALSE)*'[1]Profiles, RES, Winter'!Q$3</f>
        <v>12.05458680818802</v>
      </c>
      <c r="R10" s="6">
        <f>VLOOKUP($A10,'RES installed'!$A$2:$C$7,3,FALSE)*'[1]Profiles, RES, Winter'!R$3</f>
        <v>3.8438210765731617</v>
      </c>
      <c r="S10" s="6">
        <f>VLOOKUP($A10,'RES installed'!$A$2:$C$7,3,FALSE)*'[1]Profiles, RES, Winter'!S$3</f>
        <v>0.22744503411675512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1AF3F-B272-458C-AA52-13D468BF343E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22.608390204737056</v>
      </c>
      <c r="C5" s="9">
        <f>VLOOKUP($A5,'RES installed'!$A$2:$C$7,3,FALSE)*'[1]Profiles, RES, Winter'!C$7</f>
        <v>22.509032517061421</v>
      </c>
      <c r="D5" s="9">
        <f>VLOOKUP($A5,'RES installed'!$A$2:$C$7,3,FALSE)*'[1]Profiles, RES, Winter'!D$7</f>
        <v>21.939983942191891</v>
      </c>
      <c r="E5" s="9">
        <f>VLOOKUP($A5,'RES installed'!$A$2:$C$7,3,FALSE)*'[1]Profiles, RES, Winter'!E$7</f>
        <v>22.481934965877159</v>
      </c>
      <c r="F5" s="9">
        <f>VLOOKUP($A5,'RES installed'!$A$2:$C$7,3,FALSE)*'[1]Profiles, RES, Winter'!F$7</f>
        <v>21.84965877157768</v>
      </c>
      <c r="G5" s="9">
        <f>VLOOKUP($A5,'RES installed'!$A$2:$C$7,3,FALSE)*'[1]Profiles, RES, Winter'!G$7</f>
        <v>21.732236049779207</v>
      </c>
      <c r="H5" s="9">
        <f>VLOOKUP($A5,'RES installed'!$A$2:$C$7,3,FALSE)*'[1]Profiles, RES, Winter'!H$7</f>
        <v>22.518065034122841</v>
      </c>
      <c r="I5" s="9">
        <f>VLOOKUP($A5,'RES installed'!$A$2:$C$7,3,FALSE)*'[1]Profiles, RES, Winter'!I$7</f>
        <v>21.163187474909677</v>
      </c>
      <c r="J5" s="9">
        <f>VLOOKUP($A5,'RES installed'!$A$2:$C$7,3,FALSE)*'[1]Profiles, RES, Winter'!J$7</f>
        <v>19.483139301485345</v>
      </c>
      <c r="K5" s="9">
        <f>VLOOKUP($A5,'RES installed'!$A$2:$C$7,3,FALSE)*'[1]Profiles, RES, Winter'!K$7</f>
        <v>18.245684464070653</v>
      </c>
      <c r="L5" s="9">
        <f>VLOOKUP($A5,'RES installed'!$A$2:$C$7,3,FALSE)*'[1]Profiles, RES, Winter'!L$7</f>
        <v>16.502408671216379</v>
      </c>
      <c r="M5" s="9">
        <f>VLOOKUP($A5,'RES installed'!$A$2:$C$7,3,FALSE)*'[1]Profiles, RES, Winter'!M$7</f>
        <v>14.217181854676838</v>
      </c>
      <c r="N5" s="9">
        <f>VLOOKUP($A5,'RES installed'!$A$2:$C$7,3,FALSE)*'[1]Profiles, RES, Winter'!N$7</f>
        <v>12.817141710156562</v>
      </c>
      <c r="O5" s="9">
        <f>VLOOKUP($A5,'RES installed'!$A$2:$C$7,3,FALSE)*'[1]Profiles, RES, Winter'!O$7</f>
        <v>12.735849056603774</v>
      </c>
      <c r="P5" s="9">
        <f>VLOOKUP($A5,'RES installed'!$A$2:$C$7,3,FALSE)*'[1]Profiles, RES, Winter'!P$7</f>
        <v>14.452027298273785</v>
      </c>
      <c r="Q5" s="9">
        <f>VLOOKUP($A5,'RES installed'!$A$2:$C$7,3,FALSE)*'[1]Profiles, RES, Winter'!Q$7</f>
        <v>14.957848253713367</v>
      </c>
      <c r="R5" s="9">
        <f>VLOOKUP($A5,'RES installed'!$A$2:$C$7,3,FALSE)*'[1]Profiles, RES, Winter'!R$7</f>
        <v>16.538538739462066</v>
      </c>
      <c r="S5" s="9">
        <f>VLOOKUP($A5,'RES installed'!$A$2:$C$7,3,FALSE)*'[1]Profiles, RES, Winter'!S$7</f>
        <v>19.167001204335609</v>
      </c>
      <c r="T5" s="9">
        <f>VLOOKUP($A5,'RES installed'!$A$2:$C$7,3,FALSE)*'[1]Profiles, RES, Winter'!T$7</f>
        <v>20.847049377759937</v>
      </c>
      <c r="U5" s="9">
        <f>VLOOKUP($A5,'RES installed'!$A$2:$C$7,3,FALSE)*'[1]Profiles, RES, Winter'!U$7</f>
        <v>22.09353673223605</v>
      </c>
      <c r="V5" s="9">
        <f>VLOOKUP($A5,'RES installed'!$A$2:$C$7,3,FALSE)*'[1]Profiles, RES, Winter'!V$7</f>
        <v>22.274187073464471</v>
      </c>
      <c r="W5" s="9">
        <f>VLOOKUP($A5,'RES installed'!$A$2:$C$7,3,FALSE)*'[1]Profiles, RES, Winter'!W$7</f>
        <v>20.530911280610194</v>
      </c>
      <c r="X5" s="9">
        <f>VLOOKUP($A5,'RES installed'!$A$2:$C$7,3,FALSE)*'[1]Profiles, RES, Winter'!X$7</f>
        <v>18.932155760738659</v>
      </c>
      <c r="Y5" s="9">
        <f>VLOOKUP($A5,'RES installed'!$A$2:$C$7,3,FALSE)*'[1]Profiles, RES, Winter'!Y$7</f>
        <v>18.182456844640708</v>
      </c>
    </row>
    <row r="6" spans="1:25" x14ac:dyDescent="0.3">
      <c r="A6" s="8">
        <v>5</v>
      </c>
      <c r="B6" s="9">
        <f>VLOOKUP($A6,'RES installed'!$A$2:$C$7,3,FALSE)*'[1]Profiles, RES, Winter'!B$7</f>
        <v>30.144520272982739</v>
      </c>
      <c r="C6" s="9">
        <f>VLOOKUP($A6,'RES installed'!$A$2:$C$7,3,FALSE)*'[1]Profiles, RES, Winter'!C$7</f>
        <v>30.012043356081897</v>
      </c>
      <c r="D6" s="9">
        <f>VLOOKUP($A6,'RES installed'!$A$2:$C$7,3,FALSE)*'[1]Profiles, RES, Winter'!D$7</f>
        <v>29.253311922922521</v>
      </c>
      <c r="E6" s="9">
        <f>VLOOKUP($A6,'RES installed'!$A$2:$C$7,3,FALSE)*'[1]Profiles, RES, Winter'!E$7</f>
        <v>29.97591328783621</v>
      </c>
      <c r="F6" s="9">
        <f>VLOOKUP($A6,'RES installed'!$A$2:$C$7,3,FALSE)*'[1]Profiles, RES, Winter'!F$7</f>
        <v>29.132878362103575</v>
      </c>
      <c r="G6" s="9">
        <f>VLOOKUP($A6,'RES installed'!$A$2:$C$7,3,FALSE)*'[1]Profiles, RES, Winter'!G$7</f>
        <v>28.97631473303894</v>
      </c>
      <c r="H6" s="9">
        <f>VLOOKUP($A6,'RES installed'!$A$2:$C$7,3,FALSE)*'[1]Profiles, RES, Winter'!H$7</f>
        <v>30.024086712163786</v>
      </c>
      <c r="I6" s="9">
        <f>VLOOKUP($A6,'RES installed'!$A$2:$C$7,3,FALSE)*'[1]Profiles, RES, Winter'!I$7</f>
        <v>28.217583299879568</v>
      </c>
      <c r="J6" s="9">
        <f>VLOOKUP($A6,'RES installed'!$A$2:$C$7,3,FALSE)*'[1]Profiles, RES, Winter'!J$7</f>
        <v>25.977519068647126</v>
      </c>
      <c r="K6" s="9">
        <f>VLOOKUP($A6,'RES installed'!$A$2:$C$7,3,FALSE)*'[1]Profiles, RES, Winter'!K$7</f>
        <v>24.327579285427539</v>
      </c>
      <c r="L6" s="9">
        <f>VLOOKUP($A6,'RES installed'!$A$2:$C$7,3,FALSE)*'[1]Profiles, RES, Winter'!L$7</f>
        <v>22.003211561621839</v>
      </c>
      <c r="M6" s="9">
        <f>VLOOKUP($A6,'RES installed'!$A$2:$C$7,3,FALSE)*'[1]Profiles, RES, Winter'!M$7</f>
        <v>18.956242472902449</v>
      </c>
      <c r="N6" s="9">
        <f>VLOOKUP($A6,'RES installed'!$A$2:$C$7,3,FALSE)*'[1]Profiles, RES, Winter'!N$7</f>
        <v>17.089522280208751</v>
      </c>
      <c r="O6" s="9">
        <f>VLOOKUP($A6,'RES installed'!$A$2:$C$7,3,FALSE)*'[1]Profiles, RES, Winter'!O$7</f>
        <v>16.981132075471699</v>
      </c>
      <c r="P6" s="9">
        <f>VLOOKUP($A6,'RES installed'!$A$2:$C$7,3,FALSE)*'[1]Profiles, RES, Winter'!P$7</f>
        <v>19.269369731031713</v>
      </c>
      <c r="Q6" s="9">
        <f>VLOOKUP($A6,'RES installed'!$A$2:$C$7,3,FALSE)*'[1]Profiles, RES, Winter'!Q$7</f>
        <v>19.943797671617823</v>
      </c>
      <c r="R6" s="9">
        <f>VLOOKUP($A6,'RES installed'!$A$2:$C$7,3,FALSE)*'[1]Profiles, RES, Winter'!R$7</f>
        <v>22.051384985949419</v>
      </c>
      <c r="S6" s="9">
        <f>VLOOKUP($A6,'RES installed'!$A$2:$C$7,3,FALSE)*'[1]Profiles, RES, Winter'!S$7</f>
        <v>25.556001605780811</v>
      </c>
      <c r="T6" s="9">
        <f>VLOOKUP($A6,'RES installed'!$A$2:$C$7,3,FALSE)*'[1]Profiles, RES, Winter'!T$7</f>
        <v>27.796065837013249</v>
      </c>
      <c r="U6" s="9">
        <f>VLOOKUP($A6,'RES installed'!$A$2:$C$7,3,FALSE)*'[1]Profiles, RES, Winter'!U$7</f>
        <v>29.458048976314732</v>
      </c>
      <c r="V6" s="9">
        <f>VLOOKUP($A6,'RES installed'!$A$2:$C$7,3,FALSE)*'[1]Profiles, RES, Winter'!V$7</f>
        <v>29.69891609795263</v>
      </c>
      <c r="W6" s="9">
        <f>VLOOKUP($A6,'RES installed'!$A$2:$C$7,3,FALSE)*'[1]Profiles, RES, Winter'!W$7</f>
        <v>27.374548374146926</v>
      </c>
      <c r="X6" s="9">
        <f>VLOOKUP($A6,'RES installed'!$A$2:$C$7,3,FALSE)*'[1]Profiles, RES, Winter'!X$7</f>
        <v>25.242874347651544</v>
      </c>
      <c r="Y6" s="9">
        <f>VLOOKUP($A6,'RES installed'!$A$2:$C$7,3,FALSE)*'[1]Profiles, RES, Winter'!Y$7</f>
        <v>24.243275792854277</v>
      </c>
    </row>
    <row r="7" spans="1:25" x14ac:dyDescent="0.3">
      <c r="A7" s="8">
        <v>6</v>
      </c>
      <c r="B7" s="9">
        <f>VLOOKUP($A7,'RES installed'!$A$2:$C$7,3,FALSE)*'[1]Profiles, RES, Winter'!B$7</f>
        <v>22.608390204737056</v>
      </c>
      <c r="C7" s="9">
        <f>VLOOKUP($A7,'RES installed'!$A$2:$C$7,3,FALSE)*'[1]Profiles, RES, Winter'!C$7</f>
        <v>22.509032517061421</v>
      </c>
      <c r="D7" s="9">
        <f>VLOOKUP($A7,'RES installed'!$A$2:$C$7,3,FALSE)*'[1]Profiles, RES, Winter'!D$7</f>
        <v>21.939983942191891</v>
      </c>
      <c r="E7" s="9">
        <f>VLOOKUP($A7,'RES installed'!$A$2:$C$7,3,FALSE)*'[1]Profiles, RES, Winter'!E$7</f>
        <v>22.481934965877159</v>
      </c>
      <c r="F7" s="9">
        <f>VLOOKUP($A7,'RES installed'!$A$2:$C$7,3,FALSE)*'[1]Profiles, RES, Winter'!F$7</f>
        <v>21.84965877157768</v>
      </c>
      <c r="G7" s="9">
        <f>VLOOKUP($A7,'RES installed'!$A$2:$C$7,3,FALSE)*'[1]Profiles, RES, Winter'!G$7</f>
        <v>21.732236049779207</v>
      </c>
      <c r="H7" s="9">
        <f>VLOOKUP($A7,'RES installed'!$A$2:$C$7,3,FALSE)*'[1]Profiles, RES, Winter'!H$7</f>
        <v>22.518065034122841</v>
      </c>
      <c r="I7" s="9">
        <f>VLOOKUP($A7,'RES installed'!$A$2:$C$7,3,FALSE)*'[1]Profiles, RES, Winter'!I$7</f>
        <v>21.163187474909677</v>
      </c>
      <c r="J7" s="9">
        <f>VLOOKUP($A7,'RES installed'!$A$2:$C$7,3,FALSE)*'[1]Profiles, RES, Winter'!J$7</f>
        <v>19.483139301485345</v>
      </c>
      <c r="K7" s="9">
        <f>VLOOKUP($A7,'RES installed'!$A$2:$C$7,3,FALSE)*'[1]Profiles, RES, Winter'!K$7</f>
        <v>18.245684464070653</v>
      </c>
      <c r="L7" s="9">
        <f>VLOOKUP($A7,'RES installed'!$A$2:$C$7,3,FALSE)*'[1]Profiles, RES, Winter'!L$7</f>
        <v>16.502408671216379</v>
      </c>
      <c r="M7" s="9">
        <f>VLOOKUP($A7,'RES installed'!$A$2:$C$7,3,FALSE)*'[1]Profiles, RES, Winter'!M$7</f>
        <v>14.217181854676838</v>
      </c>
      <c r="N7" s="9">
        <f>VLOOKUP($A7,'RES installed'!$A$2:$C$7,3,FALSE)*'[1]Profiles, RES, Winter'!N$7</f>
        <v>12.817141710156562</v>
      </c>
      <c r="O7" s="9">
        <f>VLOOKUP($A7,'RES installed'!$A$2:$C$7,3,FALSE)*'[1]Profiles, RES, Winter'!O$7</f>
        <v>12.735849056603774</v>
      </c>
      <c r="P7" s="9">
        <f>VLOOKUP($A7,'RES installed'!$A$2:$C$7,3,FALSE)*'[1]Profiles, RES, Winter'!P$7</f>
        <v>14.452027298273785</v>
      </c>
      <c r="Q7" s="9">
        <f>VLOOKUP($A7,'RES installed'!$A$2:$C$7,3,FALSE)*'[1]Profiles, RES, Winter'!Q$7</f>
        <v>14.957848253713367</v>
      </c>
      <c r="R7" s="9">
        <f>VLOOKUP($A7,'RES installed'!$A$2:$C$7,3,FALSE)*'[1]Profiles, RES, Winter'!R$7</f>
        <v>16.538538739462066</v>
      </c>
      <c r="S7" s="9">
        <f>VLOOKUP($A7,'RES installed'!$A$2:$C$7,3,FALSE)*'[1]Profiles, RES, Winter'!S$7</f>
        <v>19.167001204335609</v>
      </c>
      <c r="T7" s="9">
        <f>VLOOKUP($A7,'RES installed'!$A$2:$C$7,3,FALSE)*'[1]Profiles, RES, Winter'!T$7</f>
        <v>20.847049377759937</v>
      </c>
      <c r="U7" s="9">
        <f>VLOOKUP($A7,'RES installed'!$A$2:$C$7,3,FALSE)*'[1]Profiles, RES, Winter'!U$7</f>
        <v>22.09353673223605</v>
      </c>
      <c r="V7" s="9">
        <f>VLOOKUP($A7,'RES installed'!$A$2:$C$7,3,FALSE)*'[1]Profiles, RES, Winter'!V$7</f>
        <v>22.274187073464471</v>
      </c>
      <c r="W7" s="9">
        <f>VLOOKUP($A7,'RES installed'!$A$2:$C$7,3,FALSE)*'[1]Profiles, RES, Winter'!W$7</f>
        <v>20.530911280610194</v>
      </c>
      <c r="X7" s="9">
        <f>VLOOKUP($A7,'RES installed'!$A$2:$C$7,3,FALSE)*'[1]Profiles, RES, Winter'!X$7</f>
        <v>18.932155760738659</v>
      </c>
      <c r="Y7" s="9">
        <f>VLOOKUP($A7,'RES installed'!$A$2:$C$7,3,FALSE)*'[1]Profiles, RES, Winter'!Y$7</f>
        <v>18.182456844640708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2.843062926459439E-2</v>
      </c>
      <c r="J8" s="6">
        <f>VLOOKUP($A8,'RES installed'!$A$2:$C$7,3,FALSE)*'[1]Profiles, RES, Winter'!J$4</f>
        <v>2.5303260045489009</v>
      </c>
      <c r="K8" s="6">
        <f>VLOOKUP($A8,'RES installed'!$A$2:$C$7,3,FALSE)*'[1]Profiles, RES, Winter'!K$4</f>
        <v>10.860500379075058</v>
      </c>
      <c r="L8" s="6">
        <f>VLOOKUP($A8,'RES installed'!$A$2:$C$7,3,FALSE)*'[1]Profiles, RES, Winter'!L$4</f>
        <v>17.911296436694464</v>
      </c>
      <c r="M8" s="6">
        <f>VLOOKUP($A8,'RES installed'!$A$2:$C$7,3,FALSE)*'[1]Profiles, RES, Winter'!M$4</f>
        <v>20.356330553449585</v>
      </c>
      <c r="N8" s="6">
        <f>VLOOKUP($A8,'RES installed'!$A$2:$C$7,3,FALSE)*'[1]Profiles, RES, Winter'!N$4</f>
        <v>19.446550416982564</v>
      </c>
      <c r="O8" s="6">
        <f>VLOOKUP($A8,'RES installed'!$A$2:$C$7,3,FALSE)*'[1]Profiles, RES, Winter'!O$4</f>
        <v>19.816148597422291</v>
      </c>
      <c r="P8" s="6">
        <f>VLOOKUP($A8,'RES installed'!$A$2:$C$7,3,FALSE)*'[1]Profiles, RES, Winter'!P$4</f>
        <v>21.436694465504171</v>
      </c>
      <c r="Q8" s="6">
        <f>VLOOKUP($A8,'RES installed'!$A$2:$C$7,3,FALSE)*'[1]Profiles, RES, Winter'!Q$4</f>
        <v>19.531842304776344</v>
      </c>
      <c r="R8" s="6">
        <f>VLOOKUP($A8,'RES installed'!$A$2:$C$7,3,FALSE)*'[1]Profiles, RES, Winter'!R$4</f>
        <v>8.8987869598180431</v>
      </c>
      <c r="S8" s="6">
        <f>VLOOKUP($A8,'RES installed'!$A$2:$C$7,3,FALSE)*'[1]Profiles, RES, Winter'!S$4</f>
        <v>0.45489006823351025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1.8953752843062926E-2</v>
      </c>
      <c r="J9" s="6">
        <f>VLOOKUP($A9,'RES installed'!$A$2:$C$7,3,FALSE)*'[1]Profiles, RES, Winter'!J$4</f>
        <v>1.6868840030326004</v>
      </c>
      <c r="K9" s="6">
        <f>VLOOKUP($A9,'RES installed'!$A$2:$C$7,3,FALSE)*'[1]Profiles, RES, Winter'!K$4</f>
        <v>7.2403335860500375</v>
      </c>
      <c r="L9" s="6">
        <f>VLOOKUP($A9,'RES installed'!$A$2:$C$7,3,FALSE)*'[1]Profiles, RES, Winter'!L$4</f>
        <v>11.940864291129644</v>
      </c>
      <c r="M9" s="6">
        <f>VLOOKUP($A9,'RES installed'!$A$2:$C$7,3,FALSE)*'[1]Profiles, RES, Winter'!M$4</f>
        <v>13.570887035633056</v>
      </c>
      <c r="N9" s="6">
        <f>VLOOKUP($A9,'RES installed'!$A$2:$C$7,3,FALSE)*'[1]Profiles, RES, Winter'!N$4</f>
        <v>12.964366944655042</v>
      </c>
      <c r="O9" s="6">
        <f>VLOOKUP($A9,'RES installed'!$A$2:$C$7,3,FALSE)*'[1]Profiles, RES, Winter'!O$4</f>
        <v>13.21076573161486</v>
      </c>
      <c r="P9" s="6">
        <f>VLOOKUP($A9,'RES installed'!$A$2:$C$7,3,FALSE)*'[1]Profiles, RES, Winter'!P$4</f>
        <v>14.291129643669448</v>
      </c>
      <c r="Q9" s="6">
        <f>VLOOKUP($A9,'RES installed'!$A$2:$C$7,3,FALSE)*'[1]Profiles, RES, Winter'!Q$4</f>
        <v>13.021228203184229</v>
      </c>
      <c r="R9" s="6">
        <f>VLOOKUP($A9,'RES installed'!$A$2:$C$7,3,FALSE)*'[1]Profiles, RES, Winter'!R$4</f>
        <v>5.9325246398786957</v>
      </c>
      <c r="S9" s="6">
        <f>VLOOKUP($A9,'RES installed'!$A$2:$C$7,3,FALSE)*'[1]Profiles, RES, Winter'!S$4</f>
        <v>0.30326004548900681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2.2744503411675512E-2</v>
      </c>
      <c r="J10" s="6">
        <f>VLOOKUP($A10,'RES installed'!$A$2:$C$7,3,FALSE)*'[1]Profiles, RES, Winter'!J$4</f>
        <v>2.0242608036391205</v>
      </c>
      <c r="K10" s="6">
        <f>VLOOKUP($A10,'RES installed'!$A$2:$C$7,3,FALSE)*'[1]Profiles, RES, Winter'!K$4</f>
        <v>8.6884003032600461</v>
      </c>
      <c r="L10" s="6">
        <f>VLOOKUP($A10,'RES installed'!$A$2:$C$7,3,FALSE)*'[1]Profiles, RES, Winter'!L$4</f>
        <v>14.329037149355573</v>
      </c>
      <c r="M10" s="6">
        <f>VLOOKUP($A10,'RES installed'!$A$2:$C$7,3,FALSE)*'[1]Profiles, RES, Winter'!M$4</f>
        <v>16.285064442759666</v>
      </c>
      <c r="N10" s="6">
        <f>VLOOKUP($A10,'RES installed'!$A$2:$C$7,3,FALSE)*'[1]Profiles, RES, Winter'!N$4</f>
        <v>15.557240333586051</v>
      </c>
      <c r="O10" s="6">
        <f>VLOOKUP($A10,'RES installed'!$A$2:$C$7,3,FALSE)*'[1]Profiles, RES, Winter'!O$4</f>
        <v>15.852918877937832</v>
      </c>
      <c r="P10" s="6">
        <f>VLOOKUP($A10,'RES installed'!$A$2:$C$7,3,FALSE)*'[1]Profiles, RES, Winter'!P$4</f>
        <v>17.149355572403337</v>
      </c>
      <c r="Q10" s="6">
        <f>VLOOKUP($A10,'RES installed'!$A$2:$C$7,3,FALSE)*'[1]Profiles, RES, Winter'!Q$4</f>
        <v>15.625473843821075</v>
      </c>
      <c r="R10" s="6">
        <f>VLOOKUP($A10,'RES installed'!$A$2:$C$7,3,FALSE)*'[1]Profiles, RES, Winter'!R$4</f>
        <v>7.1190295678544349</v>
      </c>
      <c r="S10" s="6">
        <f>VLOOKUP($A10,'RES installed'!$A$2:$C$7,3,FALSE)*'[1]Profiles, RES, Winter'!S$4</f>
        <v>0.3639120545868082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7FE1B-2682-4FFE-8108-DD927AA6BC0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24.396828582898433</v>
      </c>
      <c r="C5" s="9">
        <f>VLOOKUP($A5,'RES installed'!$A$2:$C$7,3,FALSE)*'[1]Profiles, RES, Winter'!C$5</f>
        <v>26.248494580489762</v>
      </c>
      <c r="D5" s="9">
        <f>VLOOKUP($A5,'RES installed'!$A$2:$C$7,3,FALSE)*'[1]Profiles, RES, Winter'!D$5</f>
        <v>26.113006824568448</v>
      </c>
      <c r="E5" s="9">
        <f>VLOOKUP($A5,'RES installed'!$A$2:$C$7,3,FALSE)*'[1]Profiles, RES, Winter'!E$5</f>
        <v>26.167201926936976</v>
      </c>
      <c r="F5" s="9">
        <f>VLOOKUP($A5,'RES installed'!$A$2:$C$7,3,FALSE)*'[1]Profiles, RES, Winter'!F$5</f>
        <v>27.088518667201928</v>
      </c>
      <c r="G5" s="9">
        <f>VLOOKUP($A5,'RES installed'!$A$2:$C$7,3,FALSE)*'[1]Profiles, RES, Winter'!G$5</f>
        <v>28.596949016459256</v>
      </c>
      <c r="H5" s="9">
        <f>VLOOKUP($A5,'RES installed'!$A$2:$C$7,3,FALSE)*'[1]Profiles, RES, Winter'!H$5</f>
        <v>30.466680048173423</v>
      </c>
      <c r="I5" s="9">
        <f>VLOOKUP($A5,'RES installed'!$A$2:$C$7,3,FALSE)*'[1]Profiles, RES, Winter'!I$5</f>
        <v>30.520875150541951</v>
      </c>
      <c r="J5" s="9">
        <f>VLOOKUP($A5,'RES installed'!$A$2:$C$7,3,FALSE)*'[1]Profiles, RES, Winter'!J$5</f>
        <v>30.249899638699318</v>
      </c>
      <c r="K5" s="9">
        <f>VLOOKUP($A5,'RES installed'!$A$2:$C$7,3,FALSE)*'[1]Profiles, RES, Winter'!K$5</f>
        <v>28.389201124046568</v>
      </c>
      <c r="L5" s="9">
        <f>VLOOKUP($A5,'RES installed'!$A$2:$C$7,3,FALSE)*'[1]Profiles, RES, Winter'!L$5</f>
        <v>24.758129265355279</v>
      </c>
      <c r="M5" s="9">
        <f>VLOOKUP($A5,'RES installed'!$A$2:$C$7,3,FALSE)*'[1]Profiles, RES, Winter'!M$5</f>
        <v>22.780008028904053</v>
      </c>
      <c r="N5" s="9">
        <f>VLOOKUP($A5,'RES installed'!$A$2:$C$7,3,FALSE)*'[1]Profiles, RES, Winter'!N$5</f>
        <v>21.885788839823366</v>
      </c>
      <c r="O5" s="9">
        <f>VLOOKUP($A5,'RES installed'!$A$2:$C$7,3,FALSE)*'[1]Profiles, RES, Winter'!O$5</f>
        <v>20.39542352468888</v>
      </c>
      <c r="P5" s="9">
        <f>VLOOKUP($A5,'RES installed'!$A$2:$C$7,3,FALSE)*'[1]Profiles, RES, Winter'!P$5</f>
        <v>18.643115214773182</v>
      </c>
      <c r="Q5" s="9">
        <f>VLOOKUP($A5,'RES installed'!$A$2:$C$7,3,FALSE)*'[1]Profiles, RES, Winter'!Q$5</f>
        <v>18.805700521878762</v>
      </c>
      <c r="R5" s="9">
        <f>VLOOKUP($A5,'RES installed'!$A$2:$C$7,3,FALSE)*'[1]Profiles, RES, Winter'!R$5</f>
        <v>19.51023685266961</v>
      </c>
      <c r="S5" s="9">
        <f>VLOOKUP($A5,'RES installed'!$A$2:$C$7,3,FALSE)*'[1]Profiles, RES, Winter'!S$5</f>
        <v>22.481934965877159</v>
      </c>
      <c r="T5" s="9">
        <f>VLOOKUP($A5,'RES installed'!$A$2:$C$7,3,FALSE)*'[1]Profiles, RES, Winter'!T$5</f>
        <v>24.342633480529908</v>
      </c>
      <c r="U5" s="9">
        <f>VLOOKUP($A5,'RES installed'!$A$2:$C$7,3,FALSE)*'[1]Profiles, RES, Winter'!U$5</f>
        <v>24.947812123645122</v>
      </c>
      <c r="V5" s="9">
        <f>VLOOKUP($A5,'RES installed'!$A$2:$C$7,3,FALSE)*'[1]Profiles, RES, Winter'!V$5</f>
        <v>24.125853071055801</v>
      </c>
      <c r="W5" s="9">
        <f>VLOOKUP($A5,'RES installed'!$A$2:$C$7,3,FALSE)*'[1]Profiles, RES, Winter'!W$5</f>
        <v>22.816138097149736</v>
      </c>
      <c r="X5" s="9">
        <f>VLOOKUP($A5,'RES installed'!$A$2:$C$7,3,FALSE)*'[1]Profiles, RES, Winter'!X$5</f>
        <v>23.060016057808109</v>
      </c>
      <c r="Y5" s="9">
        <f>VLOOKUP($A5,'RES installed'!$A$2:$C$7,3,FALSE)*'[1]Profiles, RES, Winter'!Y$5</f>
        <v>24.008430349257328</v>
      </c>
    </row>
    <row r="6" spans="1:25" x14ac:dyDescent="0.3">
      <c r="A6" s="8">
        <v>5</v>
      </c>
      <c r="B6" s="9">
        <f>VLOOKUP($A6,'RES installed'!$A$2:$C$7,3,FALSE)*'[1]Profiles, RES, Winter'!B$5</f>
        <v>32.529104777197915</v>
      </c>
      <c r="C6" s="9">
        <f>VLOOKUP($A6,'RES installed'!$A$2:$C$7,3,FALSE)*'[1]Profiles, RES, Winter'!C$5</f>
        <v>34.997992773986347</v>
      </c>
      <c r="D6" s="9">
        <f>VLOOKUP($A6,'RES installed'!$A$2:$C$7,3,FALSE)*'[1]Profiles, RES, Winter'!D$5</f>
        <v>34.817342432757933</v>
      </c>
      <c r="E6" s="9">
        <f>VLOOKUP($A6,'RES installed'!$A$2:$C$7,3,FALSE)*'[1]Profiles, RES, Winter'!E$5</f>
        <v>34.889602569249298</v>
      </c>
      <c r="F6" s="9">
        <f>VLOOKUP($A6,'RES installed'!$A$2:$C$7,3,FALSE)*'[1]Profiles, RES, Winter'!F$5</f>
        <v>36.118024889602573</v>
      </c>
      <c r="G6" s="9">
        <f>VLOOKUP($A6,'RES installed'!$A$2:$C$7,3,FALSE)*'[1]Profiles, RES, Winter'!G$5</f>
        <v>38.12926535527901</v>
      </c>
      <c r="H6" s="9">
        <f>VLOOKUP($A6,'RES installed'!$A$2:$C$7,3,FALSE)*'[1]Profiles, RES, Winter'!H$5</f>
        <v>40.622240064231228</v>
      </c>
      <c r="I6" s="9">
        <f>VLOOKUP($A6,'RES installed'!$A$2:$C$7,3,FALSE)*'[1]Profiles, RES, Winter'!I$5</f>
        <v>40.694500200722601</v>
      </c>
      <c r="J6" s="9">
        <f>VLOOKUP($A6,'RES installed'!$A$2:$C$7,3,FALSE)*'[1]Profiles, RES, Winter'!J$5</f>
        <v>40.333199518265758</v>
      </c>
      <c r="K6" s="9">
        <f>VLOOKUP($A6,'RES installed'!$A$2:$C$7,3,FALSE)*'[1]Profiles, RES, Winter'!K$5</f>
        <v>37.852268165395422</v>
      </c>
      <c r="L6" s="9">
        <f>VLOOKUP($A6,'RES installed'!$A$2:$C$7,3,FALSE)*'[1]Profiles, RES, Winter'!L$5</f>
        <v>33.010839020473703</v>
      </c>
      <c r="M6" s="9">
        <f>VLOOKUP($A6,'RES installed'!$A$2:$C$7,3,FALSE)*'[1]Profiles, RES, Winter'!M$5</f>
        <v>30.373344038538736</v>
      </c>
      <c r="N6" s="9">
        <f>VLOOKUP($A6,'RES installed'!$A$2:$C$7,3,FALSE)*'[1]Profiles, RES, Winter'!N$5</f>
        <v>29.181051786431155</v>
      </c>
      <c r="O6" s="9">
        <f>VLOOKUP($A6,'RES installed'!$A$2:$C$7,3,FALSE)*'[1]Profiles, RES, Winter'!O$5</f>
        <v>27.193898032918508</v>
      </c>
      <c r="P6" s="9">
        <f>VLOOKUP($A6,'RES installed'!$A$2:$C$7,3,FALSE)*'[1]Profiles, RES, Winter'!P$5</f>
        <v>24.857486953030911</v>
      </c>
      <c r="Q6" s="9">
        <f>VLOOKUP($A6,'RES installed'!$A$2:$C$7,3,FALSE)*'[1]Profiles, RES, Winter'!Q$5</f>
        <v>25.074267362505019</v>
      </c>
      <c r="R6" s="9">
        <f>VLOOKUP($A6,'RES installed'!$A$2:$C$7,3,FALSE)*'[1]Profiles, RES, Winter'!R$5</f>
        <v>26.013649136892816</v>
      </c>
      <c r="S6" s="9">
        <f>VLOOKUP($A6,'RES installed'!$A$2:$C$7,3,FALSE)*'[1]Profiles, RES, Winter'!S$5</f>
        <v>29.97591328783621</v>
      </c>
      <c r="T6" s="9">
        <f>VLOOKUP($A6,'RES installed'!$A$2:$C$7,3,FALSE)*'[1]Profiles, RES, Winter'!T$5</f>
        <v>32.456844640706549</v>
      </c>
      <c r="U6" s="9">
        <f>VLOOKUP($A6,'RES installed'!$A$2:$C$7,3,FALSE)*'[1]Profiles, RES, Winter'!U$5</f>
        <v>33.263749498193498</v>
      </c>
      <c r="V6" s="9">
        <f>VLOOKUP($A6,'RES installed'!$A$2:$C$7,3,FALSE)*'[1]Profiles, RES, Winter'!V$5</f>
        <v>32.167804094741065</v>
      </c>
      <c r="W6" s="9">
        <f>VLOOKUP($A6,'RES installed'!$A$2:$C$7,3,FALSE)*'[1]Profiles, RES, Winter'!W$5</f>
        <v>30.421517462866316</v>
      </c>
      <c r="X6" s="9">
        <f>VLOOKUP($A6,'RES installed'!$A$2:$C$7,3,FALSE)*'[1]Profiles, RES, Winter'!X$5</f>
        <v>30.746688077077479</v>
      </c>
      <c r="Y6" s="9">
        <f>VLOOKUP($A6,'RES installed'!$A$2:$C$7,3,FALSE)*'[1]Profiles, RES, Winter'!Y$5</f>
        <v>32.011240465676437</v>
      </c>
    </row>
    <row r="7" spans="1:25" x14ac:dyDescent="0.3">
      <c r="A7" s="8">
        <v>6</v>
      </c>
      <c r="B7" s="9">
        <f>VLOOKUP($A7,'RES installed'!$A$2:$C$7,3,FALSE)*'[1]Profiles, RES, Winter'!B$5</f>
        <v>24.396828582898433</v>
      </c>
      <c r="C7" s="9">
        <f>VLOOKUP($A7,'RES installed'!$A$2:$C$7,3,FALSE)*'[1]Profiles, RES, Winter'!C$5</f>
        <v>26.248494580489762</v>
      </c>
      <c r="D7" s="9">
        <f>VLOOKUP($A7,'RES installed'!$A$2:$C$7,3,FALSE)*'[1]Profiles, RES, Winter'!D$5</f>
        <v>26.113006824568448</v>
      </c>
      <c r="E7" s="9">
        <f>VLOOKUP($A7,'RES installed'!$A$2:$C$7,3,FALSE)*'[1]Profiles, RES, Winter'!E$5</f>
        <v>26.167201926936976</v>
      </c>
      <c r="F7" s="9">
        <f>VLOOKUP($A7,'RES installed'!$A$2:$C$7,3,FALSE)*'[1]Profiles, RES, Winter'!F$5</f>
        <v>27.088518667201928</v>
      </c>
      <c r="G7" s="9">
        <f>VLOOKUP($A7,'RES installed'!$A$2:$C$7,3,FALSE)*'[1]Profiles, RES, Winter'!G$5</f>
        <v>28.596949016459256</v>
      </c>
      <c r="H7" s="9">
        <f>VLOOKUP($A7,'RES installed'!$A$2:$C$7,3,FALSE)*'[1]Profiles, RES, Winter'!H$5</f>
        <v>30.466680048173423</v>
      </c>
      <c r="I7" s="9">
        <f>VLOOKUP($A7,'RES installed'!$A$2:$C$7,3,FALSE)*'[1]Profiles, RES, Winter'!I$5</f>
        <v>30.520875150541951</v>
      </c>
      <c r="J7" s="9">
        <f>VLOOKUP($A7,'RES installed'!$A$2:$C$7,3,FALSE)*'[1]Profiles, RES, Winter'!J$5</f>
        <v>30.249899638699318</v>
      </c>
      <c r="K7" s="9">
        <f>VLOOKUP($A7,'RES installed'!$A$2:$C$7,3,FALSE)*'[1]Profiles, RES, Winter'!K$5</f>
        <v>28.389201124046568</v>
      </c>
      <c r="L7" s="9">
        <f>VLOOKUP($A7,'RES installed'!$A$2:$C$7,3,FALSE)*'[1]Profiles, RES, Winter'!L$5</f>
        <v>24.758129265355279</v>
      </c>
      <c r="M7" s="9">
        <f>VLOOKUP($A7,'RES installed'!$A$2:$C$7,3,FALSE)*'[1]Profiles, RES, Winter'!M$5</f>
        <v>22.780008028904053</v>
      </c>
      <c r="N7" s="9">
        <f>VLOOKUP($A7,'RES installed'!$A$2:$C$7,3,FALSE)*'[1]Profiles, RES, Winter'!N$5</f>
        <v>21.885788839823366</v>
      </c>
      <c r="O7" s="9">
        <f>VLOOKUP($A7,'RES installed'!$A$2:$C$7,3,FALSE)*'[1]Profiles, RES, Winter'!O$5</f>
        <v>20.39542352468888</v>
      </c>
      <c r="P7" s="9">
        <f>VLOOKUP($A7,'RES installed'!$A$2:$C$7,3,FALSE)*'[1]Profiles, RES, Winter'!P$5</f>
        <v>18.643115214773182</v>
      </c>
      <c r="Q7" s="9">
        <f>VLOOKUP($A7,'RES installed'!$A$2:$C$7,3,FALSE)*'[1]Profiles, RES, Winter'!Q$5</f>
        <v>18.805700521878762</v>
      </c>
      <c r="R7" s="9">
        <f>VLOOKUP($A7,'RES installed'!$A$2:$C$7,3,FALSE)*'[1]Profiles, RES, Winter'!R$5</f>
        <v>19.51023685266961</v>
      </c>
      <c r="S7" s="9">
        <f>VLOOKUP($A7,'RES installed'!$A$2:$C$7,3,FALSE)*'[1]Profiles, RES, Winter'!S$5</f>
        <v>22.481934965877159</v>
      </c>
      <c r="T7" s="9">
        <f>VLOOKUP($A7,'RES installed'!$A$2:$C$7,3,FALSE)*'[1]Profiles, RES, Winter'!T$5</f>
        <v>24.342633480529908</v>
      </c>
      <c r="U7" s="9">
        <f>VLOOKUP($A7,'RES installed'!$A$2:$C$7,3,FALSE)*'[1]Profiles, RES, Winter'!U$5</f>
        <v>24.947812123645122</v>
      </c>
      <c r="V7" s="9">
        <f>VLOOKUP($A7,'RES installed'!$A$2:$C$7,3,FALSE)*'[1]Profiles, RES, Winter'!V$5</f>
        <v>24.125853071055801</v>
      </c>
      <c r="W7" s="9">
        <f>VLOOKUP($A7,'RES installed'!$A$2:$C$7,3,FALSE)*'[1]Profiles, RES, Winter'!W$5</f>
        <v>22.816138097149736</v>
      </c>
      <c r="X7" s="9">
        <f>VLOOKUP($A7,'RES installed'!$A$2:$C$7,3,FALSE)*'[1]Profiles, RES, Winter'!X$5</f>
        <v>23.060016057808109</v>
      </c>
      <c r="Y7" s="9">
        <f>VLOOKUP($A7,'RES installed'!$A$2:$C$7,3,FALSE)*'[1]Profiles, RES, Winter'!Y$5</f>
        <v>24.008430349257328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2.843062926459439E-2</v>
      </c>
      <c r="J8" s="6">
        <f>VLOOKUP($A8,'RES installed'!$A$2:$C$7,3,FALSE)*'[1]Profiles, RES, Winter'!J$2</f>
        <v>3.3263836239575437</v>
      </c>
      <c r="K8" s="6">
        <f>VLOOKUP($A8,'RES installed'!$A$2:$C$7,3,FALSE)*'[1]Profiles, RES, Winter'!K$2</f>
        <v>14.044730856709629</v>
      </c>
      <c r="L8" s="6">
        <f>VLOOKUP($A8,'RES installed'!$A$2:$C$7,3,FALSE)*'[1]Profiles, RES, Winter'!L$2</f>
        <v>24.706216830932526</v>
      </c>
      <c r="M8" s="6">
        <f>VLOOKUP($A8,'RES installed'!$A$2:$C$7,3,FALSE)*'[1]Profiles, RES, Winter'!M$2</f>
        <v>29.3972706595906</v>
      </c>
      <c r="N8" s="6">
        <f>VLOOKUP($A8,'RES installed'!$A$2:$C$7,3,FALSE)*'[1]Profiles, RES, Winter'!N$2</f>
        <v>28.288476118271419</v>
      </c>
      <c r="O8" s="6">
        <f>VLOOKUP($A8,'RES installed'!$A$2:$C$7,3,FALSE)*'[1]Profiles, RES, Winter'!O$2</f>
        <v>28.515921152388174</v>
      </c>
      <c r="P8" s="6">
        <f>VLOOKUP($A8,'RES installed'!$A$2:$C$7,3,FALSE)*'[1]Profiles, RES, Winter'!P$2</f>
        <v>26.923805913570888</v>
      </c>
      <c r="Q8" s="6">
        <f>VLOOKUP($A8,'RES installed'!$A$2:$C$7,3,FALSE)*'[1]Profiles, RES, Winter'!Q$2</f>
        <v>20.15731614859742</v>
      </c>
      <c r="R8" s="6">
        <f>VLOOKUP($A8,'RES installed'!$A$2:$C$7,3,FALSE)*'[1]Profiles, RES, Winter'!R$2</f>
        <v>7.5909780136467022</v>
      </c>
      <c r="S8" s="6">
        <f>VLOOKUP($A8,'RES installed'!$A$2:$C$7,3,FALSE)*'[1]Profiles, RES, Winter'!S$2</f>
        <v>0.3411675511751327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1.8953752843062926E-2</v>
      </c>
      <c r="J9" s="6">
        <f>VLOOKUP($A9,'RES installed'!$A$2:$C$7,3,FALSE)*'[1]Profiles, RES, Winter'!J$2</f>
        <v>2.2175890826383626</v>
      </c>
      <c r="K9" s="6">
        <f>VLOOKUP($A9,'RES installed'!$A$2:$C$7,3,FALSE)*'[1]Profiles, RES, Winter'!K$2</f>
        <v>9.3631539044730854</v>
      </c>
      <c r="L9" s="6">
        <f>VLOOKUP($A9,'RES installed'!$A$2:$C$7,3,FALSE)*'[1]Profiles, RES, Winter'!L$2</f>
        <v>16.470811220621684</v>
      </c>
      <c r="M9" s="6">
        <f>VLOOKUP($A9,'RES installed'!$A$2:$C$7,3,FALSE)*'[1]Profiles, RES, Winter'!M$2</f>
        <v>19.598180439727066</v>
      </c>
      <c r="N9" s="6">
        <f>VLOOKUP($A9,'RES installed'!$A$2:$C$7,3,FALSE)*'[1]Profiles, RES, Winter'!N$2</f>
        <v>18.858984078847612</v>
      </c>
      <c r="O9" s="6">
        <f>VLOOKUP($A9,'RES installed'!$A$2:$C$7,3,FALSE)*'[1]Profiles, RES, Winter'!O$2</f>
        <v>19.010614101592115</v>
      </c>
      <c r="P9" s="6">
        <f>VLOOKUP($A9,'RES installed'!$A$2:$C$7,3,FALSE)*'[1]Profiles, RES, Winter'!P$2</f>
        <v>17.949203942380592</v>
      </c>
      <c r="Q9" s="6">
        <f>VLOOKUP($A9,'RES installed'!$A$2:$C$7,3,FALSE)*'[1]Profiles, RES, Winter'!Q$2</f>
        <v>13.438210765731615</v>
      </c>
      <c r="R9" s="6">
        <f>VLOOKUP($A9,'RES installed'!$A$2:$C$7,3,FALSE)*'[1]Profiles, RES, Winter'!R$2</f>
        <v>5.0606520090978009</v>
      </c>
      <c r="S9" s="6">
        <f>VLOOKUP($A9,'RES installed'!$A$2:$C$7,3,FALSE)*'[1]Profiles, RES, Winter'!S$2</f>
        <v>0.22744503411675512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2.2744503411675512E-2</v>
      </c>
      <c r="J10" s="6">
        <f>VLOOKUP($A10,'RES installed'!$A$2:$C$7,3,FALSE)*'[1]Profiles, RES, Winter'!J$2</f>
        <v>2.6611068991660352</v>
      </c>
      <c r="K10" s="6">
        <f>VLOOKUP($A10,'RES installed'!$A$2:$C$7,3,FALSE)*'[1]Profiles, RES, Winter'!K$2</f>
        <v>11.235784685367703</v>
      </c>
      <c r="L10" s="6">
        <f>VLOOKUP($A10,'RES installed'!$A$2:$C$7,3,FALSE)*'[1]Profiles, RES, Winter'!L$2</f>
        <v>19.764973464746021</v>
      </c>
      <c r="M10" s="6">
        <f>VLOOKUP($A10,'RES installed'!$A$2:$C$7,3,FALSE)*'[1]Profiles, RES, Winter'!M$2</f>
        <v>23.51781652767248</v>
      </c>
      <c r="N10" s="6">
        <f>VLOOKUP($A10,'RES installed'!$A$2:$C$7,3,FALSE)*'[1]Profiles, RES, Winter'!N$2</f>
        <v>22.630780894617136</v>
      </c>
      <c r="O10" s="6">
        <f>VLOOKUP($A10,'RES installed'!$A$2:$C$7,3,FALSE)*'[1]Profiles, RES, Winter'!O$2</f>
        <v>22.812736921910538</v>
      </c>
      <c r="P10" s="6">
        <f>VLOOKUP($A10,'RES installed'!$A$2:$C$7,3,FALSE)*'[1]Profiles, RES, Winter'!P$2</f>
        <v>21.539044730856713</v>
      </c>
      <c r="Q10" s="6">
        <f>VLOOKUP($A10,'RES installed'!$A$2:$C$7,3,FALSE)*'[1]Profiles, RES, Winter'!Q$2</f>
        <v>16.125852918877939</v>
      </c>
      <c r="R10" s="6">
        <f>VLOOKUP($A10,'RES installed'!$A$2:$C$7,3,FALSE)*'[1]Profiles, RES, Winter'!R$2</f>
        <v>6.0727824109173616</v>
      </c>
      <c r="S10" s="6">
        <f>VLOOKUP($A10,'RES installed'!$A$2:$C$7,3,FALSE)*'[1]Profiles, RES, Winter'!S$2</f>
        <v>0.27293404094010615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05BE9-F0D1-4445-8605-4F4CF344826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23.610999598554798</v>
      </c>
      <c r="C5" s="9">
        <f>VLOOKUP($A5,'RES installed'!$A$2:$C$7,3,FALSE)*'[1]Profiles, RES, Winter'!C$6</f>
        <v>23.972300281011641</v>
      </c>
      <c r="D5" s="9">
        <f>VLOOKUP($A5,'RES installed'!$A$2:$C$7,3,FALSE)*'[1]Profiles, RES, Winter'!D$6</f>
        <v>24.053592934564428</v>
      </c>
      <c r="E5" s="9">
        <f>VLOOKUP($A5,'RES installed'!$A$2:$C$7,3,FALSE)*'[1]Profiles, RES, Winter'!E$6</f>
        <v>21.994179044560418</v>
      </c>
      <c r="F5" s="9">
        <f>VLOOKUP($A5,'RES installed'!$A$2:$C$7,3,FALSE)*'[1]Profiles, RES, Winter'!F$6</f>
        <v>22.698715375351266</v>
      </c>
      <c r="G5" s="9">
        <f>VLOOKUP($A5,'RES installed'!$A$2:$C$7,3,FALSE)*'[1]Profiles, RES, Winter'!G$6</f>
        <v>23.963267763950221</v>
      </c>
      <c r="H5" s="9">
        <f>VLOOKUP($A5,'RES installed'!$A$2:$C$7,3,FALSE)*'[1]Profiles, RES, Winter'!H$6</f>
        <v>24.532316338819751</v>
      </c>
      <c r="I5" s="9">
        <f>VLOOKUP($A5,'RES installed'!$A$2:$C$7,3,FALSE)*'[1]Profiles, RES, Winter'!I$6</f>
        <v>23.367121637896425</v>
      </c>
      <c r="J5" s="9">
        <f>VLOOKUP($A5,'RES installed'!$A$2:$C$7,3,FALSE)*'[1]Profiles, RES, Winter'!J$6</f>
        <v>22.238057005218788</v>
      </c>
      <c r="K5" s="9">
        <f>VLOOKUP($A5,'RES installed'!$A$2:$C$7,3,FALSE)*'[1]Profiles, RES, Winter'!K$6</f>
        <v>20.946407065435569</v>
      </c>
      <c r="L5" s="9">
        <f>VLOOKUP($A5,'RES installed'!$A$2:$C$7,3,FALSE)*'[1]Profiles, RES, Winter'!L$6</f>
        <v>19.681854676836611</v>
      </c>
      <c r="M5" s="9">
        <f>VLOOKUP($A5,'RES installed'!$A$2:$C$7,3,FALSE)*'[1]Profiles, RES, Winter'!M$6</f>
        <v>18.597952629466079</v>
      </c>
      <c r="N5" s="9">
        <f>VLOOKUP($A5,'RES installed'!$A$2:$C$7,3,FALSE)*'[1]Profiles, RES, Winter'!N$6</f>
        <v>17.143717382577279</v>
      </c>
      <c r="O5" s="9">
        <f>VLOOKUP($A5,'RES installed'!$A$2:$C$7,3,FALSE)*'[1]Profiles, RES, Winter'!O$6</f>
        <v>13.27780008028904</v>
      </c>
      <c r="P5" s="9">
        <f>VLOOKUP($A5,'RES installed'!$A$2:$C$7,3,FALSE)*'[1]Profiles, RES, Winter'!P$6</f>
        <v>12.988759534323565</v>
      </c>
      <c r="Q5" s="9">
        <f>VLOOKUP($A5,'RES installed'!$A$2:$C$7,3,FALSE)*'[1]Profiles, RES, Winter'!Q$6</f>
        <v>13.214572460859094</v>
      </c>
      <c r="R5" s="9">
        <f>VLOOKUP($A5,'RES installed'!$A$2:$C$7,3,FALSE)*'[1]Profiles, RES, Winter'!R$6</f>
        <v>16.764351665997591</v>
      </c>
      <c r="S5" s="9">
        <f>VLOOKUP($A5,'RES installed'!$A$2:$C$7,3,FALSE)*'[1]Profiles, RES, Winter'!S$6</f>
        <v>19.645724608590928</v>
      </c>
      <c r="T5" s="9">
        <f>VLOOKUP($A5,'RES installed'!$A$2:$C$7,3,FALSE)*'[1]Profiles, RES, Winter'!T$6</f>
        <v>20.928342031312724</v>
      </c>
      <c r="U5" s="9">
        <f>VLOOKUP($A5,'RES installed'!$A$2:$C$7,3,FALSE)*'[1]Profiles, RES, Winter'!U$6</f>
        <v>21.8586912886391</v>
      </c>
      <c r="V5" s="9">
        <f>VLOOKUP($A5,'RES installed'!$A$2:$C$7,3,FALSE)*'[1]Profiles, RES, Winter'!V$6</f>
        <v>22.590325170614211</v>
      </c>
      <c r="W5" s="9">
        <f>VLOOKUP($A5,'RES installed'!$A$2:$C$7,3,FALSE)*'[1]Profiles, RES, Winter'!W$6</f>
        <v>23.448414291449218</v>
      </c>
      <c r="X5" s="9">
        <f>VLOOKUP($A5,'RES installed'!$A$2:$C$7,3,FALSE)*'[1]Profiles, RES, Winter'!X$6</f>
        <v>23.005820955439585</v>
      </c>
      <c r="Y5" s="9">
        <f>VLOOKUP($A5,'RES installed'!$A$2:$C$7,3,FALSE)*'[1]Profiles, RES, Winter'!Y$6</f>
        <v>22.382577278201524</v>
      </c>
    </row>
    <row r="6" spans="1:25" x14ac:dyDescent="0.3">
      <c r="A6" s="8">
        <v>5</v>
      </c>
      <c r="B6" s="9">
        <f>VLOOKUP($A6,'RES installed'!$A$2:$C$7,3,FALSE)*'[1]Profiles, RES, Winter'!B$6</f>
        <v>31.481332798073062</v>
      </c>
      <c r="C6" s="9">
        <f>VLOOKUP($A6,'RES installed'!$A$2:$C$7,3,FALSE)*'[1]Profiles, RES, Winter'!C$6</f>
        <v>31.963067041348857</v>
      </c>
      <c r="D6" s="9">
        <f>VLOOKUP($A6,'RES installed'!$A$2:$C$7,3,FALSE)*'[1]Profiles, RES, Winter'!D$6</f>
        <v>32.071457246085906</v>
      </c>
      <c r="E6" s="9">
        <f>VLOOKUP($A6,'RES installed'!$A$2:$C$7,3,FALSE)*'[1]Profiles, RES, Winter'!E$6</f>
        <v>29.32557205941389</v>
      </c>
      <c r="F6" s="9">
        <f>VLOOKUP($A6,'RES installed'!$A$2:$C$7,3,FALSE)*'[1]Profiles, RES, Winter'!F$6</f>
        <v>30.264953833801687</v>
      </c>
      <c r="G6" s="9">
        <f>VLOOKUP($A6,'RES installed'!$A$2:$C$7,3,FALSE)*'[1]Profiles, RES, Winter'!G$6</f>
        <v>31.951023685266961</v>
      </c>
      <c r="H6" s="9">
        <f>VLOOKUP($A6,'RES installed'!$A$2:$C$7,3,FALSE)*'[1]Profiles, RES, Winter'!H$6</f>
        <v>32.709755118426337</v>
      </c>
      <c r="I6" s="9">
        <f>VLOOKUP($A6,'RES installed'!$A$2:$C$7,3,FALSE)*'[1]Profiles, RES, Winter'!I$6</f>
        <v>31.156162183861898</v>
      </c>
      <c r="J6" s="9">
        <f>VLOOKUP($A6,'RES installed'!$A$2:$C$7,3,FALSE)*'[1]Profiles, RES, Winter'!J$6</f>
        <v>29.65074267362505</v>
      </c>
      <c r="K6" s="9">
        <f>VLOOKUP($A6,'RES installed'!$A$2:$C$7,3,FALSE)*'[1]Profiles, RES, Winter'!K$6</f>
        <v>27.92854275391409</v>
      </c>
      <c r="L6" s="9">
        <f>VLOOKUP($A6,'RES installed'!$A$2:$C$7,3,FALSE)*'[1]Profiles, RES, Winter'!L$6</f>
        <v>26.242472902448814</v>
      </c>
      <c r="M6" s="9">
        <f>VLOOKUP($A6,'RES installed'!$A$2:$C$7,3,FALSE)*'[1]Profiles, RES, Winter'!M$6</f>
        <v>24.797270172621438</v>
      </c>
      <c r="N6" s="9">
        <f>VLOOKUP($A6,'RES installed'!$A$2:$C$7,3,FALSE)*'[1]Profiles, RES, Winter'!N$6</f>
        <v>22.858289843436374</v>
      </c>
      <c r="O6" s="9">
        <f>VLOOKUP($A6,'RES installed'!$A$2:$C$7,3,FALSE)*'[1]Profiles, RES, Winter'!O$6</f>
        <v>17.703733440385388</v>
      </c>
      <c r="P6" s="9">
        <f>VLOOKUP($A6,'RES installed'!$A$2:$C$7,3,FALSE)*'[1]Profiles, RES, Winter'!P$6</f>
        <v>17.318346045764756</v>
      </c>
      <c r="Q6" s="9">
        <f>VLOOKUP($A6,'RES installed'!$A$2:$C$7,3,FALSE)*'[1]Profiles, RES, Winter'!Q$6</f>
        <v>17.619429947812122</v>
      </c>
      <c r="R6" s="9">
        <f>VLOOKUP($A6,'RES installed'!$A$2:$C$7,3,FALSE)*'[1]Profiles, RES, Winter'!R$6</f>
        <v>22.352468887996789</v>
      </c>
      <c r="S6" s="9">
        <f>VLOOKUP($A6,'RES installed'!$A$2:$C$7,3,FALSE)*'[1]Profiles, RES, Winter'!S$6</f>
        <v>26.194299478121238</v>
      </c>
      <c r="T6" s="9">
        <f>VLOOKUP($A6,'RES installed'!$A$2:$C$7,3,FALSE)*'[1]Profiles, RES, Winter'!T$6</f>
        <v>27.904456041750301</v>
      </c>
      <c r="U6" s="9">
        <f>VLOOKUP($A6,'RES installed'!$A$2:$C$7,3,FALSE)*'[1]Profiles, RES, Winter'!U$6</f>
        <v>29.144921718185469</v>
      </c>
      <c r="V6" s="9">
        <f>VLOOKUP($A6,'RES installed'!$A$2:$C$7,3,FALSE)*'[1]Profiles, RES, Winter'!V$6</f>
        <v>30.120433560818945</v>
      </c>
      <c r="W6" s="9">
        <f>VLOOKUP($A6,'RES installed'!$A$2:$C$7,3,FALSE)*'[1]Profiles, RES, Winter'!W$6</f>
        <v>31.264552388598958</v>
      </c>
      <c r="X6" s="9">
        <f>VLOOKUP($A6,'RES installed'!$A$2:$C$7,3,FALSE)*'[1]Profiles, RES, Winter'!X$6</f>
        <v>30.674427940586114</v>
      </c>
      <c r="Y6" s="9">
        <f>VLOOKUP($A6,'RES installed'!$A$2:$C$7,3,FALSE)*'[1]Profiles, RES, Winter'!Y$6</f>
        <v>29.843436370935368</v>
      </c>
    </row>
    <row r="7" spans="1:25" x14ac:dyDescent="0.3">
      <c r="A7" s="8">
        <v>6</v>
      </c>
      <c r="B7" s="9">
        <f>VLOOKUP($A7,'RES installed'!$A$2:$C$7,3,FALSE)*'[1]Profiles, RES, Winter'!B$6</f>
        <v>23.610999598554798</v>
      </c>
      <c r="C7" s="9">
        <f>VLOOKUP($A7,'RES installed'!$A$2:$C$7,3,FALSE)*'[1]Profiles, RES, Winter'!C$6</f>
        <v>23.972300281011641</v>
      </c>
      <c r="D7" s="9">
        <f>VLOOKUP($A7,'RES installed'!$A$2:$C$7,3,FALSE)*'[1]Profiles, RES, Winter'!D$6</f>
        <v>24.053592934564428</v>
      </c>
      <c r="E7" s="9">
        <f>VLOOKUP($A7,'RES installed'!$A$2:$C$7,3,FALSE)*'[1]Profiles, RES, Winter'!E$6</f>
        <v>21.994179044560418</v>
      </c>
      <c r="F7" s="9">
        <f>VLOOKUP($A7,'RES installed'!$A$2:$C$7,3,FALSE)*'[1]Profiles, RES, Winter'!F$6</f>
        <v>22.698715375351266</v>
      </c>
      <c r="G7" s="9">
        <f>VLOOKUP($A7,'RES installed'!$A$2:$C$7,3,FALSE)*'[1]Profiles, RES, Winter'!G$6</f>
        <v>23.963267763950221</v>
      </c>
      <c r="H7" s="9">
        <f>VLOOKUP($A7,'RES installed'!$A$2:$C$7,3,FALSE)*'[1]Profiles, RES, Winter'!H$6</f>
        <v>24.532316338819751</v>
      </c>
      <c r="I7" s="9">
        <f>VLOOKUP($A7,'RES installed'!$A$2:$C$7,3,FALSE)*'[1]Profiles, RES, Winter'!I$6</f>
        <v>23.367121637896425</v>
      </c>
      <c r="J7" s="9">
        <f>VLOOKUP($A7,'RES installed'!$A$2:$C$7,3,FALSE)*'[1]Profiles, RES, Winter'!J$6</f>
        <v>22.238057005218788</v>
      </c>
      <c r="K7" s="9">
        <f>VLOOKUP($A7,'RES installed'!$A$2:$C$7,3,FALSE)*'[1]Profiles, RES, Winter'!K$6</f>
        <v>20.946407065435569</v>
      </c>
      <c r="L7" s="9">
        <f>VLOOKUP($A7,'RES installed'!$A$2:$C$7,3,FALSE)*'[1]Profiles, RES, Winter'!L$6</f>
        <v>19.681854676836611</v>
      </c>
      <c r="M7" s="9">
        <f>VLOOKUP($A7,'RES installed'!$A$2:$C$7,3,FALSE)*'[1]Profiles, RES, Winter'!M$6</f>
        <v>18.597952629466079</v>
      </c>
      <c r="N7" s="9">
        <f>VLOOKUP($A7,'RES installed'!$A$2:$C$7,3,FALSE)*'[1]Profiles, RES, Winter'!N$6</f>
        <v>17.143717382577279</v>
      </c>
      <c r="O7" s="9">
        <f>VLOOKUP($A7,'RES installed'!$A$2:$C$7,3,FALSE)*'[1]Profiles, RES, Winter'!O$6</f>
        <v>13.27780008028904</v>
      </c>
      <c r="P7" s="9">
        <f>VLOOKUP($A7,'RES installed'!$A$2:$C$7,3,FALSE)*'[1]Profiles, RES, Winter'!P$6</f>
        <v>12.988759534323565</v>
      </c>
      <c r="Q7" s="9">
        <f>VLOOKUP($A7,'RES installed'!$A$2:$C$7,3,FALSE)*'[1]Profiles, RES, Winter'!Q$6</f>
        <v>13.214572460859094</v>
      </c>
      <c r="R7" s="9">
        <f>VLOOKUP($A7,'RES installed'!$A$2:$C$7,3,FALSE)*'[1]Profiles, RES, Winter'!R$6</f>
        <v>16.764351665997591</v>
      </c>
      <c r="S7" s="9">
        <f>VLOOKUP($A7,'RES installed'!$A$2:$C$7,3,FALSE)*'[1]Profiles, RES, Winter'!S$6</f>
        <v>19.645724608590928</v>
      </c>
      <c r="T7" s="9">
        <f>VLOOKUP($A7,'RES installed'!$A$2:$C$7,3,FALSE)*'[1]Profiles, RES, Winter'!T$6</f>
        <v>20.928342031312724</v>
      </c>
      <c r="U7" s="9">
        <f>VLOOKUP($A7,'RES installed'!$A$2:$C$7,3,FALSE)*'[1]Profiles, RES, Winter'!U$6</f>
        <v>21.8586912886391</v>
      </c>
      <c r="V7" s="9">
        <f>VLOOKUP($A7,'RES installed'!$A$2:$C$7,3,FALSE)*'[1]Profiles, RES, Winter'!V$6</f>
        <v>22.590325170614211</v>
      </c>
      <c r="W7" s="9">
        <f>VLOOKUP($A7,'RES installed'!$A$2:$C$7,3,FALSE)*'[1]Profiles, RES, Winter'!W$6</f>
        <v>23.448414291449218</v>
      </c>
      <c r="X7" s="9">
        <f>VLOOKUP($A7,'RES installed'!$A$2:$C$7,3,FALSE)*'[1]Profiles, RES, Winter'!X$6</f>
        <v>23.005820955439585</v>
      </c>
      <c r="Y7" s="9">
        <f>VLOOKUP($A7,'RES installed'!$A$2:$C$7,3,FALSE)*'[1]Profiles, RES, Winter'!Y$6</f>
        <v>22.382577278201524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5.6861258529188781E-2</v>
      </c>
      <c r="J8" s="6">
        <f>VLOOKUP($A8,'RES installed'!$A$2:$C$7,3,FALSE)*'[1]Profiles, RES, Winter'!J$3</f>
        <v>4.8616376042456411</v>
      </c>
      <c r="K8" s="6">
        <f>VLOOKUP($A8,'RES installed'!$A$2:$C$7,3,FALSE)*'[1]Profiles, RES, Winter'!K$3</f>
        <v>16.717210007581503</v>
      </c>
      <c r="L8" s="6">
        <f>VLOOKUP($A8,'RES installed'!$A$2:$C$7,3,FALSE)*'[1]Profiles, RES, Winter'!L$3</f>
        <v>25.672858225928731</v>
      </c>
      <c r="M8" s="6">
        <f>VLOOKUP($A8,'RES installed'!$A$2:$C$7,3,FALSE)*'[1]Profiles, RES, Winter'!M$3</f>
        <v>25.473843821076574</v>
      </c>
      <c r="N8" s="6">
        <f>VLOOKUP($A8,'RES installed'!$A$2:$C$7,3,FALSE)*'[1]Profiles, RES, Winter'!N$3</f>
        <v>28.316906747536013</v>
      </c>
      <c r="O8" s="6">
        <f>VLOOKUP($A8,'RES installed'!$A$2:$C$7,3,FALSE)*'[1]Profiles, RES, Winter'!O$3</f>
        <v>27.691432903714933</v>
      </c>
      <c r="P8" s="6">
        <f>VLOOKUP($A8,'RES installed'!$A$2:$C$7,3,FALSE)*'[1]Profiles, RES, Winter'!P$3</f>
        <v>23.426838514025775</v>
      </c>
      <c r="Q8" s="6">
        <f>VLOOKUP($A8,'RES installed'!$A$2:$C$7,3,FALSE)*'[1]Profiles, RES, Winter'!Q$3</f>
        <v>15.068233510235027</v>
      </c>
      <c r="R8" s="6">
        <f>VLOOKUP($A8,'RES installed'!$A$2:$C$7,3,FALSE)*'[1]Profiles, RES, Winter'!R$3</f>
        <v>4.8047763457164523</v>
      </c>
      <c r="S8" s="6">
        <f>VLOOKUP($A8,'RES installed'!$A$2:$C$7,3,FALSE)*'[1]Profiles, RES, Winter'!S$3</f>
        <v>0.28430629264594387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3.7907505686125852E-2</v>
      </c>
      <c r="J9" s="6">
        <f>VLOOKUP($A9,'RES installed'!$A$2:$C$7,3,FALSE)*'[1]Profiles, RES, Winter'!J$3</f>
        <v>3.2410917361637606</v>
      </c>
      <c r="K9" s="6">
        <f>VLOOKUP($A9,'RES installed'!$A$2:$C$7,3,FALSE)*'[1]Profiles, RES, Winter'!K$3</f>
        <v>11.144806671721001</v>
      </c>
      <c r="L9" s="6">
        <f>VLOOKUP($A9,'RES installed'!$A$2:$C$7,3,FALSE)*'[1]Profiles, RES, Winter'!L$3</f>
        <v>17.115238817285821</v>
      </c>
      <c r="M9" s="6">
        <f>VLOOKUP($A9,'RES installed'!$A$2:$C$7,3,FALSE)*'[1]Profiles, RES, Winter'!M$3</f>
        <v>16.982562547384383</v>
      </c>
      <c r="N9" s="6">
        <f>VLOOKUP($A9,'RES installed'!$A$2:$C$7,3,FALSE)*'[1]Profiles, RES, Winter'!N$3</f>
        <v>18.877937831690677</v>
      </c>
      <c r="O9" s="6">
        <f>VLOOKUP($A9,'RES installed'!$A$2:$C$7,3,FALSE)*'[1]Profiles, RES, Winter'!O$3</f>
        <v>18.460955269143291</v>
      </c>
      <c r="P9" s="6">
        <f>VLOOKUP($A9,'RES installed'!$A$2:$C$7,3,FALSE)*'[1]Profiles, RES, Winter'!P$3</f>
        <v>15.617892342683851</v>
      </c>
      <c r="Q9" s="6">
        <f>VLOOKUP($A9,'RES installed'!$A$2:$C$7,3,FALSE)*'[1]Profiles, RES, Winter'!Q$3</f>
        <v>10.045489006823351</v>
      </c>
      <c r="R9" s="6">
        <f>VLOOKUP($A9,'RES installed'!$A$2:$C$7,3,FALSE)*'[1]Profiles, RES, Winter'!R$3</f>
        <v>3.2031842304776346</v>
      </c>
      <c r="S9" s="6">
        <f>VLOOKUP($A9,'RES installed'!$A$2:$C$7,3,FALSE)*'[1]Profiles, RES, Winter'!S$3</f>
        <v>0.18953752843062927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4.5489006823351025E-2</v>
      </c>
      <c r="J10" s="6">
        <f>VLOOKUP($A10,'RES installed'!$A$2:$C$7,3,FALSE)*'[1]Profiles, RES, Winter'!J$3</f>
        <v>3.8893100833965129</v>
      </c>
      <c r="K10" s="6">
        <f>VLOOKUP($A10,'RES installed'!$A$2:$C$7,3,FALSE)*'[1]Profiles, RES, Winter'!K$3</f>
        <v>13.373768006065202</v>
      </c>
      <c r="L10" s="6">
        <f>VLOOKUP($A10,'RES installed'!$A$2:$C$7,3,FALSE)*'[1]Profiles, RES, Winter'!L$3</f>
        <v>20.538286580742987</v>
      </c>
      <c r="M10" s="6">
        <f>VLOOKUP($A10,'RES installed'!$A$2:$C$7,3,FALSE)*'[1]Profiles, RES, Winter'!M$3</f>
        <v>20.379075056861261</v>
      </c>
      <c r="N10" s="6">
        <f>VLOOKUP($A10,'RES installed'!$A$2:$C$7,3,FALSE)*'[1]Profiles, RES, Winter'!N$3</f>
        <v>22.653525398028808</v>
      </c>
      <c r="O10" s="6">
        <f>VLOOKUP($A10,'RES installed'!$A$2:$C$7,3,FALSE)*'[1]Profiles, RES, Winter'!O$3</f>
        <v>22.153146322971946</v>
      </c>
      <c r="P10" s="6">
        <f>VLOOKUP($A10,'RES installed'!$A$2:$C$7,3,FALSE)*'[1]Profiles, RES, Winter'!P$3</f>
        <v>18.741470811220619</v>
      </c>
      <c r="Q10" s="6">
        <f>VLOOKUP($A10,'RES installed'!$A$2:$C$7,3,FALSE)*'[1]Profiles, RES, Winter'!Q$3</f>
        <v>12.05458680818802</v>
      </c>
      <c r="R10" s="6">
        <f>VLOOKUP($A10,'RES installed'!$A$2:$C$7,3,FALSE)*'[1]Profiles, RES, Winter'!R$3</f>
        <v>3.8438210765731617</v>
      </c>
      <c r="S10" s="6">
        <f>VLOOKUP($A10,'RES installed'!$A$2:$C$7,3,FALSE)*'[1]Profiles, RES, Winter'!S$3</f>
        <v>0.22744503411675512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82E7E-1977-4512-8AB6-AD858BA4704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22.608390204737056</v>
      </c>
      <c r="C5" s="9">
        <f>VLOOKUP($A5,'RES installed'!$A$2:$C$7,3,FALSE)*'[1]Profiles, RES, Winter'!C$7</f>
        <v>22.509032517061421</v>
      </c>
      <c r="D5" s="9">
        <f>VLOOKUP($A5,'RES installed'!$A$2:$C$7,3,FALSE)*'[1]Profiles, RES, Winter'!D$7</f>
        <v>21.939983942191891</v>
      </c>
      <c r="E5" s="9">
        <f>VLOOKUP($A5,'RES installed'!$A$2:$C$7,3,FALSE)*'[1]Profiles, RES, Winter'!E$7</f>
        <v>22.481934965877159</v>
      </c>
      <c r="F5" s="9">
        <f>VLOOKUP($A5,'RES installed'!$A$2:$C$7,3,FALSE)*'[1]Profiles, RES, Winter'!F$7</f>
        <v>21.84965877157768</v>
      </c>
      <c r="G5" s="9">
        <f>VLOOKUP($A5,'RES installed'!$A$2:$C$7,3,FALSE)*'[1]Profiles, RES, Winter'!G$7</f>
        <v>21.732236049779207</v>
      </c>
      <c r="H5" s="9">
        <f>VLOOKUP($A5,'RES installed'!$A$2:$C$7,3,FALSE)*'[1]Profiles, RES, Winter'!H$7</f>
        <v>22.518065034122841</v>
      </c>
      <c r="I5" s="9">
        <f>VLOOKUP($A5,'RES installed'!$A$2:$C$7,3,FALSE)*'[1]Profiles, RES, Winter'!I$7</f>
        <v>21.163187474909677</v>
      </c>
      <c r="J5" s="9">
        <f>VLOOKUP($A5,'RES installed'!$A$2:$C$7,3,FALSE)*'[1]Profiles, RES, Winter'!J$7</f>
        <v>19.483139301485345</v>
      </c>
      <c r="K5" s="9">
        <f>VLOOKUP($A5,'RES installed'!$A$2:$C$7,3,FALSE)*'[1]Profiles, RES, Winter'!K$7</f>
        <v>18.245684464070653</v>
      </c>
      <c r="L5" s="9">
        <f>VLOOKUP($A5,'RES installed'!$A$2:$C$7,3,FALSE)*'[1]Profiles, RES, Winter'!L$7</f>
        <v>16.502408671216379</v>
      </c>
      <c r="M5" s="9">
        <f>VLOOKUP($A5,'RES installed'!$A$2:$C$7,3,FALSE)*'[1]Profiles, RES, Winter'!M$7</f>
        <v>14.217181854676838</v>
      </c>
      <c r="N5" s="9">
        <f>VLOOKUP($A5,'RES installed'!$A$2:$C$7,3,FALSE)*'[1]Profiles, RES, Winter'!N$7</f>
        <v>12.817141710156562</v>
      </c>
      <c r="O5" s="9">
        <f>VLOOKUP($A5,'RES installed'!$A$2:$C$7,3,FALSE)*'[1]Profiles, RES, Winter'!O$7</f>
        <v>12.735849056603774</v>
      </c>
      <c r="P5" s="9">
        <f>VLOOKUP($A5,'RES installed'!$A$2:$C$7,3,FALSE)*'[1]Profiles, RES, Winter'!P$7</f>
        <v>14.452027298273785</v>
      </c>
      <c r="Q5" s="9">
        <f>VLOOKUP($A5,'RES installed'!$A$2:$C$7,3,FALSE)*'[1]Profiles, RES, Winter'!Q$7</f>
        <v>14.957848253713367</v>
      </c>
      <c r="R5" s="9">
        <f>VLOOKUP($A5,'RES installed'!$A$2:$C$7,3,FALSE)*'[1]Profiles, RES, Winter'!R$7</f>
        <v>16.538538739462066</v>
      </c>
      <c r="S5" s="9">
        <f>VLOOKUP($A5,'RES installed'!$A$2:$C$7,3,FALSE)*'[1]Profiles, RES, Winter'!S$7</f>
        <v>19.167001204335609</v>
      </c>
      <c r="T5" s="9">
        <f>VLOOKUP($A5,'RES installed'!$A$2:$C$7,3,FALSE)*'[1]Profiles, RES, Winter'!T$7</f>
        <v>20.847049377759937</v>
      </c>
      <c r="U5" s="9">
        <f>VLOOKUP($A5,'RES installed'!$A$2:$C$7,3,FALSE)*'[1]Profiles, RES, Winter'!U$7</f>
        <v>22.09353673223605</v>
      </c>
      <c r="V5" s="9">
        <f>VLOOKUP($A5,'RES installed'!$A$2:$C$7,3,FALSE)*'[1]Profiles, RES, Winter'!V$7</f>
        <v>22.274187073464471</v>
      </c>
      <c r="W5" s="9">
        <f>VLOOKUP($A5,'RES installed'!$A$2:$C$7,3,FALSE)*'[1]Profiles, RES, Winter'!W$7</f>
        <v>20.530911280610194</v>
      </c>
      <c r="X5" s="9">
        <f>VLOOKUP($A5,'RES installed'!$A$2:$C$7,3,FALSE)*'[1]Profiles, RES, Winter'!X$7</f>
        <v>18.932155760738659</v>
      </c>
      <c r="Y5" s="9">
        <f>VLOOKUP($A5,'RES installed'!$A$2:$C$7,3,FALSE)*'[1]Profiles, RES, Winter'!Y$7</f>
        <v>18.182456844640708</v>
      </c>
    </row>
    <row r="6" spans="1:25" x14ac:dyDescent="0.3">
      <c r="A6" s="8">
        <v>5</v>
      </c>
      <c r="B6" s="9">
        <f>VLOOKUP($A6,'RES installed'!$A$2:$C$7,3,FALSE)*'[1]Profiles, RES, Winter'!B$7</f>
        <v>30.144520272982739</v>
      </c>
      <c r="C6" s="9">
        <f>VLOOKUP($A6,'RES installed'!$A$2:$C$7,3,FALSE)*'[1]Profiles, RES, Winter'!C$7</f>
        <v>30.012043356081897</v>
      </c>
      <c r="D6" s="9">
        <f>VLOOKUP($A6,'RES installed'!$A$2:$C$7,3,FALSE)*'[1]Profiles, RES, Winter'!D$7</f>
        <v>29.253311922922521</v>
      </c>
      <c r="E6" s="9">
        <f>VLOOKUP($A6,'RES installed'!$A$2:$C$7,3,FALSE)*'[1]Profiles, RES, Winter'!E$7</f>
        <v>29.97591328783621</v>
      </c>
      <c r="F6" s="9">
        <f>VLOOKUP($A6,'RES installed'!$A$2:$C$7,3,FALSE)*'[1]Profiles, RES, Winter'!F$7</f>
        <v>29.132878362103575</v>
      </c>
      <c r="G6" s="9">
        <f>VLOOKUP($A6,'RES installed'!$A$2:$C$7,3,FALSE)*'[1]Profiles, RES, Winter'!G$7</f>
        <v>28.97631473303894</v>
      </c>
      <c r="H6" s="9">
        <f>VLOOKUP($A6,'RES installed'!$A$2:$C$7,3,FALSE)*'[1]Profiles, RES, Winter'!H$7</f>
        <v>30.024086712163786</v>
      </c>
      <c r="I6" s="9">
        <f>VLOOKUP($A6,'RES installed'!$A$2:$C$7,3,FALSE)*'[1]Profiles, RES, Winter'!I$7</f>
        <v>28.217583299879568</v>
      </c>
      <c r="J6" s="9">
        <f>VLOOKUP($A6,'RES installed'!$A$2:$C$7,3,FALSE)*'[1]Profiles, RES, Winter'!J$7</f>
        <v>25.977519068647126</v>
      </c>
      <c r="K6" s="9">
        <f>VLOOKUP($A6,'RES installed'!$A$2:$C$7,3,FALSE)*'[1]Profiles, RES, Winter'!K$7</f>
        <v>24.327579285427539</v>
      </c>
      <c r="L6" s="9">
        <f>VLOOKUP($A6,'RES installed'!$A$2:$C$7,3,FALSE)*'[1]Profiles, RES, Winter'!L$7</f>
        <v>22.003211561621839</v>
      </c>
      <c r="M6" s="9">
        <f>VLOOKUP($A6,'RES installed'!$A$2:$C$7,3,FALSE)*'[1]Profiles, RES, Winter'!M$7</f>
        <v>18.956242472902449</v>
      </c>
      <c r="N6" s="9">
        <f>VLOOKUP($A6,'RES installed'!$A$2:$C$7,3,FALSE)*'[1]Profiles, RES, Winter'!N$7</f>
        <v>17.089522280208751</v>
      </c>
      <c r="O6" s="9">
        <f>VLOOKUP($A6,'RES installed'!$A$2:$C$7,3,FALSE)*'[1]Profiles, RES, Winter'!O$7</f>
        <v>16.981132075471699</v>
      </c>
      <c r="P6" s="9">
        <f>VLOOKUP($A6,'RES installed'!$A$2:$C$7,3,FALSE)*'[1]Profiles, RES, Winter'!P$7</f>
        <v>19.269369731031713</v>
      </c>
      <c r="Q6" s="9">
        <f>VLOOKUP($A6,'RES installed'!$A$2:$C$7,3,FALSE)*'[1]Profiles, RES, Winter'!Q$7</f>
        <v>19.943797671617823</v>
      </c>
      <c r="R6" s="9">
        <f>VLOOKUP($A6,'RES installed'!$A$2:$C$7,3,FALSE)*'[1]Profiles, RES, Winter'!R$7</f>
        <v>22.051384985949419</v>
      </c>
      <c r="S6" s="9">
        <f>VLOOKUP($A6,'RES installed'!$A$2:$C$7,3,FALSE)*'[1]Profiles, RES, Winter'!S$7</f>
        <v>25.556001605780811</v>
      </c>
      <c r="T6" s="9">
        <f>VLOOKUP($A6,'RES installed'!$A$2:$C$7,3,FALSE)*'[1]Profiles, RES, Winter'!T$7</f>
        <v>27.796065837013249</v>
      </c>
      <c r="U6" s="9">
        <f>VLOOKUP($A6,'RES installed'!$A$2:$C$7,3,FALSE)*'[1]Profiles, RES, Winter'!U$7</f>
        <v>29.458048976314732</v>
      </c>
      <c r="V6" s="9">
        <f>VLOOKUP($A6,'RES installed'!$A$2:$C$7,3,FALSE)*'[1]Profiles, RES, Winter'!V$7</f>
        <v>29.69891609795263</v>
      </c>
      <c r="W6" s="9">
        <f>VLOOKUP($A6,'RES installed'!$A$2:$C$7,3,FALSE)*'[1]Profiles, RES, Winter'!W$7</f>
        <v>27.374548374146926</v>
      </c>
      <c r="X6" s="9">
        <f>VLOOKUP($A6,'RES installed'!$A$2:$C$7,3,FALSE)*'[1]Profiles, RES, Winter'!X$7</f>
        <v>25.242874347651544</v>
      </c>
      <c r="Y6" s="9">
        <f>VLOOKUP($A6,'RES installed'!$A$2:$C$7,3,FALSE)*'[1]Profiles, RES, Winter'!Y$7</f>
        <v>24.243275792854277</v>
      </c>
    </row>
    <row r="7" spans="1:25" x14ac:dyDescent="0.3">
      <c r="A7" s="8">
        <v>6</v>
      </c>
      <c r="B7" s="9">
        <f>VLOOKUP($A7,'RES installed'!$A$2:$C$7,3,FALSE)*'[1]Profiles, RES, Winter'!B$7</f>
        <v>22.608390204737056</v>
      </c>
      <c r="C7" s="9">
        <f>VLOOKUP($A7,'RES installed'!$A$2:$C$7,3,FALSE)*'[1]Profiles, RES, Winter'!C$7</f>
        <v>22.509032517061421</v>
      </c>
      <c r="D7" s="9">
        <f>VLOOKUP($A7,'RES installed'!$A$2:$C$7,3,FALSE)*'[1]Profiles, RES, Winter'!D$7</f>
        <v>21.939983942191891</v>
      </c>
      <c r="E7" s="9">
        <f>VLOOKUP($A7,'RES installed'!$A$2:$C$7,3,FALSE)*'[1]Profiles, RES, Winter'!E$7</f>
        <v>22.481934965877159</v>
      </c>
      <c r="F7" s="9">
        <f>VLOOKUP($A7,'RES installed'!$A$2:$C$7,3,FALSE)*'[1]Profiles, RES, Winter'!F$7</f>
        <v>21.84965877157768</v>
      </c>
      <c r="G7" s="9">
        <f>VLOOKUP($A7,'RES installed'!$A$2:$C$7,3,FALSE)*'[1]Profiles, RES, Winter'!G$7</f>
        <v>21.732236049779207</v>
      </c>
      <c r="H7" s="9">
        <f>VLOOKUP($A7,'RES installed'!$A$2:$C$7,3,FALSE)*'[1]Profiles, RES, Winter'!H$7</f>
        <v>22.518065034122841</v>
      </c>
      <c r="I7" s="9">
        <f>VLOOKUP($A7,'RES installed'!$A$2:$C$7,3,FALSE)*'[1]Profiles, RES, Winter'!I$7</f>
        <v>21.163187474909677</v>
      </c>
      <c r="J7" s="9">
        <f>VLOOKUP($A7,'RES installed'!$A$2:$C$7,3,FALSE)*'[1]Profiles, RES, Winter'!J$7</f>
        <v>19.483139301485345</v>
      </c>
      <c r="K7" s="9">
        <f>VLOOKUP($A7,'RES installed'!$A$2:$C$7,3,FALSE)*'[1]Profiles, RES, Winter'!K$7</f>
        <v>18.245684464070653</v>
      </c>
      <c r="L7" s="9">
        <f>VLOOKUP($A7,'RES installed'!$A$2:$C$7,3,FALSE)*'[1]Profiles, RES, Winter'!L$7</f>
        <v>16.502408671216379</v>
      </c>
      <c r="M7" s="9">
        <f>VLOOKUP($A7,'RES installed'!$A$2:$C$7,3,FALSE)*'[1]Profiles, RES, Winter'!M$7</f>
        <v>14.217181854676838</v>
      </c>
      <c r="N7" s="9">
        <f>VLOOKUP($A7,'RES installed'!$A$2:$C$7,3,FALSE)*'[1]Profiles, RES, Winter'!N$7</f>
        <v>12.817141710156562</v>
      </c>
      <c r="O7" s="9">
        <f>VLOOKUP($A7,'RES installed'!$A$2:$C$7,3,FALSE)*'[1]Profiles, RES, Winter'!O$7</f>
        <v>12.735849056603774</v>
      </c>
      <c r="P7" s="9">
        <f>VLOOKUP($A7,'RES installed'!$A$2:$C$7,3,FALSE)*'[1]Profiles, RES, Winter'!P$7</f>
        <v>14.452027298273785</v>
      </c>
      <c r="Q7" s="9">
        <f>VLOOKUP($A7,'RES installed'!$A$2:$C$7,3,FALSE)*'[1]Profiles, RES, Winter'!Q$7</f>
        <v>14.957848253713367</v>
      </c>
      <c r="R7" s="9">
        <f>VLOOKUP($A7,'RES installed'!$A$2:$C$7,3,FALSE)*'[1]Profiles, RES, Winter'!R$7</f>
        <v>16.538538739462066</v>
      </c>
      <c r="S7" s="9">
        <f>VLOOKUP($A7,'RES installed'!$A$2:$C$7,3,FALSE)*'[1]Profiles, RES, Winter'!S$7</f>
        <v>19.167001204335609</v>
      </c>
      <c r="T7" s="9">
        <f>VLOOKUP($A7,'RES installed'!$A$2:$C$7,3,FALSE)*'[1]Profiles, RES, Winter'!T$7</f>
        <v>20.847049377759937</v>
      </c>
      <c r="U7" s="9">
        <f>VLOOKUP($A7,'RES installed'!$A$2:$C$7,3,FALSE)*'[1]Profiles, RES, Winter'!U$7</f>
        <v>22.09353673223605</v>
      </c>
      <c r="V7" s="9">
        <f>VLOOKUP($A7,'RES installed'!$A$2:$C$7,3,FALSE)*'[1]Profiles, RES, Winter'!V$7</f>
        <v>22.274187073464471</v>
      </c>
      <c r="W7" s="9">
        <f>VLOOKUP($A7,'RES installed'!$A$2:$C$7,3,FALSE)*'[1]Profiles, RES, Winter'!W$7</f>
        <v>20.530911280610194</v>
      </c>
      <c r="X7" s="9">
        <f>VLOOKUP($A7,'RES installed'!$A$2:$C$7,3,FALSE)*'[1]Profiles, RES, Winter'!X$7</f>
        <v>18.932155760738659</v>
      </c>
      <c r="Y7" s="9">
        <f>VLOOKUP($A7,'RES installed'!$A$2:$C$7,3,FALSE)*'[1]Profiles, RES, Winter'!Y$7</f>
        <v>18.182456844640708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2.843062926459439E-2</v>
      </c>
      <c r="J8" s="6">
        <f>VLOOKUP($A8,'RES installed'!$A$2:$C$7,3,FALSE)*'[1]Profiles, RES, Winter'!J$4</f>
        <v>2.5303260045489009</v>
      </c>
      <c r="K8" s="6">
        <f>VLOOKUP($A8,'RES installed'!$A$2:$C$7,3,FALSE)*'[1]Profiles, RES, Winter'!K$4</f>
        <v>10.860500379075058</v>
      </c>
      <c r="L8" s="6">
        <f>VLOOKUP($A8,'RES installed'!$A$2:$C$7,3,FALSE)*'[1]Profiles, RES, Winter'!L$4</f>
        <v>17.911296436694464</v>
      </c>
      <c r="M8" s="6">
        <f>VLOOKUP($A8,'RES installed'!$A$2:$C$7,3,FALSE)*'[1]Profiles, RES, Winter'!M$4</f>
        <v>20.356330553449585</v>
      </c>
      <c r="N8" s="6">
        <f>VLOOKUP($A8,'RES installed'!$A$2:$C$7,3,FALSE)*'[1]Profiles, RES, Winter'!N$4</f>
        <v>19.446550416982564</v>
      </c>
      <c r="O8" s="6">
        <f>VLOOKUP($A8,'RES installed'!$A$2:$C$7,3,FALSE)*'[1]Profiles, RES, Winter'!O$4</f>
        <v>19.816148597422291</v>
      </c>
      <c r="P8" s="6">
        <f>VLOOKUP($A8,'RES installed'!$A$2:$C$7,3,FALSE)*'[1]Profiles, RES, Winter'!P$4</f>
        <v>21.436694465504171</v>
      </c>
      <c r="Q8" s="6">
        <f>VLOOKUP($A8,'RES installed'!$A$2:$C$7,3,FALSE)*'[1]Profiles, RES, Winter'!Q$4</f>
        <v>19.531842304776344</v>
      </c>
      <c r="R8" s="6">
        <f>VLOOKUP($A8,'RES installed'!$A$2:$C$7,3,FALSE)*'[1]Profiles, RES, Winter'!R$4</f>
        <v>8.8987869598180431</v>
      </c>
      <c r="S8" s="6">
        <f>VLOOKUP($A8,'RES installed'!$A$2:$C$7,3,FALSE)*'[1]Profiles, RES, Winter'!S$4</f>
        <v>0.45489006823351025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1.8953752843062926E-2</v>
      </c>
      <c r="J9" s="6">
        <f>VLOOKUP($A9,'RES installed'!$A$2:$C$7,3,FALSE)*'[1]Profiles, RES, Winter'!J$4</f>
        <v>1.6868840030326004</v>
      </c>
      <c r="K9" s="6">
        <f>VLOOKUP($A9,'RES installed'!$A$2:$C$7,3,FALSE)*'[1]Profiles, RES, Winter'!K$4</f>
        <v>7.2403335860500375</v>
      </c>
      <c r="L9" s="6">
        <f>VLOOKUP($A9,'RES installed'!$A$2:$C$7,3,FALSE)*'[1]Profiles, RES, Winter'!L$4</f>
        <v>11.940864291129644</v>
      </c>
      <c r="M9" s="6">
        <f>VLOOKUP($A9,'RES installed'!$A$2:$C$7,3,FALSE)*'[1]Profiles, RES, Winter'!M$4</f>
        <v>13.570887035633056</v>
      </c>
      <c r="N9" s="6">
        <f>VLOOKUP($A9,'RES installed'!$A$2:$C$7,3,FALSE)*'[1]Profiles, RES, Winter'!N$4</f>
        <v>12.964366944655042</v>
      </c>
      <c r="O9" s="6">
        <f>VLOOKUP($A9,'RES installed'!$A$2:$C$7,3,FALSE)*'[1]Profiles, RES, Winter'!O$4</f>
        <v>13.21076573161486</v>
      </c>
      <c r="P9" s="6">
        <f>VLOOKUP($A9,'RES installed'!$A$2:$C$7,3,FALSE)*'[1]Profiles, RES, Winter'!P$4</f>
        <v>14.291129643669448</v>
      </c>
      <c r="Q9" s="6">
        <f>VLOOKUP($A9,'RES installed'!$A$2:$C$7,3,FALSE)*'[1]Profiles, RES, Winter'!Q$4</f>
        <v>13.021228203184229</v>
      </c>
      <c r="R9" s="6">
        <f>VLOOKUP($A9,'RES installed'!$A$2:$C$7,3,FALSE)*'[1]Profiles, RES, Winter'!R$4</f>
        <v>5.9325246398786957</v>
      </c>
      <c r="S9" s="6">
        <f>VLOOKUP($A9,'RES installed'!$A$2:$C$7,3,FALSE)*'[1]Profiles, RES, Winter'!S$4</f>
        <v>0.30326004548900681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2.2744503411675512E-2</v>
      </c>
      <c r="J10" s="6">
        <f>VLOOKUP($A10,'RES installed'!$A$2:$C$7,3,FALSE)*'[1]Profiles, RES, Winter'!J$4</f>
        <v>2.0242608036391205</v>
      </c>
      <c r="K10" s="6">
        <f>VLOOKUP($A10,'RES installed'!$A$2:$C$7,3,FALSE)*'[1]Profiles, RES, Winter'!K$4</f>
        <v>8.6884003032600461</v>
      </c>
      <c r="L10" s="6">
        <f>VLOOKUP($A10,'RES installed'!$A$2:$C$7,3,FALSE)*'[1]Profiles, RES, Winter'!L$4</f>
        <v>14.329037149355573</v>
      </c>
      <c r="M10" s="6">
        <f>VLOOKUP($A10,'RES installed'!$A$2:$C$7,3,FALSE)*'[1]Profiles, RES, Winter'!M$4</f>
        <v>16.285064442759666</v>
      </c>
      <c r="N10" s="6">
        <f>VLOOKUP($A10,'RES installed'!$A$2:$C$7,3,FALSE)*'[1]Profiles, RES, Winter'!N$4</f>
        <v>15.557240333586051</v>
      </c>
      <c r="O10" s="6">
        <f>VLOOKUP($A10,'RES installed'!$A$2:$C$7,3,FALSE)*'[1]Profiles, RES, Winter'!O$4</f>
        <v>15.852918877937832</v>
      </c>
      <c r="P10" s="6">
        <f>VLOOKUP($A10,'RES installed'!$A$2:$C$7,3,FALSE)*'[1]Profiles, RES, Winter'!P$4</f>
        <v>17.149355572403337</v>
      </c>
      <c r="Q10" s="6">
        <f>VLOOKUP($A10,'RES installed'!$A$2:$C$7,3,FALSE)*'[1]Profiles, RES, Winter'!Q$4</f>
        <v>15.625473843821075</v>
      </c>
      <c r="R10" s="6">
        <f>VLOOKUP($A10,'RES installed'!$A$2:$C$7,3,FALSE)*'[1]Profiles, RES, Winter'!R$4</f>
        <v>7.1190295678544349</v>
      </c>
      <c r="S10" s="6">
        <f>VLOOKUP($A10,'RES installed'!$A$2:$C$7,3,FALSE)*'[1]Profiles, RES, Winter'!S$4</f>
        <v>0.3639120545868082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10"/>
  <sheetViews>
    <sheetView workbookViewId="0">
      <selection activeCell="O2" sqref="L2:O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0</v>
      </c>
      <c r="M2">
        <v>0</v>
      </c>
      <c r="N2">
        <v>0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082E8-6F48-4FD6-B495-96CE5FAE95CC}">
  <dimension ref="A1:Y28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36.730427362412158</v>
      </c>
      <c r="C2" s="2">
        <f>('[1]Pc, Spring, S1'!C2*Main!$B$5)+(_xlfn.IFNA(VLOOKUP($A2,'FL Ratio'!$A$3:$B$10,2,FALSE),0)*'FL Characterization'!C$2)</f>
        <v>32.836861753712597</v>
      </c>
      <c r="D2" s="2">
        <f>('[1]Pc, Spring, S1'!D2*Main!$B$5)+(_xlfn.IFNA(VLOOKUP($A2,'FL Ratio'!$A$3:$B$10,2,FALSE),0)*'FL Characterization'!D$2)</f>
        <v>31.3170450916855</v>
      </c>
      <c r="E2" s="2">
        <f>('[1]Pc, Spring, S1'!E2*Main!$B$5)+(_xlfn.IFNA(VLOOKUP($A2,'FL Ratio'!$A$3:$B$10,2,FALSE),0)*'FL Characterization'!E$2)</f>
        <v>31.24501500063807</v>
      </c>
      <c r="F2" s="2">
        <f>('[1]Pc, Spring, S1'!F2*Main!$B$5)+(_xlfn.IFNA(VLOOKUP($A2,'FL Ratio'!$A$3:$B$10,2,FALSE),0)*'FL Characterization'!F$2)</f>
        <v>30.858248250563577</v>
      </c>
      <c r="G2" s="2">
        <f>('[1]Pc, Spring, S1'!G2*Main!$B$5)+(_xlfn.IFNA(VLOOKUP($A2,'FL Ratio'!$A$3:$B$10,2,FALSE),0)*'FL Characterization'!G$2)</f>
        <v>32.246735249457515</v>
      </c>
      <c r="H2" s="2">
        <f>('[1]Pc, Spring, S1'!H2*Main!$B$5)+(_xlfn.IFNA(VLOOKUP($A2,'FL Ratio'!$A$3:$B$10,2,FALSE),0)*'FL Characterization'!H$2)</f>
        <v>36.26975986900888</v>
      </c>
      <c r="I2" s="2">
        <f>('[1]Pc, Spring, S1'!I2*Main!$B$5)+(_xlfn.IFNA(VLOOKUP($A2,'FL Ratio'!$A$3:$B$10,2,FALSE),0)*'FL Characterization'!I$2)</f>
        <v>45.268633021842497</v>
      </c>
      <c r="J2" s="2">
        <f>('[1]Pc, Spring, S1'!J2*Main!$B$5)+(_xlfn.IFNA(VLOOKUP($A2,'FL Ratio'!$A$3:$B$10,2,FALSE),0)*'FL Characterization'!J$2)</f>
        <v>48.515725669832563</v>
      </c>
      <c r="K2" s="2">
        <f>('[1]Pc, Spring, S1'!K2*Main!$B$5)+(_xlfn.IFNA(VLOOKUP($A2,'FL Ratio'!$A$3:$B$10,2,FALSE),0)*'FL Characterization'!K$2)</f>
        <v>50.835912799323687</v>
      </c>
      <c r="L2" s="2">
        <f>('[1]Pc, Spring, S1'!L2*Main!$B$5)+(_xlfn.IFNA(VLOOKUP($A2,'FL Ratio'!$A$3:$B$10,2,FALSE),0)*'FL Characterization'!L$2)</f>
        <v>52.516734455583986</v>
      </c>
      <c r="M2" s="2">
        <f>('[1]Pc, Spring, S1'!M2*Main!$B$5)+(_xlfn.IFNA(VLOOKUP($A2,'FL Ratio'!$A$3:$B$10,2,FALSE),0)*'FL Characterization'!M$2)</f>
        <v>51.13069735557044</v>
      </c>
      <c r="N2" s="2">
        <f>('[1]Pc, Spring, S1'!N2*Main!$B$5)+(_xlfn.IFNA(VLOOKUP($A2,'FL Ratio'!$A$3:$B$10,2,FALSE),0)*'FL Characterization'!N$2)</f>
        <v>51.938080202447445</v>
      </c>
      <c r="O2" s="2">
        <f>('[1]Pc, Spring, S1'!O2*Main!$B$5)+(_xlfn.IFNA(VLOOKUP($A2,'FL Ratio'!$A$3:$B$10,2,FALSE),0)*'FL Characterization'!O$2)</f>
        <v>52.983114646468273</v>
      </c>
      <c r="P2" s="2">
        <f>('[1]Pc, Spring, S1'!P2*Main!$B$5)+(_xlfn.IFNA(VLOOKUP($A2,'FL Ratio'!$A$3:$B$10,2,FALSE),0)*'FL Characterization'!P$2)</f>
        <v>48.654020730792531</v>
      </c>
      <c r="Q2" s="2">
        <f>('[1]Pc, Spring, S1'!Q2*Main!$B$5)+(_xlfn.IFNA(VLOOKUP($A2,'FL Ratio'!$A$3:$B$10,2,FALSE),0)*'FL Characterization'!Q$2)</f>
        <v>44.894659778959728</v>
      </c>
      <c r="R2" s="2">
        <f>('[1]Pc, Spring, S1'!R2*Main!$B$5)+(_xlfn.IFNA(VLOOKUP($A2,'FL Ratio'!$A$3:$B$10,2,FALSE),0)*'FL Characterization'!R$2)</f>
        <v>46.591626454649798</v>
      </c>
      <c r="S2" s="2">
        <f>('[1]Pc, Spring, S1'!S2*Main!$B$5)+(_xlfn.IFNA(VLOOKUP($A2,'FL Ratio'!$A$3:$B$10,2,FALSE),0)*'FL Characterization'!S$2)</f>
        <v>48.9682729325257</v>
      </c>
      <c r="T2" s="2">
        <f>('[1]Pc, Spring, S1'!T2*Main!$B$5)+(_xlfn.IFNA(VLOOKUP($A2,'FL Ratio'!$A$3:$B$10,2,FALSE),0)*'FL Characterization'!T$2)</f>
        <v>51.897393993261822</v>
      </c>
      <c r="U2" s="2">
        <f>('[1]Pc, Spring, S1'!U2*Main!$B$5)+(_xlfn.IFNA(VLOOKUP($A2,'FL Ratio'!$A$3:$B$10,2,FALSE),0)*'FL Characterization'!U$2)</f>
        <v>50.987353693949331</v>
      </c>
      <c r="V2" s="2">
        <f>('[1]Pc, Spring, S1'!V2*Main!$B$5)+(_xlfn.IFNA(VLOOKUP($A2,'FL Ratio'!$A$3:$B$10,2,FALSE),0)*'FL Characterization'!V$2)</f>
        <v>49.120340393971588</v>
      </c>
      <c r="W2" s="2">
        <f>('[1]Pc, Spring, S1'!W2*Main!$B$5)+(_xlfn.IFNA(VLOOKUP($A2,'FL Ratio'!$A$3:$B$10,2,FALSE),0)*'FL Characterization'!W$2)</f>
        <v>50.907026708655145</v>
      </c>
      <c r="X2" s="2">
        <f>('[1]Pc, Spring, S1'!X2*Main!$B$5)+(_xlfn.IFNA(VLOOKUP($A2,'FL Ratio'!$A$3:$B$10,2,FALSE),0)*'FL Characterization'!X$2)</f>
        <v>42.655938054272191</v>
      </c>
      <c r="Y2" s="2">
        <f>('[1]Pc, Spring, S1'!Y2*Main!$B$5)+(_xlfn.IFNA(VLOOKUP($A2,'FL Ratio'!$A$3:$B$10,2,FALSE),0)*'FL Characterization'!Y$2)</f>
        <v>42.832051491583627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38.338248532253409</v>
      </c>
      <c r="C3" s="2">
        <f>('[1]Pc, Spring, S1'!C3*Main!$B$5)+(_xlfn.IFNA(VLOOKUP($A3,'FL Ratio'!$A$3:$B$10,2,FALSE),0)*'FL Characterization'!C$2)</f>
        <v>37.217397466378742</v>
      </c>
      <c r="D3" s="2">
        <f>('[1]Pc, Spring, S1'!D3*Main!$B$5)+(_xlfn.IFNA(VLOOKUP($A3,'FL Ratio'!$A$3:$B$10,2,FALSE),0)*'FL Characterization'!D$2)</f>
        <v>33.418726240623414</v>
      </c>
      <c r="E3" s="2">
        <f>('[1]Pc, Spring, S1'!E3*Main!$B$5)+(_xlfn.IFNA(VLOOKUP($A3,'FL Ratio'!$A$3:$B$10,2,FALSE),0)*'FL Characterization'!E$2)</f>
        <v>34.43483102532538</v>
      </c>
      <c r="F3" s="2">
        <f>('[1]Pc, Spring, S1'!F3*Main!$B$5)+(_xlfn.IFNA(VLOOKUP($A3,'FL Ratio'!$A$3:$B$10,2,FALSE),0)*'FL Characterization'!F$2)</f>
        <v>32.914918691111616</v>
      </c>
      <c r="G3" s="2">
        <f>('[1]Pc, Spring, S1'!G3*Main!$B$5)+(_xlfn.IFNA(VLOOKUP($A3,'FL Ratio'!$A$3:$B$10,2,FALSE),0)*'FL Characterization'!G$2)</f>
        <v>35.993651599616491</v>
      </c>
      <c r="H3" s="2">
        <f>('[1]Pc, Spring, S1'!H3*Main!$B$5)+(_xlfn.IFNA(VLOOKUP($A3,'FL Ratio'!$A$3:$B$10,2,FALSE),0)*'FL Characterization'!H$2)</f>
        <v>46.775799467668712</v>
      </c>
      <c r="I3" s="2">
        <f>('[1]Pc, Spring, S1'!I3*Main!$B$5)+(_xlfn.IFNA(VLOOKUP($A3,'FL Ratio'!$A$3:$B$10,2,FALSE),0)*'FL Characterization'!I$2)</f>
        <v>53.065662384932196</v>
      </c>
      <c r="J3" s="2">
        <f>('[1]Pc, Spring, S1'!J3*Main!$B$5)+(_xlfn.IFNA(VLOOKUP($A3,'FL Ratio'!$A$3:$B$10,2,FALSE),0)*'FL Characterization'!J$2)</f>
        <v>57.587469200164882</v>
      </c>
      <c r="K3" s="2">
        <f>('[1]Pc, Spring, S1'!K3*Main!$B$5)+(_xlfn.IFNA(VLOOKUP($A3,'FL Ratio'!$A$3:$B$10,2,FALSE),0)*'FL Characterization'!K$2)</f>
        <v>56.111793049060921</v>
      </c>
      <c r="L3" s="2">
        <f>('[1]Pc, Spring, S1'!L3*Main!$B$5)+(_xlfn.IFNA(VLOOKUP($A3,'FL Ratio'!$A$3:$B$10,2,FALSE),0)*'FL Characterization'!L$2)</f>
        <v>52.811713249377206</v>
      </c>
      <c r="M3" s="2">
        <f>('[1]Pc, Spring, S1'!M3*Main!$B$5)+(_xlfn.IFNA(VLOOKUP($A3,'FL Ratio'!$A$3:$B$10,2,FALSE),0)*'FL Characterization'!M$2)</f>
        <v>57.642589484909472</v>
      </c>
      <c r="N3" s="2">
        <f>('[1]Pc, Spring, S1'!N3*Main!$B$5)+(_xlfn.IFNA(VLOOKUP($A3,'FL Ratio'!$A$3:$B$10,2,FALSE),0)*'FL Characterization'!N$2)</f>
        <v>55.660789654249008</v>
      </c>
      <c r="O3" s="2">
        <f>('[1]Pc, Spring, S1'!O3*Main!$B$5)+(_xlfn.IFNA(VLOOKUP($A3,'FL Ratio'!$A$3:$B$10,2,FALSE),0)*'FL Characterization'!O$2)</f>
        <v>53.846311207572761</v>
      </c>
      <c r="P3" s="2">
        <f>('[1]Pc, Spring, S1'!P3*Main!$B$5)+(_xlfn.IFNA(VLOOKUP($A3,'FL Ratio'!$A$3:$B$10,2,FALSE),0)*'FL Characterization'!P$2)</f>
        <v>53.123823404570594</v>
      </c>
      <c r="Q3" s="2">
        <f>('[1]Pc, Spring, S1'!Q3*Main!$B$5)+(_xlfn.IFNA(VLOOKUP($A3,'FL Ratio'!$A$3:$B$10,2,FALSE),0)*'FL Characterization'!Q$2)</f>
        <v>51.004919738521792</v>
      </c>
      <c r="R3" s="2">
        <f>('[1]Pc, Spring, S1'!R3*Main!$B$5)+(_xlfn.IFNA(VLOOKUP($A3,'FL Ratio'!$A$3:$B$10,2,FALSE),0)*'FL Characterization'!R$2)</f>
        <v>47.026034884490791</v>
      </c>
      <c r="S3" s="2">
        <f>('[1]Pc, Spring, S1'!S3*Main!$B$5)+(_xlfn.IFNA(VLOOKUP($A3,'FL Ratio'!$A$3:$B$10,2,FALSE),0)*'FL Characterization'!S$2)</f>
        <v>51.994990596346803</v>
      </c>
      <c r="T3" s="2">
        <f>('[1]Pc, Spring, S1'!T3*Main!$B$5)+(_xlfn.IFNA(VLOOKUP($A3,'FL Ratio'!$A$3:$B$10,2,FALSE),0)*'FL Characterization'!T$2)</f>
        <v>51.721945322635733</v>
      </c>
      <c r="U3" s="2">
        <f>('[1]Pc, Spring, S1'!U3*Main!$B$5)+(_xlfn.IFNA(VLOOKUP($A3,'FL Ratio'!$A$3:$B$10,2,FALSE),0)*'FL Characterization'!U$2)</f>
        <v>50.131037607793537</v>
      </c>
      <c r="V3" s="2">
        <f>('[1]Pc, Spring, S1'!V3*Main!$B$5)+(_xlfn.IFNA(VLOOKUP($A3,'FL Ratio'!$A$3:$B$10,2,FALSE),0)*'FL Characterization'!V$2)</f>
        <v>48.210943621811822</v>
      </c>
      <c r="W3" s="2">
        <f>('[1]Pc, Spring, S1'!W3*Main!$B$5)+(_xlfn.IFNA(VLOOKUP($A3,'FL Ratio'!$A$3:$B$10,2,FALSE),0)*'FL Characterization'!W$2)</f>
        <v>47.21777516422685</v>
      </c>
      <c r="X3" s="2">
        <f>('[1]Pc, Spring, S1'!X3*Main!$B$5)+(_xlfn.IFNA(VLOOKUP($A3,'FL Ratio'!$A$3:$B$10,2,FALSE),0)*'FL Characterization'!X$2)</f>
        <v>45.134482263479683</v>
      </c>
      <c r="Y3" s="2">
        <f>('[1]Pc, Spring, S1'!Y3*Main!$B$5)+(_xlfn.IFNA(VLOOKUP($A3,'FL Ratio'!$A$3:$B$10,2,FALSE),0)*'FL Characterization'!Y$2)</f>
        <v>42.385021767351184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52.218607819923861</v>
      </c>
      <c r="C4" s="2">
        <f>('[1]Pc, Spring, S1'!C4*Main!$B$5)+(_xlfn.IFNA(VLOOKUP($A4,'FL Ratio'!$A$3:$B$10,2,FALSE),0)*'FL Characterization'!C$2)</f>
        <v>45.910432397215288</v>
      </c>
      <c r="D4" s="2">
        <f>('[1]Pc, Spring, S1'!D4*Main!$B$5)+(_xlfn.IFNA(VLOOKUP($A4,'FL Ratio'!$A$3:$B$10,2,FALSE),0)*'FL Characterization'!D$2)</f>
        <v>45.974362629237156</v>
      </c>
      <c r="E4" s="2">
        <f>('[1]Pc, Spring, S1'!E4*Main!$B$5)+(_xlfn.IFNA(VLOOKUP($A4,'FL Ratio'!$A$3:$B$10,2,FALSE),0)*'FL Characterization'!E$2)</f>
        <v>42.39607992566777</v>
      </c>
      <c r="F4" s="2">
        <f>('[1]Pc, Spring, S1'!F4*Main!$B$5)+(_xlfn.IFNA(VLOOKUP($A4,'FL Ratio'!$A$3:$B$10,2,FALSE),0)*'FL Characterization'!F$2)</f>
        <v>44.636236151973961</v>
      </c>
      <c r="G4" s="2">
        <f>('[1]Pc, Spring, S1'!G4*Main!$B$5)+(_xlfn.IFNA(VLOOKUP($A4,'FL Ratio'!$A$3:$B$10,2,FALSE),0)*'FL Characterization'!G$2)</f>
        <v>43.728394821244308</v>
      </c>
      <c r="H4" s="2">
        <f>('[1]Pc, Spring, S1'!H4*Main!$B$5)+(_xlfn.IFNA(VLOOKUP($A4,'FL Ratio'!$A$3:$B$10,2,FALSE),0)*'FL Characterization'!H$2)</f>
        <v>51.209409244730523</v>
      </c>
      <c r="I4" s="2">
        <f>('[1]Pc, Spring, S1'!I4*Main!$B$5)+(_xlfn.IFNA(VLOOKUP($A4,'FL Ratio'!$A$3:$B$10,2,FALSE),0)*'FL Characterization'!I$2)</f>
        <v>54.954191026636472</v>
      </c>
      <c r="J4" s="2">
        <f>('[1]Pc, Spring, S1'!J4*Main!$B$5)+(_xlfn.IFNA(VLOOKUP($A4,'FL Ratio'!$A$3:$B$10,2,FALSE),0)*'FL Characterization'!J$2)</f>
        <v>63.476544239149725</v>
      </c>
      <c r="K4" s="2">
        <f>('[1]Pc, Spring, S1'!K4*Main!$B$5)+(_xlfn.IFNA(VLOOKUP($A4,'FL Ratio'!$A$3:$B$10,2,FALSE),0)*'FL Characterization'!K$2)</f>
        <v>65.266785845250553</v>
      </c>
      <c r="L4" s="2">
        <f>('[1]Pc, Spring, S1'!L4*Main!$B$5)+(_xlfn.IFNA(VLOOKUP($A4,'FL Ratio'!$A$3:$B$10,2,FALSE),0)*'FL Characterization'!L$2)</f>
        <v>67.409274728611805</v>
      </c>
      <c r="M4" s="2">
        <f>('[1]Pc, Spring, S1'!M4*Main!$B$5)+(_xlfn.IFNA(VLOOKUP($A4,'FL Ratio'!$A$3:$B$10,2,FALSE),0)*'FL Characterization'!M$2)</f>
        <v>71.148793001132461</v>
      </c>
      <c r="N4" s="2">
        <f>('[1]Pc, Spring, S1'!N4*Main!$B$5)+(_xlfn.IFNA(VLOOKUP($A4,'FL Ratio'!$A$3:$B$10,2,FALSE),0)*'FL Characterization'!N$2)</f>
        <v>71.810616847539691</v>
      </c>
      <c r="O4" s="2">
        <f>('[1]Pc, Spring, S1'!O4*Main!$B$5)+(_xlfn.IFNA(VLOOKUP($A4,'FL Ratio'!$A$3:$B$10,2,FALSE),0)*'FL Characterization'!O$2)</f>
        <v>71.721014149864715</v>
      </c>
      <c r="P4" s="2">
        <f>('[1]Pc, Spring, S1'!P4*Main!$B$5)+(_xlfn.IFNA(VLOOKUP($A4,'FL Ratio'!$A$3:$B$10,2,FALSE),0)*'FL Characterization'!P$2)</f>
        <v>67.835008328555006</v>
      </c>
      <c r="Q4" s="2">
        <f>('[1]Pc, Spring, S1'!Q4*Main!$B$5)+(_xlfn.IFNA(VLOOKUP($A4,'FL Ratio'!$A$3:$B$10,2,FALSE),0)*'FL Characterization'!Q$2)</f>
        <v>68.511304576900613</v>
      </c>
      <c r="R4" s="2">
        <f>('[1]Pc, Spring, S1'!R4*Main!$B$5)+(_xlfn.IFNA(VLOOKUP($A4,'FL Ratio'!$A$3:$B$10,2,FALSE),0)*'FL Characterization'!R$2)</f>
        <v>67.791663960772638</v>
      </c>
      <c r="S4" s="2">
        <f>('[1]Pc, Spring, S1'!S4*Main!$B$5)+(_xlfn.IFNA(VLOOKUP($A4,'FL Ratio'!$A$3:$B$10,2,FALSE),0)*'FL Characterization'!S$2)</f>
        <v>70.561507582630838</v>
      </c>
      <c r="T4" s="2">
        <f>('[1]Pc, Spring, S1'!T4*Main!$B$5)+(_xlfn.IFNA(VLOOKUP($A4,'FL Ratio'!$A$3:$B$10,2,FALSE),0)*'FL Characterization'!T$2)</f>
        <v>70.014326183629592</v>
      </c>
      <c r="U4" s="2">
        <f>('[1]Pc, Spring, S1'!U4*Main!$B$5)+(_xlfn.IFNA(VLOOKUP($A4,'FL Ratio'!$A$3:$B$10,2,FALSE),0)*'FL Characterization'!U$2)</f>
        <v>68.396635331689495</v>
      </c>
      <c r="V4" s="2">
        <f>('[1]Pc, Spring, S1'!V4*Main!$B$5)+(_xlfn.IFNA(VLOOKUP($A4,'FL Ratio'!$A$3:$B$10,2,FALSE),0)*'FL Characterization'!V$2)</f>
        <v>67.05861271497723</v>
      </c>
      <c r="W4" s="2">
        <f>('[1]Pc, Spring, S1'!W4*Main!$B$5)+(_xlfn.IFNA(VLOOKUP($A4,'FL Ratio'!$A$3:$B$10,2,FALSE),0)*'FL Characterization'!W$2)</f>
        <v>69.946641148953375</v>
      </c>
      <c r="X4" s="2">
        <f>('[1]Pc, Spring, S1'!X4*Main!$B$5)+(_xlfn.IFNA(VLOOKUP($A4,'FL Ratio'!$A$3:$B$10,2,FALSE),0)*'FL Characterization'!X$2)</f>
        <v>65.953828292357969</v>
      </c>
      <c r="Y4" s="2">
        <f>('[1]Pc, Spring, S1'!Y4*Main!$B$5)+(_xlfn.IFNA(VLOOKUP($A4,'FL Ratio'!$A$3:$B$10,2,FALSE),0)*'FL Characterization'!Y$2)</f>
        <v>60.591975974478061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CA6AE-8FD8-47E3-ACEB-AC17C2C6115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36.730427362412158</v>
      </c>
      <c r="C2" s="2">
        <f>('[1]Pc, Spring, S1'!C2*Main!$B$5)+(_xlfn.IFNA(VLOOKUP($A2,'FL Ratio'!$A$3:$B$10,2,FALSE),0)*'FL Characterization'!C$2)</f>
        <v>32.836861753712597</v>
      </c>
      <c r="D2" s="2">
        <f>('[1]Pc, Spring, S1'!D2*Main!$B$5)+(_xlfn.IFNA(VLOOKUP($A2,'FL Ratio'!$A$3:$B$10,2,FALSE),0)*'FL Characterization'!D$2)</f>
        <v>31.3170450916855</v>
      </c>
      <c r="E2" s="2">
        <f>('[1]Pc, Spring, S1'!E2*Main!$B$5)+(_xlfn.IFNA(VLOOKUP($A2,'FL Ratio'!$A$3:$B$10,2,FALSE),0)*'FL Characterization'!E$2)</f>
        <v>31.24501500063807</v>
      </c>
      <c r="F2" s="2">
        <f>('[1]Pc, Spring, S1'!F2*Main!$B$5)+(_xlfn.IFNA(VLOOKUP($A2,'FL Ratio'!$A$3:$B$10,2,FALSE),0)*'FL Characterization'!F$2)</f>
        <v>30.858248250563577</v>
      </c>
      <c r="G2" s="2">
        <f>('[1]Pc, Spring, S1'!G2*Main!$B$5)+(_xlfn.IFNA(VLOOKUP($A2,'FL Ratio'!$A$3:$B$10,2,FALSE),0)*'FL Characterization'!G$2)</f>
        <v>32.246735249457515</v>
      </c>
      <c r="H2" s="2">
        <f>('[1]Pc, Spring, S1'!H2*Main!$B$5)+(_xlfn.IFNA(VLOOKUP($A2,'FL Ratio'!$A$3:$B$10,2,FALSE),0)*'FL Characterization'!H$2)</f>
        <v>36.26975986900888</v>
      </c>
      <c r="I2" s="2">
        <f>('[1]Pc, Spring, S1'!I2*Main!$B$5)+(_xlfn.IFNA(VLOOKUP($A2,'FL Ratio'!$A$3:$B$10,2,FALSE),0)*'FL Characterization'!I$2)</f>
        <v>45.268633021842497</v>
      </c>
      <c r="J2" s="2">
        <f>('[1]Pc, Spring, S1'!J2*Main!$B$5)+(_xlfn.IFNA(VLOOKUP($A2,'FL Ratio'!$A$3:$B$10,2,FALSE),0)*'FL Characterization'!J$2)</f>
        <v>48.515725669832563</v>
      </c>
      <c r="K2" s="2">
        <f>('[1]Pc, Spring, S1'!K2*Main!$B$5)+(_xlfn.IFNA(VLOOKUP($A2,'FL Ratio'!$A$3:$B$10,2,FALSE),0)*'FL Characterization'!K$2)</f>
        <v>50.835912799323687</v>
      </c>
      <c r="L2" s="2">
        <f>('[1]Pc, Spring, S1'!L2*Main!$B$5)+(_xlfn.IFNA(VLOOKUP($A2,'FL Ratio'!$A$3:$B$10,2,FALSE),0)*'FL Characterization'!L$2)</f>
        <v>52.516734455583986</v>
      </c>
      <c r="M2" s="2">
        <f>('[1]Pc, Spring, S1'!M2*Main!$B$5)+(_xlfn.IFNA(VLOOKUP($A2,'FL Ratio'!$A$3:$B$10,2,FALSE),0)*'FL Characterization'!M$2)</f>
        <v>51.13069735557044</v>
      </c>
      <c r="N2" s="2">
        <f>('[1]Pc, Spring, S1'!N2*Main!$B$5)+(_xlfn.IFNA(VLOOKUP($A2,'FL Ratio'!$A$3:$B$10,2,FALSE),0)*'FL Characterization'!N$2)</f>
        <v>51.938080202447445</v>
      </c>
      <c r="O2" s="2">
        <f>('[1]Pc, Spring, S1'!O2*Main!$B$5)+(_xlfn.IFNA(VLOOKUP($A2,'FL Ratio'!$A$3:$B$10,2,FALSE),0)*'FL Characterization'!O$2)</f>
        <v>52.983114646468273</v>
      </c>
      <c r="P2" s="2">
        <f>('[1]Pc, Spring, S1'!P2*Main!$B$5)+(_xlfn.IFNA(VLOOKUP($A2,'FL Ratio'!$A$3:$B$10,2,FALSE),0)*'FL Characterization'!P$2)</f>
        <v>48.654020730792531</v>
      </c>
      <c r="Q2" s="2">
        <f>('[1]Pc, Spring, S1'!Q2*Main!$B$5)+(_xlfn.IFNA(VLOOKUP($A2,'FL Ratio'!$A$3:$B$10,2,FALSE),0)*'FL Characterization'!Q$2)</f>
        <v>44.894659778959728</v>
      </c>
      <c r="R2" s="2">
        <f>('[1]Pc, Spring, S1'!R2*Main!$B$5)+(_xlfn.IFNA(VLOOKUP($A2,'FL Ratio'!$A$3:$B$10,2,FALSE),0)*'FL Characterization'!R$2)</f>
        <v>46.591626454649798</v>
      </c>
      <c r="S2" s="2">
        <f>('[1]Pc, Spring, S1'!S2*Main!$B$5)+(_xlfn.IFNA(VLOOKUP($A2,'FL Ratio'!$A$3:$B$10,2,FALSE),0)*'FL Characterization'!S$2)</f>
        <v>48.9682729325257</v>
      </c>
      <c r="T2" s="2">
        <f>('[1]Pc, Spring, S1'!T2*Main!$B$5)+(_xlfn.IFNA(VLOOKUP($A2,'FL Ratio'!$A$3:$B$10,2,FALSE),0)*'FL Characterization'!T$2)</f>
        <v>51.897393993261822</v>
      </c>
      <c r="U2" s="2">
        <f>('[1]Pc, Spring, S1'!U2*Main!$B$5)+(_xlfn.IFNA(VLOOKUP($A2,'FL Ratio'!$A$3:$B$10,2,FALSE),0)*'FL Characterization'!U$2)</f>
        <v>50.987353693949331</v>
      </c>
      <c r="V2" s="2">
        <f>('[1]Pc, Spring, S1'!V2*Main!$B$5)+(_xlfn.IFNA(VLOOKUP($A2,'FL Ratio'!$A$3:$B$10,2,FALSE),0)*'FL Characterization'!V$2)</f>
        <v>49.120340393971588</v>
      </c>
      <c r="W2" s="2">
        <f>('[1]Pc, Spring, S1'!W2*Main!$B$5)+(_xlfn.IFNA(VLOOKUP($A2,'FL Ratio'!$A$3:$B$10,2,FALSE),0)*'FL Characterization'!W$2)</f>
        <v>50.907026708655145</v>
      </c>
      <c r="X2" s="2">
        <f>('[1]Pc, Spring, S1'!X2*Main!$B$5)+(_xlfn.IFNA(VLOOKUP($A2,'FL Ratio'!$A$3:$B$10,2,FALSE),0)*'FL Characterization'!X$2)</f>
        <v>42.655938054272191</v>
      </c>
      <c r="Y2" s="2">
        <f>('[1]Pc, Spring, S1'!Y2*Main!$B$5)+(_xlfn.IFNA(VLOOKUP($A2,'FL Ratio'!$A$3:$B$10,2,FALSE),0)*'FL Characterization'!Y$2)</f>
        <v>42.832051491583627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38.338248532253409</v>
      </c>
      <c r="C3" s="2">
        <f>('[1]Pc, Spring, S1'!C3*Main!$B$5)+(_xlfn.IFNA(VLOOKUP($A3,'FL Ratio'!$A$3:$B$10,2,FALSE),0)*'FL Characterization'!C$2)</f>
        <v>37.217397466378742</v>
      </c>
      <c r="D3" s="2">
        <f>('[1]Pc, Spring, S1'!D3*Main!$B$5)+(_xlfn.IFNA(VLOOKUP($A3,'FL Ratio'!$A$3:$B$10,2,FALSE),0)*'FL Characterization'!D$2)</f>
        <v>33.418726240623414</v>
      </c>
      <c r="E3" s="2">
        <f>('[1]Pc, Spring, S1'!E3*Main!$B$5)+(_xlfn.IFNA(VLOOKUP($A3,'FL Ratio'!$A$3:$B$10,2,FALSE),0)*'FL Characterization'!E$2)</f>
        <v>34.43483102532538</v>
      </c>
      <c r="F3" s="2">
        <f>('[1]Pc, Spring, S1'!F3*Main!$B$5)+(_xlfn.IFNA(VLOOKUP($A3,'FL Ratio'!$A$3:$B$10,2,FALSE),0)*'FL Characterization'!F$2)</f>
        <v>32.914918691111616</v>
      </c>
      <c r="G3" s="2">
        <f>('[1]Pc, Spring, S1'!G3*Main!$B$5)+(_xlfn.IFNA(VLOOKUP($A3,'FL Ratio'!$A$3:$B$10,2,FALSE),0)*'FL Characterization'!G$2)</f>
        <v>35.993651599616491</v>
      </c>
      <c r="H3" s="2">
        <f>('[1]Pc, Spring, S1'!H3*Main!$B$5)+(_xlfn.IFNA(VLOOKUP($A3,'FL Ratio'!$A$3:$B$10,2,FALSE),0)*'FL Characterization'!H$2)</f>
        <v>46.775799467668712</v>
      </c>
      <c r="I3" s="2">
        <f>('[1]Pc, Spring, S1'!I3*Main!$B$5)+(_xlfn.IFNA(VLOOKUP($A3,'FL Ratio'!$A$3:$B$10,2,FALSE),0)*'FL Characterization'!I$2)</f>
        <v>53.065662384932196</v>
      </c>
      <c r="J3" s="2">
        <f>('[1]Pc, Spring, S1'!J3*Main!$B$5)+(_xlfn.IFNA(VLOOKUP($A3,'FL Ratio'!$A$3:$B$10,2,FALSE),0)*'FL Characterization'!J$2)</f>
        <v>57.587469200164882</v>
      </c>
      <c r="K3" s="2">
        <f>('[1]Pc, Spring, S1'!K3*Main!$B$5)+(_xlfn.IFNA(VLOOKUP($A3,'FL Ratio'!$A$3:$B$10,2,FALSE),0)*'FL Characterization'!K$2)</f>
        <v>56.111793049060921</v>
      </c>
      <c r="L3" s="2">
        <f>('[1]Pc, Spring, S1'!L3*Main!$B$5)+(_xlfn.IFNA(VLOOKUP($A3,'FL Ratio'!$A$3:$B$10,2,FALSE),0)*'FL Characterization'!L$2)</f>
        <v>52.811713249377206</v>
      </c>
      <c r="M3" s="2">
        <f>('[1]Pc, Spring, S1'!M3*Main!$B$5)+(_xlfn.IFNA(VLOOKUP($A3,'FL Ratio'!$A$3:$B$10,2,FALSE),0)*'FL Characterization'!M$2)</f>
        <v>57.642589484909472</v>
      </c>
      <c r="N3" s="2">
        <f>('[1]Pc, Spring, S1'!N3*Main!$B$5)+(_xlfn.IFNA(VLOOKUP($A3,'FL Ratio'!$A$3:$B$10,2,FALSE),0)*'FL Characterization'!N$2)</f>
        <v>55.660789654249008</v>
      </c>
      <c r="O3" s="2">
        <f>('[1]Pc, Spring, S1'!O3*Main!$B$5)+(_xlfn.IFNA(VLOOKUP($A3,'FL Ratio'!$A$3:$B$10,2,FALSE),0)*'FL Characterization'!O$2)</f>
        <v>53.846311207572761</v>
      </c>
      <c r="P3" s="2">
        <f>('[1]Pc, Spring, S1'!P3*Main!$B$5)+(_xlfn.IFNA(VLOOKUP($A3,'FL Ratio'!$A$3:$B$10,2,FALSE),0)*'FL Characterization'!P$2)</f>
        <v>53.123823404570594</v>
      </c>
      <c r="Q3" s="2">
        <f>('[1]Pc, Spring, S1'!Q3*Main!$B$5)+(_xlfn.IFNA(VLOOKUP($A3,'FL Ratio'!$A$3:$B$10,2,FALSE),0)*'FL Characterization'!Q$2)</f>
        <v>51.004919738521792</v>
      </c>
      <c r="R3" s="2">
        <f>('[1]Pc, Spring, S1'!R3*Main!$B$5)+(_xlfn.IFNA(VLOOKUP($A3,'FL Ratio'!$A$3:$B$10,2,FALSE),0)*'FL Characterization'!R$2)</f>
        <v>47.026034884490791</v>
      </c>
      <c r="S3" s="2">
        <f>('[1]Pc, Spring, S1'!S3*Main!$B$5)+(_xlfn.IFNA(VLOOKUP($A3,'FL Ratio'!$A$3:$B$10,2,FALSE),0)*'FL Characterization'!S$2)</f>
        <v>51.994990596346803</v>
      </c>
      <c r="T3" s="2">
        <f>('[1]Pc, Spring, S1'!T3*Main!$B$5)+(_xlfn.IFNA(VLOOKUP($A3,'FL Ratio'!$A$3:$B$10,2,FALSE),0)*'FL Characterization'!T$2)</f>
        <v>51.721945322635733</v>
      </c>
      <c r="U3" s="2">
        <f>('[1]Pc, Spring, S1'!U3*Main!$B$5)+(_xlfn.IFNA(VLOOKUP($A3,'FL Ratio'!$A$3:$B$10,2,FALSE),0)*'FL Characterization'!U$2)</f>
        <v>50.131037607793537</v>
      </c>
      <c r="V3" s="2">
        <f>('[1]Pc, Spring, S1'!V3*Main!$B$5)+(_xlfn.IFNA(VLOOKUP($A3,'FL Ratio'!$A$3:$B$10,2,FALSE),0)*'FL Characterization'!V$2)</f>
        <v>48.210943621811822</v>
      </c>
      <c r="W3" s="2">
        <f>('[1]Pc, Spring, S1'!W3*Main!$B$5)+(_xlfn.IFNA(VLOOKUP($A3,'FL Ratio'!$A$3:$B$10,2,FALSE),0)*'FL Characterization'!W$2)</f>
        <v>47.21777516422685</v>
      </c>
      <c r="X3" s="2">
        <f>('[1]Pc, Spring, S1'!X3*Main!$B$5)+(_xlfn.IFNA(VLOOKUP($A3,'FL Ratio'!$A$3:$B$10,2,FALSE),0)*'FL Characterization'!X$2)</f>
        <v>45.134482263479683</v>
      </c>
      <c r="Y3" s="2">
        <f>('[1]Pc, Spring, S1'!Y3*Main!$B$5)+(_xlfn.IFNA(VLOOKUP($A3,'FL Ratio'!$A$3:$B$10,2,FALSE),0)*'FL Characterization'!Y$2)</f>
        <v>42.385021767351184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52.218607819923861</v>
      </c>
      <c r="C4" s="2">
        <f>('[1]Pc, Spring, S1'!C4*Main!$B$5)+(_xlfn.IFNA(VLOOKUP($A4,'FL Ratio'!$A$3:$B$10,2,FALSE),0)*'FL Characterization'!C$2)</f>
        <v>45.910432397215288</v>
      </c>
      <c r="D4" s="2">
        <f>('[1]Pc, Spring, S1'!D4*Main!$B$5)+(_xlfn.IFNA(VLOOKUP($A4,'FL Ratio'!$A$3:$B$10,2,FALSE),0)*'FL Characterization'!D$2)</f>
        <v>45.974362629237156</v>
      </c>
      <c r="E4" s="2">
        <f>('[1]Pc, Spring, S1'!E4*Main!$B$5)+(_xlfn.IFNA(VLOOKUP($A4,'FL Ratio'!$A$3:$B$10,2,FALSE),0)*'FL Characterization'!E$2)</f>
        <v>42.39607992566777</v>
      </c>
      <c r="F4" s="2">
        <f>('[1]Pc, Spring, S1'!F4*Main!$B$5)+(_xlfn.IFNA(VLOOKUP($A4,'FL Ratio'!$A$3:$B$10,2,FALSE),0)*'FL Characterization'!F$2)</f>
        <v>44.636236151973961</v>
      </c>
      <c r="G4" s="2">
        <f>('[1]Pc, Spring, S1'!G4*Main!$B$5)+(_xlfn.IFNA(VLOOKUP($A4,'FL Ratio'!$A$3:$B$10,2,FALSE),0)*'FL Characterization'!G$2)</f>
        <v>43.728394821244308</v>
      </c>
      <c r="H4" s="2">
        <f>('[1]Pc, Spring, S1'!H4*Main!$B$5)+(_xlfn.IFNA(VLOOKUP($A4,'FL Ratio'!$A$3:$B$10,2,FALSE),0)*'FL Characterization'!H$2)</f>
        <v>51.209409244730523</v>
      </c>
      <c r="I4" s="2">
        <f>('[1]Pc, Spring, S1'!I4*Main!$B$5)+(_xlfn.IFNA(VLOOKUP($A4,'FL Ratio'!$A$3:$B$10,2,FALSE),0)*'FL Characterization'!I$2)</f>
        <v>54.954191026636472</v>
      </c>
      <c r="J4" s="2">
        <f>('[1]Pc, Spring, S1'!J4*Main!$B$5)+(_xlfn.IFNA(VLOOKUP($A4,'FL Ratio'!$A$3:$B$10,2,FALSE),0)*'FL Characterization'!J$2)</f>
        <v>63.476544239149725</v>
      </c>
      <c r="K4" s="2">
        <f>('[1]Pc, Spring, S1'!K4*Main!$B$5)+(_xlfn.IFNA(VLOOKUP($A4,'FL Ratio'!$A$3:$B$10,2,FALSE),0)*'FL Characterization'!K$2)</f>
        <v>65.266785845250553</v>
      </c>
      <c r="L4" s="2">
        <f>('[1]Pc, Spring, S1'!L4*Main!$B$5)+(_xlfn.IFNA(VLOOKUP($A4,'FL Ratio'!$A$3:$B$10,2,FALSE),0)*'FL Characterization'!L$2)</f>
        <v>67.409274728611805</v>
      </c>
      <c r="M4" s="2">
        <f>('[1]Pc, Spring, S1'!M4*Main!$B$5)+(_xlfn.IFNA(VLOOKUP($A4,'FL Ratio'!$A$3:$B$10,2,FALSE),0)*'FL Characterization'!M$2)</f>
        <v>71.148793001132461</v>
      </c>
      <c r="N4" s="2">
        <f>('[1]Pc, Spring, S1'!N4*Main!$B$5)+(_xlfn.IFNA(VLOOKUP($A4,'FL Ratio'!$A$3:$B$10,2,FALSE),0)*'FL Characterization'!N$2)</f>
        <v>71.810616847539691</v>
      </c>
      <c r="O4" s="2">
        <f>('[1]Pc, Spring, S1'!O4*Main!$B$5)+(_xlfn.IFNA(VLOOKUP($A4,'FL Ratio'!$A$3:$B$10,2,FALSE),0)*'FL Characterization'!O$2)</f>
        <v>71.721014149864715</v>
      </c>
      <c r="P4" s="2">
        <f>('[1]Pc, Spring, S1'!P4*Main!$B$5)+(_xlfn.IFNA(VLOOKUP($A4,'FL Ratio'!$A$3:$B$10,2,FALSE),0)*'FL Characterization'!P$2)</f>
        <v>67.835008328555006</v>
      </c>
      <c r="Q4" s="2">
        <f>('[1]Pc, Spring, S1'!Q4*Main!$B$5)+(_xlfn.IFNA(VLOOKUP($A4,'FL Ratio'!$A$3:$B$10,2,FALSE),0)*'FL Characterization'!Q$2)</f>
        <v>68.511304576900613</v>
      </c>
      <c r="R4" s="2">
        <f>('[1]Pc, Spring, S1'!R4*Main!$B$5)+(_xlfn.IFNA(VLOOKUP($A4,'FL Ratio'!$A$3:$B$10,2,FALSE),0)*'FL Characterization'!R$2)</f>
        <v>67.791663960772638</v>
      </c>
      <c r="S4" s="2">
        <f>('[1]Pc, Spring, S1'!S4*Main!$B$5)+(_xlfn.IFNA(VLOOKUP($A4,'FL Ratio'!$A$3:$B$10,2,FALSE),0)*'FL Characterization'!S$2)</f>
        <v>70.561507582630838</v>
      </c>
      <c r="T4" s="2">
        <f>('[1]Pc, Spring, S1'!T4*Main!$B$5)+(_xlfn.IFNA(VLOOKUP($A4,'FL Ratio'!$A$3:$B$10,2,FALSE),0)*'FL Characterization'!T$2)</f>
        <v>70.014326183629592</v>
      </c>
      <c r="U4" s="2">
        <f>('[1]Pc, Spring, S1'!U4*Main!$B$5)+(_xlfn.IFNA(VLOOKUP($A4,'FL Ratio'!$A$3:$B$10,2,FALSE),0)*'FL Characterization'!U$2)</f>
        <v>68.396635331689495</v>
      </c>
      <c r="V4" s="2">
        <f>('[1]Pc, Spring, S1'!V4*Main!$B$5)+(_xlfn.IFNA(VLOOKUP($A4,'FL Ratio'!$A$3:$B$10,2,FALSE),0)*'FL Characterization'!V$2)</f>
        <v>67.05861271497723</v>
      </c>
      <c r="W4" s="2">
        <f>('[1]Pc, Spring, S1'!W4*Main!$B$5)+(_xlfn.IFNA(VLOOKUP($A4,'FL Ratio'!$A$3:$B$10,2,FALSE),0)*'FL Characterization'!W$2)</f>
        <v>69.946641148953375</v>
      </c>
      <c r="X4" s="2">
        <f>('[1]Pc, Spring, S1'!X4*Main!$B$5)+(_xlfn.IFNA(VLOOKUP($A4,'FL Ratio'!$A$3:$B$10,2,FALSE),0)*'FL Characterization'!X$2)</f>
        <v>65.953828292357969</v>
      </c>
      <c r="Y4" s="2">
        <f>('[1]Pc, Spring, S1'!Y4*Main!$B$5)+(_xlfn.IFNA(VLOOKUP($A4,'FL Ratio'!$A$3:$B$10,2,FALSE),0)*'FL Characterization'!Y$2)</f>
        <v>60.591975974478061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14B1F-CBF1-423B-9907-DFEE7C9E44C5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36.730427362412158</v>
      </c>
      <c r="C2" s="2">
        <f>('[1]Pc, Spring, S1'!C2*Main!$B$5)+(_xlfn.IFNA(VLOOKUP($A2,'FL Ratio'!$A$3:$B$10,2,FALSE),0)*'FL Characterization'!C$2)</f>
        <v>32.836861753712597</v>
      </c>
      <c r="D2" s="2">
        <f>('[1]Pc, Spring, S1'!D2*Main!$B$5)+(_xlfn.IFNA(VLOOKUP($A2,'FL Ratio'!$A$3:$B$10,2,FALSE),0)*'FL Characterization'!D$2)</f>
        <v>31.3170450916855</v>
      </c>
      <c r="E2" s="2">
        <f>('[1]Pc, Spring, S1'!E2*Main!$B$5)+(_xlfn.IFNA(VLOOKUP($A2,'FL Ratio'!$A$3:$B$10,2,FALSE),0)*'FL Characterization'!E$2)</f>
        <v>31.24501500063807</v>
      </c>
      <c r="F2" s="2">
        <f>('[1]Pc, Spring, S1'!F2*Main!$B$5)+(_xlfn.IFNA(VLOOKUP($A2,'FL Ratio'!$A$3:$B$10,2,FALSE),0)*'FL Characterization'!F$2)</f>
        <v>30.858248250563577</v>
      </c>
      <c r="G2" s="2">
        <f>('[1]Pc, Spring, S1'!G2*Main!$B$5)+(_xlfn.IFNA(VLOOKUP($A2,'FL Ratio'!$A$3:$B$10,2,FALSE),0)*'FL Characterization'!G$2)</f>
        <v>32.246735249457515</v>
      </c>
      <c r="H2" s="2">
        <f>('[1]Pc, Spring, S1'!H2*Main!$B$5)+(_xlfn.IFNA(VLOOKUP($A2,'FL Ratio'!$A$3:$B$10,2,FALSE),0)*'FL Characterization'!H$2)</f>
        <v>36.26975986900888</v>
      </c>
      <c r="I2" s="2">
        <f>('[1]Pc, Spring, S1'!I2*Main!$B$5)+(_xlfn.IFNA(VLOOKUP($A2,'FL Ratio'!$A$3:$B$10,2,FALSE),0)*'FL Characterization'!I$2)</f>
        <v>45.268633021842497</v>
      </c>
      <c r="J2" s="2">
        <f>('[1]Pc, Spring, S1'!J2*Main!$B$5)+(_xlfn.IFNA(VLOOKUP($A2,'FL Ratio'!$A$3:$B$10,2,FALSE),0)*'FL Characterization'!J$2)</f>
        <v>48.515725669832563</v>
      </c>
      <c r="K2" s="2">
        <f>('[1]Pc, Spring, S1'!K2*Main!$B$5)+(_xlfn.IFNA(VLOOKUP($A2,'FL Ratio'!$A$3:$B$10,2,FALSE),0)*'FL Characterization'!K$2)</f>
        <v>50.835912799323687</v>
      </c>
      <c r="L2" s="2">
        <f>('[1]Pc, Spring, S1'!L2*Main!$B$5)+(_xlfn.IFNA(VLOOKUP($A2,'FL Ratio'!$A$3:$B$10,2,FALSE),0)*'FL Characterization'!L$2)</f>
        <v>52.516734455583986</v>
      </c>
      <c r="M2" s="2">
        <f>('[1]Pc, Spring, S1'!M2*Main!$B$5)+(_xlfn.IFNA(VLOOKUP($A2,'FL Ratio'!$A$3:$B$10,2,FALSE),0)*'FL Characterization'!M$2)</f>
        <v>51.13069735557044</v>
      </c>
      <c r="N2" s="2">
        <f>('[1]Pc, Spring, S1'!N2*Main!$B$5)+(_xlfn.IFNA(VLOOKUP($A2,'FL Ratio'!$A$3:$B$10,2,FALSE),0)*'FL Characterization'!N$2)</f>
        <v>51.938080202447445</v>
      </c>
      <c r="O2" s="2">
        <f>('[1]Pc, Spring, S1'!O2*Main!$B$5)+(_xlfn.IFNA(VLOOKUP($A2,'FL Ratio'!$A$3:$B$10,2,FALSE),0)*'FL Characterization'!O$2)</f>
        <v>52.983114646468273</v>
      </c>
      <c r="P2" s="2">
        <f>('[1]Pc, Spring, S1'!P2*Main!$B$5)+(_xlfn.IFNA(VLOOKUP($A2,'FL Ratio'!$A$3:$B$10,2,FALSE),0)*'FL Characterization'!P$2)</f>
        <v>48.654020730792531</v>
      </c>
      <c r="Q2" s="2">
        <f>('[1]Pc, Spring, S1'!Q2*Main!$B$5)+(_xlfn.IFNA(VLOOKUP($A2,'FL Ratio'!$A$3:$B$10,2,FALSE),0)*'FL Characterization'!Q$2)</f>
        <v>44.894659778959728</v>
      </c>
      <c r="R2" s="2">
        <f>('[1]Pc, Spring, S1'!R2*Main!$B$5)+(_xlfn.IFNA(VLOOKUP($A2,'FL Ratio'!$A$3:$B$10,2,FALSE),0)*'FL Characterization'!R$2)</f>
        <v>46.591626454649798</v>
      </c>
      <c r="S2" s="2">
        <f>('[1]Pc, Spring, S1'!S2*Main!$B$5)+(_xlfn.IFNA(VLOOKUP($A2,'FL Ratio'!$A$3:$B$10,2,FALSE),0)*'FL Characterization'!S$2)</f>
        <v>48.9682729325257</v>
      </c>
      <c r="T2" s="2">
        <f>('[1]Pc, Spring, S1'!T2*Main!$B$5)+(_xlfn.IFNA(VLOOKUP($A2,'FL Ratio'!$A$3:$B$10,2,FALSE),0)*'FL Characterization'!T$2)</f>
        <v>51.897393993261822</v>
      </c>
      <c r="U2" s="2">
        <f>('[1]Pc, Spring, S1'!U2*Main!$B$5)+(_xlfn.IFNA(VLOOKUP($A2,'FL Ratio'!$A$3:$B$10,2,FALSE),0)*'FL Characterization'!U$2)</f>
        <v>50.987353693949331</v>
      </c>
      <c r="V2" s="2">
        <f>('[1]Pc, Spring, S1'!V2*Main!$B$5)+(_xlfn.IFNA(VLOOKUP($A2,'FL Ratio'!$A$3:$B$10,2,FALSE),0)*'FL Characterization'!V$2)</f>
        <v>49.120340393971588</v>
      </c>
      <c r="W2" s="2">
        <f>('[1]Pc, Spring, S1'!W2*Main!$B$5)+(_xlfn.IFNA(VLOOKUP($A2,'FL Ratio'!$A$3:$B$10,2,FALSE),0)*'FL Characterization'!W$2)</f>
        <v>50.907026708655145</v>
      </c>
      <c r="X2" s="2">
        <f>('[1]Pc, Spring, S1'!X2*Main!$B$5)+(_xlfn.IFNA(VLOOKUP($A2,'FL Ratio'!$A$3:$B$10,2,FALSE),0)*'FL Characterization'!X$2)</f>
        <v>42.655938054272191</v>
      </c>
      <c r="Y2" s="2">
        <f>('[1]Pc, Spring, S1'!Y2*Main!$B$5)+(_xlfn.IFNA(VLOOKUP($A2,'FL Ratio'!$A$3:$B$10,2,FALSE),0)*'FL Characterization'!Y$2)</f>
        <v>42.832051491583627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38.338248532253409</v>
      </c>
      <c r="C3" s="2">
        <f>('[1]Pc, Spring, S1'!C3*Main!$B$5)+(_xlfn.IFNA(VLOOKUP($A3,'FL Ratio'!$A$3:$B$10,2,FALSE),0)*'FL Characterization'!C$2)</f>
        <v>37.217397466378742</v>
      </c>
      <c r="D3" s="2">
        <f>('[1]Pc, Spring, S1'!D3*Main!$B$5)+(_xlfn.IFNA(VLOOKUP($A3,'FL Ratio'!$A$3:$B$10,2,FALSE),0)*'FL Characterization'!D$2)</f>
        <v>33.418726240623414</v>
      </c>
      <c r="E3" s="2">
        <f>('[1]Pc, Spring, S1'!E3*Main!$B$5)+(_xlfn.IFNA(VLOOKUP($A3,'FL Ratio'!$A$3:$B$10,2,FALSE),0)*'FL Characterization'!E$2)</f>
        <v>34.43483102532538</v>
      </c>
      <c r="F3" s="2">
        <f>('[1]Pc, Spring, S1'!F3*Main!$B$5)+(_xlfn.IFNA(VLOOKUP($A3,'FL Ratio'!$A$3:$B$10,2,FALSE),0)*'FL Characterization'!F$2)</f>
        <v>32.914918691111616</v>
      </c>
      <c r="G3" s="2">
        <f>('[1]Pc, Spring, S1'!G3*Main!$B$5)+(_xlfn.IFNA(VLOOKUP($A3,'FL Ratio'!$A$3:$B$10,2,FALSE),0)*'FL Characterization'!G$2)</f>
        <v>35.993651599616491</v>
      </c>
      <c r="H3" s="2">
        <f>('[1]Pc, Spring, S1'!H3*Main!$B$5)+(_xlfn.IFNA(VLOOKUP($A3,'FL Ratio'!$A$3:$B$10,2,FALSE),0)*'FL Characterization'!H$2)</f>
        <v>46.775799467668712</v>
      </c>
      <c r="I3" s="2">
        <f>('[1]Pc, Spring, S1'!I3*Main!$B$5)+(_xlfn.IFNA(VLOOKUP($A3,'FL Ratio'!$A$3:$B$10,2,FALSE),0)*'FL Characterization'!I$2)</f>
        <v>53.065662384932196</v>
      </c>
      <c r="J3" s="2">
        <f>('[1]Pc, Spring, S1'!J3*Main!$B$5)+(_xlfn.IFNA(VLOOKUP($A3,'FL Ratio'!$A$3:$B$10,2,FALSE),0)*'FL Characterization'!J$2)</f>
        <v>57.587469200164882</v>
      </c>
      <c r="K3" s="2">
        <f>('[1]Pc, Spring, S1'!K3*Main!$B$5)+(_xlfn.IFNA(VLOOKUP($A3,'FL Ratio'!$A$3:$B$10,2,FALSE),0)*'FL Characterization'!K$2)</f>
        <v>56.111793049060921</v>
      </c>
      <c r="L3" s="2">
        <f>('[1]Pc, Spring, S1'!L3*Main!$B$5)+(_xlfn.IFNA(VLOOKUP($A3,'FL Ratio'!$A$3:$B$10,2,FALSE),0)*'FL Characterization'!L$2)</f>
        <v>52.811713249377206</v>
      </c>
      <c r="M3" s="2">
        <f>('[1]Pc, Spring, S1'!M3*Main!$B$5)+(_xlfn.IFNA(VLOOKUP($A3,'FL Ratio'!$A$3:$B$10,2,FALSE),0)*'FL Characterization'!M$2)</f>
        <v>57.642589484909472</v>
      </c>
      <c r="N3" s="2">
        <f>('[1]Pc, Spring, S1'!N3*Main!$B$5)+(_xlfn.IFNA(VLOOKUP($A3,'FL Ratio'!$A$3:$B$10,2,FALSE),0)*'FL Characterization'!N$2)</f>
        <v>55.660789654249008</v>
      </c>
      <c r="O3" s="2">
        <f>('[1]Pc, Spring, S1'!O3*Main!$B$5)+(_xlfn.IFNA(VLOOKUP($A3,'FL Ratio'!$A$3:$B$10,2,FALSE),0)*'FL Characterization'!O$2)</f>
        <v>53.846311207572761</v>
      </c>
      <c r="P3" s="2">
        <f>('[1]Pc, Spring, S1'!P3*Main!$B$5)+(_xlfn.IFNA(VLOOKUP($A3,'FL Ratio'!$A$3:$B$10,2,FALSE),0)*'FL Characterization'!P$2)</f>
        <v>53.123823404570594</v>
      </c>
      <c r="Q3" s="2">
        <f>('[1]Pc, Spring, S1'!Q3*Main!$B$5)+(_xlfn.IFNA(VLOOKUP($A3,'FL Ratio'!$A$3:$B$10,2,FALSE),0)*'FL Characterization'!Q$2)</f>
        <v>51.004919738521792</v>
      </c>
      <c r="R3" s="2">
        <f>('[1]Pc, Spring, S1'!R3*Main!$B$5)+(_xlfn.IFNA(VLOOKUP($A3,'FL Ratio'!$A$3:$B$10,2,FALSE),0)*'FL Characterization'!R$2)</f>
        <v>47.026034884490791</v>
      </c>
      <c r="S3" s="2">
        <f>('[1]Pc, Spring, S1'!S3*Main!$B$5)+(_xlfn.IFNA(VLOOKUP($A3,'FL Ratio'!$A$3:$B$10,2,FALSE),0)*'FL Characterization'!S$2)</f>
        <v>51.994990596346803</v>
      </c>
      <c r="T3" s="2">
        <f>('[1]Pc, Spring, S1'!T3*Main!$B$5)+(_xlfn.IFNA(VLOOKUP($A3,'FL Ratio'!$A$3:$B$10,2,FALSE),0)*'FL Characterization'!T$2)</f>
        <v>51.721945322635733</v>
      </c>
      <c r="U3" s="2">
        <f>('[1]Pc, Spring, S1'!U3*Main!$B$5)+(_xlfn.IFNA(VLOOKUP($A3,'FL Ratio'!$A$3:$B$10,2,FALSE),0)*'FL Characterization'!U$2)</f>
        <v>50.131037607793537</v>
      </c>
      <c r="V3" s="2">
        <f>('[1]Pc, Spring, S1'!V3*Main!$B$5)+(_xlfn.IFNA(VLOOKUP($A3,'FL Ratio'!$A$3:$B$10,2,FALSE),0)*'FL Characterization'!V$2)</f>
        <v>48.210943621811822</v>
      </c>
      <c r="W3" s="2">
        <f>('[1]Pc, Spring, S1'!W3*Main!$B$5)+(_xlfn.IFNA(VLOOKUP($A3,'FL Ratio'!$A$3:$B$10,2,FALSE),0)*'FL Characterization'!W$2)</f>
        <v>47.21777516422685</v>
      </c>
      <c r="X3" s="2">
        <f>('[1]Pc, Spring, S1'!X3*Main!$B$5)+(_xlfn.IFNA(VLOOKUP($A3,'FL Ratio'!$A$3:$B$10,2,FALSE),0)*'FL Characterization'!X$2)</f>
        <v>45.134482263479683</v>
      </c>
      <c r="Y3" s="2">
        <f>('[1]Pc, Spring, S1'!Y3*Main!$B$5)+(_xlfn.IFNA(VLOOKUP($A3,'FL Ratio'!$A$3:$B$10,2,FALSE),0)*'FL Characterization'!Y$2)</f>
        <v>42.385021767351184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52.218607819923861</v>
      </c>
      <c r="C4" s="2">
        <f>('[1]Pc, Spring, S1'!C4*Main!$B$5)+(_xlfn.IFNA(VLOOKUP($A4,'FL Ratio'!$A$3:$B$10,2,FALSE),0)*'FL Characterization'!C$2)</f>
        <v>45.910432397215288</v>
      </c>
      <c r="D4" s="2">
        <f>('[1]Pc, Spring, S1'!D4*Main!$B$5)+(_xlfn.IFNA(VLOOKUP($A4,'FL Ratio'!$A$3:$B$10,2,FALSE),0)*'FL Characterization'!D$2)</f>
        <v>45.974362629237156</v>
      </c>
      <c r="E4" s="2">
        <f>('[1]Pc, Spring, S1'!E4*Main!$B$5)+(_xlfn.IFNA(VLOOKUP($A4,'FL Ratio'!$A$3:$B$10,2,FALSE),0)*'FL Characterization'!E$2)</f>
        <v>42.39607992566777</v>
      </c>
      <c r="F4" s="2">
        <f>('[1]Pc, Spring, S1'!F4*Main!$B$5)+(_xlfn.IFNA(VLOOKUP($A4,'FL Ratio'!$A$3:$B$10,2,FALSE),0)*'FL Characterization'!F$2)</f>
        <v>44.636236151973961</v>
      </c>
      <c r="G4" s="2">
        <f>('[1]Pc, Spring, S1'!G4*Main!$B$5)+(_xlfn.IFNA(VLOOKUP($A4,'FL Ratio'!$A$3:$B$10,2,FALSE),0)*'FL Characterization'!G$2)</f>
        <v>43.728394821244308</v>
      </c>
      <c r="H4" s="2">
        <f>('[1]Pc, Spring, S1'!H4*Main!$B$5)+(_xlfn.IFNA(VLOOKUP($A4,'FL Ratio'!$A$3:$B$10,2,FALSE),0)*'FL Characterization'!H$2)</f>
        <v>51.209409244730523</v>
      </c>
      <c r="I4" s="2">
        <f>('[1]Pc, Spring, S1'!I4*Main!$B$5)+(_xlfn.IFNA(VLOOKUP($A4,'FL Ratio'!$A$3:$B$10,2,FALSE),0)*'FL Characterization'!I$2)</f>
        <v>54.954191026636472</v>
      </c>
      <c r="J4" s="2">
        <f>('[1]Pc, Spring, S1'!J4*Main!$B$5)+(_xlfn.IFNA(VLOOKUP($A4,'FL Ratio'!$A$3:$B$10,2,FALSE),0)*'FL Characterization'!J$2)</f>
        <v>63.476544239149725</v>
      </c>
      <c r="K4" s="2">
        <f>('[1]Pc, Spring, S1'!K4*Main!$B$5)+(_xlfn.IFNA(VLOOKUP($A4,'FL Ratio'!$A$3:$B$10,2,FALSE),0)*'FL Characterization'!K$2)</f>
        <v>65.266785845250553</v>
      </c>
      <c r="L4" s="2">
        <f>('[1]Pc, Spring, S1'!L4*Main!$B$5)+(_xlfn.IFNA(VLOOKUP($A4,'FL Ratio'!$A$3:$B$10,2,FALSE),0)*'FL Characterization'!L$2)</f>
        <v>67.409274728611805</v>
      </c>
      <c r="M4" s="2">
        <f>('[1]Pc, Spring, S1'!M4*Main!$B$5)+(_xlfn.IFNA(VLOOKUP($A4,'FL Ratio'!$A$3:$B$10,2,FALSE),0)*'FL Characterization'!M$2)</f>
        <v>71.148793001132461</v>
      </c>
      <c r="N4" s="2">
        <f>('[1]Pc, Spring, S1'!N4*Main!$B$5)+(_xlfn.IFNA(VLOOKUP($A4,'FL Ratio'!$A$3:$B$10,2,FALSE),0)*'FL Characterization'!N$2)</f>
        <v>71.810616847539691</v>
      </c>
      <c r="O4" s="2">
        <f>('[1]Pc, Spring, S1'!O4*Main!$B$5)+(_xlfn.IFNA(VLOOKUP($A4,'FL Ratio'!$A$3:$B$10,2,FALSE),0)*'FL Characterization'!O$2)</f>
        <v>71.721014149864715</v>
      </c>
      <c r="P4" s="2">
        <f>('[1]Pc, Spring, S1'!P4*Main!$B$5)+(_xlfn.IFNA(VLOOKUP($A4,'FL Ratio'!$A$3:$B$10,2,FALSE),0)*'FL Characterization'!P$2)</f>
        <v>67.835008328555006</v>
      </c>
      <c r="Q4" s="2">
        <f>('[1]Pc, Spring, S1'!Q4*Main!$B$5)+(_xlfn.IFNA(VLOOKUP($A4,'FL Ratio'!$A$3:$B$10,2,FALSE),0)*'FL Characterization'!Q$2)</f>
        <v>68.511304576900613</v>
      </c>
      <c r="R4" s="2">
        <f>('[1]Pc, Spring, S1'!R4*Main!$B$5)+(_xlfn.IFNA(VLOOKUP($A4,'FL Ratio'!$A$3:$B$10,2,FALSE),0)*'FL Characterization'!R$2)</f>
        <v>67.791663960772638</v>
      </c>
      <c r="S4" s="2">
        <f>('[1]Pc, Spring, S1'!S4*Main!$B$5)+(_xlfn.IFNA(VLOOKUP($A4,'FL Ratio'!$A$3:$B$10,2,FALSE),0)*'FL Characterization'!S$2)</f>
        <v>70.561507582630838</v>
      </c>
      <c r="T4" s="2">
        <f>('[1]Pc, Spring, S1'!T4*Main!$B$5)+(_xlfn.IFNA(VLOOKUP($A4,'FL Ratio'!$A$3:$B$10,2,FALSE),0)*'FL Characterization'!T$2)</f>
        <v>70.014326183629592</v>
      </c>
      <c r="U4" s="2">
        <f>('[1]Pc, Spring, S1'!U4*Main!$B$5)+(_xlfn.IFNA(VLOOKUP($A4,'FL Ratio'!$A$3:$B$10,2,FALSE),0)*'FL Characterization'!U$2)</f>
        <v>68.396635331689495</v>
      </c>
      <c r="V4" s="2">
        <f>('[1]Pc, Spring, S1'!V4*Main!$B$5)+(_xlfn.IFNA(VLOOKUP($A4,'FL Ratio'!$A$3:$B$10,2,FALSE),0)*'FL Characterization'!V$2)</f>
        <v>67.05861271497723</v>
      </c>
      <c r="W4" s="2">
        <f>('[1]Pc, Spring, S1'!W4*Main!$B$5)+(_xlfn.IFNA(VLOOKUP($A4,'FL Ratio'!$A$3:$B$10,2,FALSE),0)*'FL Characterization'!W$2)</f>
        <v>69.946641148953375</v>
      </c>
      <c r="X4" s="2">
        <f>('[1]Pc, Spring, S1'!X4*Main!$B$5)+(_xlfn.IFNA(VLOOKUP($A4,'FL Ratio'!$A$3:$B$10,2,FALSE),0)*'FL Characterization'!X$2)</f>
        <v>65.953828292357969</v>
      </c>
      <c r="Y4" s="2">
        <f>('[1]Pc, Spring, S1'!Y4*Main!$B$5)+(_xlfn.IFNA(VLOOKUP($A4,'FL Ratio'!$A$3:$B$10,2,FALSE),0)*'FL Characterization'!Y$2)</f>
        <v>60.591975974478061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E6CD5-359B-48BB-A2E5-55802D9FB142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37.832340183284522</v>
      </c>
      <c r="C2" s="2">
        <f>('[1]Pc, Spring, S2'!C2*Main!$B$5)+(_xlfn.IFNA(VLOOKUP($A2,'FL Ratio'!$A$3:$B$10,2,FALSE),0)*'FL Characterization'!C$2)</f>
        <v>33.82196760632398</v>
      </c>
      <c r="D2" s="2">
        <f>('[1]Pc, Spring, S2'!D2*Main!$B$5)+(_xlfn.IFNA(VLOOKUP($A2,'FL Ratio'!$A$3:$B$10,2,FALSE),0)*'FL Characterization'!D$2)</f>
        <v>32.256556444436065</v>
      </c>
      <c r="E2" s="2">
        <f>('[1]Pc, Spring, S2'!E2*Main!$B$5)+(_xlfn.IFNA(VLOOKUP($A2,'FL Ratio'!$A$3:$B$10,2,FALSE),0)*'FL Characterization'!E$2)</f>
        <v>32.182365450657215</v>
      </c>
      <c r="F2" s="2">
        <f>('[1]Pc, Spring, S2'!F2*Main!$B$5)+(_xlfn.IFNA(VLOOKUP($A2,'FL Ratio'!$A$3:$B$10,2,FALSE),0)*'FL Characterization'!F$2)</f>
        <v>31.783995698080489</v>
      </c>
      <c r="G2" s="2">
        <f>('[1]Pc, Spring, S2'!G2*Main!$B$5)+(_xlfn.IFNA(VLOOKUP($A2,'FL Ratio'!$A$3:$B$10,2,FALSE),0)*'FL Characterization'!G$2)</f>
        <v>33.21413730694124</v>
      </c>
      <c r="H2" s="2">
        <f>('[1]Pc, Spring, S2'!H2*Main!$B$5)+(_xlfn.IFNA(VLOOKUP($A2,'FL Ratio'!$A$3:$B$10,2,FALSE),0)*'FL Characterization'!H$2)</f>
        <v>37.35785266507915</v>
      </c>
      <c r="I2" s="2">
        <f>('[1]Pc, Spring, S2'!I2*Main!$B$5)+(_xlfn.IFNA(VLOOKUP($A2,'FL Ratio'!$A$3:$B$10,2,FALSE),0)*'FL Characterization'!I$2)</f>
        <v>46.62669201249777</v>
      </c>
      <c r="J2" s="2">
        <f>('[1]Pc, Spring, S2'!J2*Main!$B$5)+(_xlfn.IFNA(VLOOKUP($A2,'FL Ratio'!$A$3:$B$10,2,FALSE),0)*'FL Characterization'!J$2)</f>
        <v>49.971197439927536</v>
      </c>
      <c r="K2" s="2">
        <f>('[1]Pc, Spring, S2'!K2*Main!$B$5)+(_xlfn.IFNA(VLOOKUP($A2,'FL Ratio'!$A$3:$B$10,2,FALSE),0)*'FL Characterization'!K$2)</f>
        <v>52.3609901833034</v>
      </c>
      <c r="L2" s="2">
        <f>('[1]Pc, Spring, S2'!L2*Main!$B$5)+(_xlfn.IFNA(VLOOKUP($A2,'FL Ratio'!$A$3:$B$10,2,FALSE),0)*'FL Characterization'!L$2)</f>
        <v>54.092236489251505</v>
      </c>
      <c r="M2" s="2">
        <f>('[1]Pc, Spring, S2'!M2*Main!$B$5)+(_xlfn.IFNA(VLOOKUP($A2,'FL Ratio'!$A$3:$B$10,2,FALSE),0)*'FL Characterization'!M$2)</f>
        <v>52.664618276237555</v>
      </c>
      <c r="N2" s="2">
        <f>('[1]Pc, Spring, S2'!N2*Main!$B$5)+(_xlfn.IFNA(VLOOKUP($A2,'FL Ratio'!$A$3:$B$10,2,FALSE),0)*'FL Characterization'!N$2)</f>
        <v>53.496222608520867</v>
      </c>
      <c r="O2" s="2">
        <f>('[1]Pc, Spring, S2'!O2*Main!$B$5)+(_xlfn.IFNA(VLOOKUP($A2,'FL Ratio'!$A$3:$B$10,2,FALSE),0)*'FL Characterization'!O$2)</f>
        <v>54.572608085862321</v>
      </c>
      <c r="P2" s="2">
        <f>('[1]Pc, Spring, S2'!P2*Main!$B$5)+(_xlfn.IFNA(VLOOKUP($A2,'FL Ratio'!$A$3:$B$10,2,FALSE),0)*'FL Characterization'!P$2)</f>
        <v>50.113641352716314</v>
      </c>
      <c r="Q2" s="2">
        <f>('[1]Pc, Spring, S2'!Q2*Main!$B$5)+(_xlfn.IFNA(VLOOKUP($A2,'FL Ratio'!$A$3:$B$10,2,FALSE),0)*'FL Characterization'!Q$2)</f>
        <v>46.241499572328522</v>
      </c>
      <c r="R2" s="2">
        <f>('[1]Pc, Spring, S2'!R2*Main!$B$5)+(_xlfn.IFNA(VLOOKUP($A2,'FL Ratio'!$A$3:$B$10,2,FALSE),0)*'FL Characterization'!R$2)</f>
        <v>47.989375248289292</v>
      </c>
      <c r="S2" s="2">
        <f>('[1]Pc, Spring, S2'!S2*Main!$B$5)+(_xlfn.IFNA(VLOOKUP($A2,'FL Ratio'!$A$3:$B$10,2,FALSE),0)*'FL Characterization'!S$2)</f>
        <v>50.437321120501473</v>
      </c>
      <c r="T2" s="2">
        <f>('[1]Pc, Spring, S2'!T2*Main!$B$5)+(_xlfn.IFNA(VLOOKUP($A2,'FL Ratio'!$A$3:$B$10,2,FALSE),0)*'FL Characterization'!T$2)</f>
        <v>53.454315813059679</v>
      </c>
      <c r="U2" s="2">
        <f>('[1]Pc, Spring, S2'!U2*Main!$B$5)+(_xlfn.IFNA(VLOOKUP($A2,'FL Ratio'!$A$3:$B$10,2,FALSE),0)*'FL Characterization'!U$2)</f>
        <v>52.516974304767807</v>
      </c>
      <c r="V2" s="2">
        <f>('[1]Pc, Spring, S2'!V2*Main!$B$5)+(_xlfn.IFNA(VLOOKUP($A2,'FL Ratio'!$A$3:$B$10,2,FALSE),0)*'FL Characterization'!V$2)</f>
        <v>50.593950605790731</v>
      </c>
      <c r="W2" s="2">
        <f>('[1]Pc, Spring, S2'!W2*Main!$B$5)+(_xlfn.IFNA(VLOOKUP($A2,'FL Ratio'!$A$3:$B$10,2,FALSE),0)*'FL Characterization'!W$2)</f>
        <v>52.434237509914801</v>
      </c>
      <c r="X2" s="2">
        <f>('[1]Pc, Spring, S2'!X2*Main!$B$5)+(_xlfn.IFNA(VLOOKUP($A2,'FL Ratio'!$A$3:$B$10,2,FALSE),0)*'FL Characterization'!X$2)</f>
        <v>43.935616195900351</v>
      </c>
      <c r="Y2" s="2">
        <f>('[1]Pc, Spring, S2'!Y2*Main!$B$5)+(_xlfn.IFNA(VLOOKUP($A2,'FL Ratio'!$A$3:$B$10,2,FALSE),0)*'FL Characterization'!Y$2)</f>
        <v>44.117013036331144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39.405821026083814</v>
      </c>
      <c r="C3" s="2">
        <f>('[1]Pc, Spring, S2'!C3*Main!$B$5)+(_xlfn.IFNA(VLOOKUP($A3,'FL Ratio'!$A$3:$B$10,2,FALSE),0)*'FL Characterization'!C$2)</f>
        <v>38.248589913996781</v>
      </c>
      <c r="D3" s="2">
        <f>('[1]Pc, Spring, S2'!D3*Main!$B$5)+(_xlfn.IFNA(VLOOKUP($A3,'FL Ratio'!$A$3:$B$10,2,FALSE),0)*'FL Characterization'!D$2)</f>
        <v>34.344880490262888</v>
      </c>
      <c r="E3" s="2">
        <f>('[1]Pc, Spring, S2'!E3*Main!$B$5)+(_xlfn.IFNA(VLOOKUP($A3,'FL Ratio'!$A$3:$B$10,2,FALSE),0)*'FL Characterization'!E$2)</f>
        <v>35.39545238665719</v>
      </c>
      <c r="F3" s="2">
        <f>('[1]Pc, Spring, S2'!F3*Main!$B$5)+(_xlfn.IFNA(VLOOKUP($A3,'FL Ratio'!$A$3:$B$10,2,FALSE),0)*'FL Characterization'!F$2)</f>
        <v>33.843029984202325</v>
      </c>
      <c r="G3" s="2">
        <f>('[1]Pc, Spring, S2'!G3*Main!$B$5)+(_xlfn.IFNA(VLOOKUP($A3,'FL Ratio'!$A$3:$B$10,2,FALSE),0)*'FL Characterization'!G$2)</f>
        <v>37.023100565375671</v>
      </c>
      <c r="H3" s="2">
        <f>('[1]Pc, Spring, S2'!H3*Main!$B$5)+(_xlfn.IFNA(VLOOKUP($A3,'FL Ratio'!$A$3:$B$10,2,FALSE),0)*'FL Characterization'!H$2)</f>
        <v>48.117486544375389</v>
      </c>
      <c r="I3" s="2">
        <f>('[1]Pc, Spring, S2'!I3*Main!$B$5)+(_xlfn.IFNA(VLOOKUP($A3,'FL Ratio'!$A$3:$B$10,2,FALSE),0)*'FL Characterization'!I$2)</f>
        <v>54.646936679251098</v>
      </c>
      <c r="J3" s="2">
        <f>('[1]Pc, Spring, S2'!J3*Main!$B$5)+(_xlfn.IFNA(VLOOKUP($A3,'FL Ratio'!$A$3:$B$10,2,FALSE),0)*'FL Characterization'!J$2)</f>
        <v>59.305687617802562</v>
      </c>
      <c r="K3" s="2">
        <f>('[1]Pc, Spring, S2'!K3*Main!$B$5)+(_xlfn.IFNA(VLOOKUP($A3,'FL Ratio'!$A$3:$B$10,2,FALSE),0)*'FL Characterization'!K$2)</f>
        <v>57.781434734298763</v>
      </c>
      <c r="L3" s="2">
        <f>('[1]Pc, Spring, S2'!L3*Main!$B$5)+(_xlfn.IFNA(VLOOKUP($A3,'FL Ratio'!$A$3:$B$10,2,FALSE),0)*'FL Characterization'!L$2)</f>
        <v>54.387989217317489</v>
      </c>
      <c r="M3" s="2">
        <f>('[1]Pc, Spring, S2'!M3*Main!$B$5)+(_xlfn.IFNA(VLOOKUP($A3,'FL Ratio'!$A$3:$B$10,2,FALSE),0)*'FL Characterization'!M$2)</f>
        <v>59.361776241694166</v>
      </c>
      <c r="N3" s="2">
        <f>('[1]Pc, Spring, S2'!N3*Main!$B$5)+(_xlfn.IFNA(VLOOKUP($A3,'FL Ratio'!$A$3:$B$10,2,FALSE),0)*'FL Characterization'!N$2)</f>
        <v>57.314536386395858</v>
      </c>
      <c r="O3" s="2">
        <f>('[1]Pc, Spring, S2'!O3*Main!$B$5)+(_xlfn.IFNA(VLOOKUP($A3,'FL Ratio'!$A$3:$B$10,2,FALSE),0)*'FL Characterization'!O$2)</f>
        <v>55.432079438270456</v>
      </c>
      <c r="P3" s="2">
        <f>('[1]Pc, Spring, S2'!P3*Main!$B$5)+(_xlfn.IFNA(VLOOKUP($A3,'FL Ratio'!$A$3:$B$10,2,FALSE),0)*'FL Characterization'!P$2)</f>
        <v>54.685935094593688</v>
      </c>
      <c r="Q3" s="2">
        <f>('[1]Pc, Spring, S2'!Q3*Main!$B$5)+(_xlfn.IFNA(VLOOKUP($A3,'FL Ratio'!$A$3:$B$10,2,FALSE),0)*'FL Characterization'!Q$2)</f>
        <v>52.503988348101032</v>
      </c>
      <c r="R3" s="2">
        <f>('[1]Pc, Spring, S2'!R3*Main!$B$5)+(_xlfn.IFNA(VLOOKUP($A3,'FL Ratio'!$A$3:$B$10,2,FALSE),0)*'FL Characterization'!R$2)</f>
        <v>48.419381871409051</v>
      </c>
      <c r="S3" s="2">
        <f>('[1]Pc, Spring, S2'!S3*Main!$B$5)+(_xlfn.IFNA(VLOOKUP($A3,'FL Ratio'!$A$3:$B$10,2,FALSE),0)*'FL Characterization'!S$2)</f>
        <v>53.519327235573371</v>
      </c>
      <c r="T3" s="2">
        <f>('[1]Pc, Spring, S2'!T3*Main!$B$5)+(_xlfn.IFNA(VLOOKUP($A3,'FL Ratio'!$A$3:$B$10,2,FALSE),0)*'FL Characterization'!T$2)</f>
        <v>53.252763430703901</v>
      </c>
      <c r="U3" s="2">
        <f>('[1]Pc, Spring, S2'!U3*Main!$B$5)+(_xlfn.IFNA(VLOOKUP($A3,'FL Ratio'!$A$3:$B$10,2,FALSE),0)*'FL Characterization'!U$2)</f>
        <v>51.620316063956629</v>
      </c>
      <c r="V3" s="2">
        <f>('[1]Pc, Spring, S2'!V3*Main!$B$5)+(_xlfn.IFNA(VLOOKUP($A3,'FL Ratio'!$A$3:$B$10,2,FALSE),0)*'FL Characterization'!V$2)</f>
        <v>49.635020830100189</v>
      </c>
      <c r="W3" s="2">
        <f>('[1]Pc, Spring, S2'!W3*Main!$B$5)+(_xlfn.IFNA(VLOOKUP($A3,'FL Ratio'!$A$3:$B$10,2,FALSE),0)*'FL Characterization'!W$2)</f>
        <v>48.620556002955233</v>
      </c>
      <c r="X3" s="2">
        <f>('[1]Pc, Spring, S2'!X3*Main!$B$5)+(_xlfn.IFNA(VLOOKUP($A3,'FL Ratio'!$A$3:$B$10,2,FALSE),0)*'FL Characterization'!X$2)</f>
        <v>46.425747398437373</v>
      </c>
      <c r="Y3" s="2">
        <f>('[1]Pc, Spring, S2'!Y3*Main!$B$5)+(_xlfn.IFNA(VLOOKUP($A3,'FL Ratio'!$A$3:$B$10,2,FALSE),0)*'FL Characterization'!Y$2)</f>
        <v>43.580903898807051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53.702591092384381</v>
      </c>
      <c r="C4" s="2">
        <f>('[1]Pc, Spring, S2'!C4*Main!$B$5)+(_xlfn.IFNA(VLOOKUP($A4,'FL Ratio'!$A$3:$B$10,2,FALSE),0)*'FL Characterization'!C$2)</f>
        <v>47.20241589275841</v>
      </c>
      <c r="D4" s="2">
        <f>('[1]Pc, Spring, S2'!D4*Main!$B$5)+(_xlfn.IFNA(VLOOKUP($A4,'FL Ratio'!$A$3:$B$10,2,FALSE),0)*'FL Characterization'!D$2)</f>
        <v>47.277185970535037</v>
      </c>
      <c r="E4" s="2">
        <f>('[1]Pc, Spring, S2'!E4*Main!$B$5)+(_xlfn.IFNA(VLOOKUP($A4,'FL Ratio'!$A$3:$B$10,2,FALSE),0)*'FL Characterization'!E$2)</f>
        <v>43.595538754009851</v>
      </c>
      <c r="F4" s="2">
        <f>('[1]Pc, Spring, S2'!F4*Main!$B$5)+(_xlfn.IFNA(VLOOKUP($A4,'FL Ratio'!$A$3:$B$10,2,FALSE),0)*'FL Characterization'!F$2)</f>
        <v>45.915986968890536</v>
      </c>
      <c r="G4" s="2">
        <f>('[1]Pc, Spring, S2'!G4*Main!$B$5)+(_xlfn.IFNA(VLOOKUP($A4,'FL Ratio'!$A$3:$B$10,2,FALSE),0)*'FL Characterization'!G$2)</f>
        <v>44.98988608365233</v>
      </c>
      <c r="H4" s="2">
        <f>('[1]Pc, Spring, S2'!H4*Main!$B$5)+(_xlfn.IFNA(VLOOKUP($A4,'FL Ratio'!$A$3:$B$10,2,FALSE),0)*'FL Characterization'!H$2)</f>
        <v>52.684104614749053</v>
      </c>
      <c r="I4" s="2">
        <f>('[1]Pc, Spring, S2'!I4*Main!$B$5)+(_xlfn.IFNA(VLOOKUP($A4,'FL Ratio'!$A$3:$B$10,2,FALSE),0)*'FL Characterization'!I$2)</f>
        <v>56.592121180206505</v>
      </c>
      <c r="J4" s="2">
        <f>('[1]Pc, Spring, S2'!J4*Main!$B$5)+(_xlfn.IFNA(VLOOKUP($A4,'FL Ratio'!$A$3:$B$10,2,FALSE),0)*'FL Characterization'!J$2)</f>
        <v>65.371434907956953</v>
      </c>
      <c r="K4" s="2">
        <f>('[1]Pc, Spring, S2'!K4*Main!$B$5)+(_xlfn.IFNA(VLOOKUP($A4,'FL Ratio'!$A$3:$B$10,2,FALSE),0)*'FL Characterization'!K$2)</f>
        <v>67.21107731437408</v>
      </c>
      <c r="L4" s="2">
        <f>('[1]Pc, Spring, S2'!L4*Main!$B$5)+(_xlfn.IFNA(VLOOKUP($A4,'FL Ratio'!$A$3:$B$10,2,FALSE),0)*'FL Characterization'!L$2)</f>
        <v>69.423477540929127</v>
      </c>
      <c r="M4" s="2">
        <f>('[1]Pc, Spring, S2'!M4*Main!$B$5)+(_xlfn.IFNA(VLOOKUP($A4,'FL Ratio'!$A$3:$B$10,2,FALSE),0)*'FL Characterization'!M$2)</f>
        <v>73.273165863403847</v>
      </c>
      <c r="N4" s="2">
        <f>('[1]Pc, Spring, S2'!N4*Main!$B$5)+(_xlfn.IFNA(VLOOKUP($A4,'FL Ratio'!$A$3:$B$10,2,FALSE),0)*'FL Characterization'!N$2)</f>
        <v>73.948858395485274</v>
      </c>
      <c r="O4" s="2">
        <f>('[1]Pc, Spring, S2'!O4*Main!$B$5)+(_xlfn.IFNA(VLOOKUP($A4,'FL Ratio'!$A$3:$B$10,2,FALSE),0)*'FL Characterization'!O$2)</f>
        <v>73.843023468831163</v>
      </c>
      <c r="P4" s="2">
        <f>('[1]Pc, Spring, S2'!P4*Main!$B$5)+(_xlfn.IFNA(VLOOKUP($A4,'FL Ratio'!$A$3:$B$10,2,FALSE),0)*'FL Characterization'!P$2)</f>
        <v>69.83845556629764</v>
      </c>
      <c r="Q4" s="2">
        <f>('[1]Pc, Spring, S2'!Q4*Main!$B$5)+(_xlfn.IFNA(VLOOKUP($A4,'FL Ratio'!$A$3:$B$10,2,FALSE),0)*'FL Characterization'!Q$2)</f>
        <v>70.535564731631226</v>
      </c>
      <c r="R4" s="2">
        <f>('[1]Pc, Spring, S2'!R4*Main!$B$5)+(_xlfn.IFNA(VLOOKUP($A4,'FL Ratio'!$A$3:$B$10,2,FALSE),0)*'FL Characterization'!R$2)</f>
        <v>69.807979819979352</v>
      </c>
      <c r="S4" s="2">
        <f>('[1]Pc, Spring, S2'!S4*Main!$B$5)+(_xlfn.IFNA(VLOOKUP($A4,'FL Ratio'!$A$3:$B$10,2,FALSE),0)*'FL Characterization'!S$2)</f>
        <v>72.642839731445918</v>
      </c>
      <c r="T4" s="2">
        <f>('[1]Pc, Spring, S2'!T4*Main!$B$5)+(_xlfn.IFNA(VLOOKUP($A4,'FL Ratio'!$A$3:$B$10,2,FALSE),0)*'FL Characterization'!T$2)</f>
        <v>72.093915717527594</v>
      </c>
      <c r="U4" s="2">
        <f>('[1]Pc, Spring, S2'!U4*Main!$B$5)+(_xlfn.IFNA(VLOOKUP($A4,'FL Ratio'!$A$3:$B$10,2,FALSE),0)*'FL Characterization'!U$2)</f>
        <v>70.43388171956947</v>
      </c>
      <c r="V4" s="2">
        <f>('[1]Pc, Spring, S2'!V4*Main!$B$5)+(_xlfn.IFNA(VLOOKUP($A4,'FL Ratio'!$A$3:$B$10,2,FALSE),0)*'FL Characterization'!V$2)</f>
        <v>69.048119996060549</v>
      </c>
      <c r="W4" s="2">
        <f>('[1]Pc, Spring, S2'!W4*Main!$B$5)+(_xlfn.IFNA(VLOOKUP($A4,'FL Ratio'!$A$3:$B$10,2,FALSE),0)*'FL Characterization'!W$2)</f>
        <v>72.031287967223562</v>
      </c>
      <c r="X4" s="2">
        <f>('[1]Pc, Spring, S2'!X4*Main!$B$5)+(_xlfn.IFNA(VLOOKUP($A4,'FL Ratio'!$A$3:$B$10,2,FALSE),0)*'FL Characterization'!X$2)</f>
        <v>67.869673808182</v>
      </c>
      <c r="Y4" s="2">
        <f>('[1]Pc, Spring, S2'!Y4*Main!$B$5)+(_xlfn.IFNA(VLOOKUP($A4,'FL Ratio'!$A$3:$B$10,2,FALSE),0)*'FL Characterization'!Y$2)</f>
        <v>62.334066732147747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5F3B-A6BB-4568-9E99-BFA17EFF7F46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37.832340183284522</v>
      </c>
      <c r="C2" s="2">
        <f>('[1]Pc, Spring, S2'!C2*Main!$B$5)+(_xlfn.IFNA(VLOOKUP($A2,'FL Ratio'!$A$3:$B$10,2,FALSE),0)*'FL Characterization'!C$2)</f>
        <v>33.82196760632398</v>
      </c>
      <c r="D2" s="2">
        <f>('[1]Pc, Spring, S2'!D2*Main!$B$5)+(_xlfn.IFNA(VLOOKUP($A2,'FL Ratio'!$A$3:$B$10,2,FALSE),0)*'FL Characterization'!D$2)</f>
        <v>32.256556444436065</v>
      </c>
      <c r="E2" s="2">
        <f>('[1]Pc, Spring, S2'!E2*Main!$B$5)+(_xlfn.IFNA(VLOOKUP($A2,'FL Ratio'!$A$3:$B$10,2,FALSE),0)*'FL Characterization'!E$2)</f>
        <v>32.182365450657215</v>
      </c>
      <c r="F2" s="2">
        <f>('[1]Pc, Spring, S2'!F2*Main!$B$5)+(_xlfn.IFNA(VLOOKUP($A2,'FL Ratio'!$A$3:$B$10,2,FALSE),0)*'FL Characterization'!F$2)</f>
        <v>31.783995698080489</v>
      </c>
      <c r="G2" s="2">
        <f>('[1]Pc, Spring, S2'!G2*Main!$B$5)+(_xlfn.IFNA(VLOOKUP($A2,'FL Ratio'!$A$3:$B$10,2,FALSE),0)*'FL Characterization'!G$2)</f>
        <v>33.21413730694124</v>
      </c>
      <c r="H2" s="2">
        <f>('[1]Pc, Spring, S2'!H2*Main!$B$5)+(_xlfn.IFNA(VLOOKUP($A2,'FL Ratio'!$A$3:$B$10,2,FALSE),0)*'FL Characterization'!H$2)</f>
        <v>37.35785266507915</v>
      </c>
      <c r="I2" s="2">
        <f>('[1]Pc, Spring, S2'!I2*Main!$B$5)+(_xlfn.IFNA(VLOOKUP($A2,'FL Ratio'!$A$3:$B$10,2,FALSE),0)*'FL Characterization'!I$2)</f>
        <v>46.62669201249777</v>
      </c>
      <c r="J2" s="2">
        <f>('[1]Pc, Spring, S2'!J2*Main!$B$5)+(_xlfn.IFNA(VLOOKUP($A2,'FL Ratio'!$A$3:$B$10,2,FALSE),0)*'FL Characterization'!J$2)</f>
        <v>49.971197439927536</v>
      </c>
      <c r="K2" s="2">
        <f>('[1]Pc, Spring, S2'!K2*Main!$B$5)+(_xlfn.IFNA(VLOOKUP($A2,'FL Ratio'!$A$3:$B$10,2,FALSE),0)*'FL Characterization'!K$2)</f>
        <v>52.3609901833034</v>
      </c>
      <c r="L2" s="2">
        <f>('[1]Pc, Spring, S2'!L2*Main!$B$5)+(_xlfn.IFNA(VLOOKUP($A2,'FL Ratio'!$A$3:$B$10,2,FALSE),0)*'FL Characterization'!L$2)</f>
        <v>54.092236489251505</v>
      </c>
      <c r="M2" s="2">
        <f>('[1]Pc, Spring, S2'!M2*Main!$B$5)+(_xlfn.IFNA(VLOOKUP($A2,'FL Ratio'!$A$3:$B$10,2,FALSE),0)*'FL Characterization'!M$2)</f>
        <v>52.664618276237555</v>
      </c>
      <c r="N2" s="2">
        <f>('[1]Pc, Spring, S2'!N2*Main!$B$5)+(_xlfn.IFNA(VLOOKUP($A2,'FL Ratio'!$A$3:$B$10,2,FALSE),0)*'FL Characterization'!N$2)</f>
        <v>53.496222608520867</v>
      </c>
      <c r="O2" s="2">
        <f>('[1]Pc, Spring, S2'!O2*Main!$B$5)+(_xlfn.IFNA(VLOOKUP($A2,'FL Ratio'!$A$3:$B$10,2,FALSE),0)*'FL Characterization'!O$2)</f>
        <v>54.572608085862321</v>
      </c>
      <c r="P2" s="2">
        <f>('[1]Pc, Spring, S2'!P2*Main!$B$5)+(_xlfn.IFNA(VLOOKUP($A2,'FL Ratio'!$A$3:$B$10,2,FALSE),0)*'FL Characterization'!P$2)</f>
        <v>50.113641352716314</v>
      </c>
      <c r="Q2" s="2">
        <f>('[1]Pc, Spring, S2'!Q2*Main!$B$5)+(_xlfn.IFNA(VLOOKUP($A2,'FL Ratio'!$A$3:$B$10,2,FALSE),0)*'FL Characterization'!Q$2)</f>
        <v>46.241499572328522</v>
      </c>
      <c r="R2" s="2">
        <f>('[1]Pc, Spring, S2'!R2*Main!$B$5)+(_xlfn.IFNA(VLOOKUP($A2,'FL Ratio'!$A$3:$B$10,2,FALSE),0)*'FL Characterization'!R$2)</f>
        <v>47.989375248289292</v>
      </c>
      <c r="S2" s="2">
        <f>('[1]Pc, Spring, S2'!S2*Main!$B$5)+(_xlfn.IFNA(VLOOKUP($A2,'FL Ratio'!$A$3:$B$10,2,FALSE),0)*'FL Characterization'!S$2)</f>
        <v>50.437321120501473</v>
      </c>
      <c r="T2" s="2">
        <f>('[1]Pc, Spring, S2'!T2*Main!$B$5)+(_xlfn.IFNA(VLOOKUP($A2,'FL Ratio'!$A$3:$B$10,2,FALSE),0)*'FL Characterization'!T$2)</f>
        <v>53.454315813059679</v>
      </c>
      <c r="U2" s="2">
        <f>('[1]Pc, Spring, S2'!U2*Main!$B$5)+(_xlfn.IFNA(VLOOKUP($A2,'FL Ratio'!$A$3:$B$10,2,FALSE),0)*'FL Characterization'!U$2)</f>
        <v>52.516974304767807</v>
      </c>
      <c r="V2" s="2">
        <f>('[1]Pc, Spring, S2'!V2*Main!$B$5)+(_xlfn.IFNA(VLOOKUP($A2,'FL Ratio'!$A$3:$B$10,2,FALSE),0)*'FL Characterization'!V$2)</f>
        <v>50.593950605790731</v>
      </c>
      <c r="W2" s="2">
        <f>('[1]Pc, Spring, S2'!W2*Main!$B$5)+(_xlfn.IFNA(VLOOKUP($A2,'FL Ratio'!$A$3:$B$10,2,FALSE),0)*'FL Characterization'!W$2)</f>
        <v>52.434237509914801</v>
      </c>
      <c r="X2" s="2">
        <f>('[1]Pc, Spring, S2'!X2*Main!$B$5)+(_xlfn.IFNA(VLOOKUP($A2,'FL Ratio'!$A$3:$B$10,2,FALSE),0)*'FL Characterization'!X$2)</f>
        <v>43.935616195900351</v>
      </c>
      <c r="Y2" s="2">
        <f>('[1]Pc, Spring, S2'!Y2*Main!$B$5)+(_xlfn.IFNA(VLOOKUP($A2,'FL Ratio'!$A$3:$B$10,2,FALSE),0)*'FL Characterization'!Y$2)</f>
        <v>44.117013036331144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39.405821026083814</v>
      </c>
      <c r="C3" s="2">
        <f>('[1]Pc, Spring, S2'!C3*Main!$B$5)+(_xlfn.IFNA(VLOOKUP($A3,'FL Ratio'!$A$3:$B$10,2,FALSE),0)*'FL Characterization'!C$2)</f>
        <v>38.248589913996781</v>
      </c>
      <c r="D3" s="2">
        <f>('[1]Pc, Spring, S2'!D3*Main!$B$5)+(_xlfn.IFNA(VLOOKUP($A3,'FL Ratio'!$A$3:$B$10,2,FALSE),0)*'FL Characterization'!D$2)</f>
        <v>34.344880490262888</v>
      </c>
      <c r="E3" s="2">
        <f>('[1]Pc, Spring, S2'!E3*Main!$B$5)+(_xlfn.IFNA(VLOOKUP($A3,'FL Ratio'!$A$3:$B$10,2,FALSE),0)*'FL Characterization'!E$2)</f>
        <v>35.39545238665719</v>
      </c>
      <c r="F3" s="2">
        <f>('[1]Pc, Spring, S2'!F3*Main!$B$5)+(_xlfn.IFNA(VLOOKUP($A3,'FL Ratio'!$A$3:$B$10,2,FALSE),0)*'FL Characterization'!F$2)</f>
        <v>33.843029984202325</v>
      </c>
      <c r="G3" s="2">
        <f>('[1]Pc, Spring, S2'!G3*Main!$B$5)+(_xlfn.IFNA(VLOOKUP($A3,'FL Ratio'!$A$3:$B$10,2,FALSE),0)*'FL Characterization'!G$2)</f>
        <v>37.023100565375671</v>
      </c>
      <c r="H3" s="2">
        <f>('[1]Pc, Spring, S2'!H3*Main!$B$5)+(_xlfn.IFNA(VLOOKUP($A3,'FL Ratio'!$A$3:$B$10,2,FALSE),0)*'FL Characterization'!H$2)</f>
        <v>48.117486544375389</v>
      </c>
      <c r="I3" s="2">
        <f>('[1]Pc, Spring, S2'!I3*Main!$B$5)+(_xlfn.IFNA(VLOOKUP($A3,'FL Ratio'!$A$3:$B$10,2,FALSE),0)*'FL Characterization'!I$2)</f>
        <v>54.646936679251098</v>
      </c>
      <c r="J3" s="2">
        <f>('[1]Pc, Spring, S2'!J3*Main!$B$5)+(_xlfn.IFNA(VLOOKUP($A3,'FL Ratio'!$A$3:$B$10,2,FALSE),0)*'FL Characterization'!J$2)</f>
        <v>59.305687617802562</v>
      </c>
      <c r="K3" s="2">
        <f>('[1]Pc, Spring, S2'!K3*Main!$B$5)+(_xlfn.IFNA(VLOOKUP($A3,'FL Ratio'!$A$3:$B$10,2,FALSE),0)*'FL Characterization'!K$2)</f>
        <v>57.781434734298763</v>
      </c>
      <c r="L3" s="2">
        <f>('[1]Pc, Spring, S2'!L3*Main!$B$5)+(_xlfn.IFNA(VLOOKUP($A3,'FL Ratio'!$A$3:$B$10,2,FALSE),0)*'FL Characterization'!L$2)</f>
        <v>54.387989217317489</v>
      </c>
      <c r="M3" s="2">
        <f>('[1]Pc, Spring, S2'!M3*Main!$B$5)+(_xlfn.IFNA(VLOOKUP($A3,'FL Ratio'!$A$3:$B$10,2,FALSE),0)*'FL Characterization'!M$2)</f>
        <v>59.361776241694166</v>
      </c>
      <c r="N3" s="2">
        <f>('[1]Pc, Spring, S2'!N3*Main!$B$5)+(_xlfn.IFNA(VLOOKUP($A3,'FL Ratio'!$A$3:$B$10,2,FALSE),0)*'FL Characterization'!N$2)</f>
        <v>57.314536386395858</v>
      </c>
      <c r="O3" s="2">
        <f>('[1]Pc, Spring, S2'!O3*Main!$B$5)+(_xlfn.IFNA(VLOOKUP($A3,'FL Ratio'!$A$3:$B$10,2,FALSE),0)*'FL Characterization'!O$2)</f>
        <v>55.432079438270456</v>
      </c>
      <c r="P3" s="2">
        <f>('[1]Pc, Spring, S2'!P3*Main!$B$5)+(_xlfn.IFNA(VLOOKUP($A3,'FL Ratio'!$A$3:$B$10,2,FALSE),0)*'FL Characterization'!P$2)</f>
        <v>54.685935094593688</v>
      </c>
      <c r="Q3" s="2">
        <f>('[1]Pc, Spring, S2'!Q3*Main!$B$5)+(_xlfn.IFNA(VLOOKUP($A3,'FL Ratio'!$A$3:$B$10,2,FALSE),0)*'FL Characterization'!Q$2)</f>
        <v>52.503988348101032</v>
      </c>
      <c r="R3" s="2">
        <f>('[1]Pc, Spring, S2'!R3*Main!$B$5)+(_xlfn.IFNA(VLOOKUP($A3,'FL Ratio'!$A$3:$B$10,2,FALSE),0)*'FL Characterization'!R$2)</f>
        <v>48.419381871409051</v>
      </c>
      <c r="S3" s="2">
        <f>('[1]Pc, Spring, S2'!S3*Main!$B$5)+(_xlfn.IFNA(VLOOKUP($A3,'FL Ratio'!$A$3:$B$10,2,FALSE),0)*'FL Characterization'!S$2)</f>
        <v>53.519327235573371</v>
      </c>
      <c r="T3" s="2">
        <f>('[1]Pc, Spring, S2'!T3*Main!$B$5)+(_xlfn.IFNA(VLOOKUP($A3,'FL Ratio'!$A$3:$B$10,2,FALSE),0)*'FL Characterization'!T$2)</f>
        <v>53.252763430703901</v>
      </c>
      <c r="U3" s="2">
        <f>('[1]Pc, Spring, S2'!U3*Main!$B$5)+(_xlfn.IFNA(VLOOKUP($A3,'FL Ratio'!$A$3:$B$10,2,FALSE),0)*'FL Characterization'!U$2)</f>
        <v>51.620316063956629</v>
      </c>
      <c r="V3" s="2">
        <f>('[1]Pc, Spring, S2'!V3*Main!$B$5)+(_xlfn.IFNA(VLOOKUP($A3,'FL Ratio'!$A$3:$B$10,2,FALSE),0)*'FL Characterization'!V$2)</f>
        <v>49.635020830100189</v>
      </c>
      <c r="W3" s="2">
        <f>('[1]Pc, Spring, S2'!W3*Main!$B$5)+(_xlfn.IFNA(VLOOKUP($A3,'FL Ratio'!$A$3:$B$10,2,FALSE),0)*'FL Characterization'!W$2)</f>
        <v>48.620556002955233</v>
      </c>
      <c r="X3" s="2">
        <f>('[1]Pc, Spring, S2'!X3*Main!$B$5)+(_xlfn.IFNA(VLOOKUP($A3,'FL Ratio'!$A$3:$B$10,2,FALSE),0)*'FL Characterization'!X$2)</f>
        <v>46.425747398437373</v>
      </c>
      <c r="Y3" s="2">
        <f>('[1]Pc, Spring, S2'!Y3*Main!$B$5)+(_xlfn.IFNA(VLOOKUP($A3,'FL Ratio'!$A$3:$B$10,2,FALSE),0)*'FL Characterization'!Y$2)</f>
        <v>43.580903898807051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53.702591092384381</v>
      </c>
      <c r="C4" s="2">
        <f>('[1]Pc, Spring, S2'!C4*Main!$B$5)+(_xlfn.IFNA(VLOOKUP($A4,'FL Ratio'!$A$3:$B$10,2,FALSE),0)*'FL Characterization'!C$2)</f>
        <v>47.20241589275841</v>
      </c>
      <c r="D4" s="2">
        <f>('[1]Pc, Spring, S2'!D4*Main!$B$5)+(_xlfn.IFNA(VLOOKUP($A4,'FL Ratio'!$A$3:$B$10,2,FALSE),0)*'FL Characterization'!D$2)</f>
        <v>47.277185970535037</v>
      </c>
      <c r="E4" s="2">
        <f>('[1]Pc, Spring, S2'!E4*Main!$B$5)+(_xlfn.IFNA(VLOOKUP($A4,'FL Ratio'!$A$3:$B$10,2,FALSE),0)*'FL Characterization'!E$2)</f>
        <v>43.595538754009851</v>
      </c>
      <c r="F4" s="2">
        <f>('[1]Pc, Spring, S2'!F4*Main!$B$5)+(_xlfn.IFNA(VLOOKUP($A4,'FL Ratio'!$A$3:$B$10,2,FALSE),0)*'FL Characterization'!F$2)</f>
        <v>45.915986968890536</v>
      </c>
      <c r="G4" s="2">
        <f>('[1]Pc, Spring, S2'!G4*Main!$B$5)+(_xlfn.IFNA(VLOOKUP($A4,'FL Ratio'!$A$3:$B$10,2,FALSE),0)*'FL Characterization'!G$2)</f>
        <v>44.98988608365233</v>
      </c>
      <c r="H4" s="2">
        <f>('[1]Pc, Spring, S2'!H4*Main!$B$5)+(_xlfn.IFNA(VLOOKUP($A4,'FL Ratio'!$A$3:$B$10,2,FALSE),0)*'FL Characterization'!H$2)</f>
        <v>52.684104614749053</v>
      </c>
      <c r="I4" s="2">
        <f>('[1]Pc, Spring, S2'!I4*Main!$B$5)+(_xlfn.IFNA(VLOOKUP($A4,'FL Ratio'!$A$3:$B$10,2,FALSE),0)*'FL Characterization'!I$2)</f>
        <v>56.592121180206505</v>
      </c>
      <c r="J4" s="2">
        <f>('[1]Pc, Spring, S2'!J4*Main!$B$5)+(_xlfn.IFNA(VLOOKUP($A4,'FL Ratio'!$A$3:$B$10,2,FALSE),0)*'FL Characterization'!J$2)</f>
        <v>65.371434907956953</v>
      </c>
      <c r="K4" s="2">
        <f>('[1]Pc, Spring, S2'!K4*Main!$B$5)+(_xlfn.IFNA(VLOOKUP($A4,'FL Ratio'!$A$3:$B$10,2,FALSE),0)*'FL Characterization'!K$2)</f>
        <v>67.21107731437408</v>
      </c>
      <c r="L4" s="2">
        <f>('[1]Pc, Spring, S2'!L4*Main!$B$5)+(_xlfn.IFNA(VLOOKUP($A4,'FL Ratio'!$A$3:$B$10,2,FALSE),0)*'FL Characterization'!L$2)</f>
        <v>69.423477540929127</v>
      </c>
      <c r="M4" s="2">
        <f>('[1]Pc, Spring, S2'!M4*Main!$B$5)+(_xlfn.IFNA(VLOOKUP($A4,'FL Ratio'!$A$3:$B$10,2,FALSE),0)*'FL Characterization'!M$2)</f>
        <v>73.273165863403847</v>
      </c>
      <c r="N4" s="2">
        <f>('[1]Pc, Spring, S2'!N4*Main!$B$5)+(_xlfn.IFNA(VLOOKUP($A4,'FL Ratio'!$A$3:$B$10,2,FALSE),0)*'FL Characterization'!N$2)</f>
        <v>73.948858395485274</v>
      </c>
      <c r="O4" s="2">
        <f>('[1]Pc, Spring, S2'!O4*Main!$B$5)+(_xlfn.IFNA(VLOOKUP($A4,'FL Ratio'!$A$3:$B$10,2,FALSE),0)*'FL Characterization'!O$2)</f>
        <v>73.843023468831163</v>
      </c>
      <c r="P4" s="2">
        <f>('[1]Pc, Spring, S2'!P4*Main!$B$5)+(_xlfn.IFNA(VLOOKUP($A4,'FL Ratio'!$A$3:$B$10,2,FALSE),0)*'FL Characterization'!P$2)</f>
        <v>69.83845556629764</v>
      </c>
      <c r="Q4" s="2">
        <f>('[1]Pc, Spring, S2'!Q4*Main!$B$5)+(_xlfn.IFNA(VLOOKUP($A4,'FL Ratio'!$A$3:$B$10,2,FALSE),0)*'FL Characterization'!Q$2)</f>
        <v>70.535564731631226</v>
      </c>
      <c r="R4" s="2">
        <f>('[1]Pc, Spring, S2'!R4*Main!$B$5)+(_xlfn.IFNA(VLOOKUP($A4,'FL Ratio'!$A$3:$B$10,2,FALSE),0)*'FL Characterization'!R$2)</f>
        <v>69.807979819979352</v>
      </c>
      <c r="S4" s="2">
        <f>('[1]Pc, Spring, S2'!S4*Main!$B$5)+(_xlfn.IFNA(VLOOKUP($A4,'FL Ratio'!$A$3:$B$10,2,FALSE),0)*'FL Characterization'!S$2)</f>
        <v>72.642839731445918</v>
      </c>
      <c r="T4" s="2">
        <f>('[1]Pc, Spring, S2'!T4*Main!$B$5)+(_xlfn.IFNA(VLOOKUP($A4,'FL Ratio'!$A$3:$B$10,2,FALSE),0)*'FL Characterization'!T$2)</f>
        <v>72.093915717527594</v>
      </c>
      <c r="U4" s="2">
        <f>('[1]Pc, Spring, S2'!U4*Main!$B$5)+(_xlfn.IFNA(VLOOKUP($A4,'FL Ratio'!$A$3:$B$10,2,FALSE),0)*'FL Characterization'!U$2)</f>
        <v>70.43388171956947</v>
      </c>
      <c r="V4" s="2">
        <f>('[1]Pc, Spring, S2'!V4*Main!$B$5)+(_xlfn.IFNA(VLOOKUP($A4,'FL Ratio'!$A$3:$B$10,2,FALSE),0)*'FL Characterization'!V$2)</f>
        <v>69.048119996060549</v>
      </c>
      <c r="W4" s="2">
        <f>('[1]Pc, Spring, S2'!W4*Main!$B$5)+(_xlfn.IFNA(VLOOKUP($A4,'FL Ratio'!$A$3:$B$10,2,FALSE),0)*'FL Characterization'!W$2)</f>
        <v>72.031287967223562</v>
      </c>
      <c r="X4" s="2">
        <f>('[1]Pc, Spring, S2'!X4*Main!$B$5)+(_xlfn.IFNA(VLOOKUP($A4,'FL Ratio'!$A$3:$B$10,2,FALSE),0)*'FL Characterization'!X$2)</f>
        <v>67.869673808182</v>
      </c>
      <c r="Y4" s="2">
        <f>('[1]Pc, Spring, S2'!Y4*Main!$B$5)+(_xlfn.IFNA(VLOOKUP($A4,'FL Ratio'!$A$3:$B$10,2,FALSE),0)*'FL Characterization'!Y$2)</f>
        <v>62.334066732147747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4355B-28E7-4651-81FC-2564B66FAF14}">
  <dimension ref="A1:Y28"/>
  <sheetViews>
    <sheetView workbookViewId="0">
      <selection activeCell="E17" sqref="E17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37.832340183284522</v>
      </c>
      <c r="C2" s="2">
        <f>('[1]Pc, Spring, S2'!C2*Main!$B$5)+(_xlfn.IFNA(VLOOKUP($A2,'FL Ratio'!$A$3:$B$10,2,FALSE),0)*'FL Characterization'!C$2)</f>
        <v>33.82196760632398</v>
      </c>
      <c r="D2" s="2">
        <f>('[1]Pc, Spring, S2'!D2*Main!$B$5)+(_xlfn.IFNA(VLOOKUP($A2,'FL Ratio'!$A$3:$B$10,2,FALSE),0)*'FL Characterization'!D$2)</f>
        <v>32.256556444436065</v>
      </c>
      <c r="E2" s="2">
        <f>('[1]Pc, Spring, S2'!E2*Main!$B$5)+(_xlfn.IFNA(VLOOKUP($A2,'FL Ratio'!$A$3:$B$10,2,FALSE),0)*'FL Characterization'!E$2)</f>
        <v>32.182365450657215</v>
      </c>
      <c r="F2" s="2">
        <f>('[1]Pc, Spring, S2'!F2*Main!$B$5)+(_xlfn.IFNA(VLOOKUP($A2,'FL Ratio'!$A$3:$B$10,2,FALSE),0)*'FL Characterization'!F$2)</f>
        <v>31.783995698080489</v>
      </c>
      <c r="G2" s="2">
        <f>('[1]Pc, Spring, S2'!G2*Main!$B$5)+(_xlfn.IFNA(VLOOKUP($A2,'FL Ratio'!$A$3:$B$10,2,FALSE),0)*'FL Characterization'!G$2)</f>
        <v>33.21413730694124</v>
      </c>
      <c r="H2" s="2">
        <f>('[1]Pc, Spring, S2'!H2*Main!$B$5)+(_xlfn.IFNA(VLOOKUP($A2,'FL Ratio'!$A$3:$B$10,2,FALSE),0)*'FL Characterization'!H$2)</f>
        <v>37.35785266507915</v>
      </c>
      <c r="I2" s="2">
        <f>('[1]Pc, Spring, S2'!I2*Main!$B$5)+(_xlfn.IFNA(VLOOKUP($A2,'FL Ratio'!$A$3:$B$10,2,FALSE),0)*'FL Characterization'!I$2)</f>
        <v>46.62669201249777</v>
      </c>
      <c r="J2" s="2">
        <f>('[1]Pc, Spring, S2'!J2*Main!$B$5)+(_xlfn.IFNA(VLOOKUP($A2,'FL Ratio'!$A$3:$B$10,2,FALSE),0)*'FL Characterization'!J$2)</f>
        <v>49.971197439927536</v>
      </c>
      <c r="K2" s="2">
        <f>('[1]Pc, Spring, S2'!K2*Main!$B$5)+(_xlfn.IFNA(VLOOKUP($A2,'FL Ratio'!$A$3:$B$10,2,FALSE),0)*'FL Characterization'!K$2)</f>
        <v>52.3609901833034</v>
      </c>
      <c r="L2" s="2">
        <f>('[1]Pc, Spring, S2'!L2*Main!$B$5)+(_xlfn.IFNA(VLOOKUP($A2,'FL Ratio'!$A$3:$B$10,2,FALSE),0)*'FL Characterization'!L$2)</f>
        <v>54.092236489251505</v>
      </c>
      <c r="M2" s="2">
        <f>('[1]Pc, Spring, S2'!M2*Main!$B$5)+(_xlfn.IFNA(VLOOKUP($A2,'FL Ratio'!$A$3:$B$10,2,FALSE),0)*'FL Characterization'!M$2)</f>
        <v>52.664618276237555</v>
      </c>
      <c r="N2" s="2">
        <f>('[1]Pc, Spring, S2'!N2*Main!$B$5)+(_xlfn.IFNA(VLOOKUP($A2,'FL Ratio'!$A$3:$B$10,2,FALSE),0)*'FL Characterization'!N$2)</f>
        <v>53.496222608520867</v>
      </c>
      <c r="O2" s="2">
        <f>('[1]Pc, Spring, S2'!O2*Main!$B$5)+(_xlfn.IFNA(VLOOKUP($A2,'FL Ratio'!$A$3:$B$10,2,FALSE),0)*'FL Characterization'!O$2)</f>
        <v>54.572608085862321</v>
      </c>
      <c r="P2" s="2">
        <f>('[1]Pc, Spring, S2'!P2*Main!$B$5)+(_xlfn.IFNA(VLOOKUP($A2,'FL Ratio'!$A$3:$B$10,2,FALSE),0)*'FL Characterization'!P$2)</f>
        <v>50.113641352716314</v>
      </c>
      <c r="Q2" s="2">
        <f>('[1]Pc, Spring, S2'!Q2*Main!$B$5)+(_xlfn.IFNA(VLOOKUP($A2,'FL Ratio'!$A$3:$B$10,2,FALSE),0)*'FL Characterization'!Q$2)</f>
        <v>46.241499572328522</v>
      </c>
      <c r="R2" s="2">
        <f>('[1]Pc, Spring, S2'!R2*Main!$B$5)+(_xlfn.IFNA(VLOOKUP($A2,'FL Ratio'!$A$3:$B$10,2,FALSE),0)*'FL Characterization'!R$2)</f>
        <v>47.989375248289292</v>
      </c>
      <c r="S2" s="2">
        <f>('[1]Pc, Spring, S2'!S2*Main!$B$5)+(_xlfn.IFNA(VLOOKUP($A2,'FL Ratio'!$A$3:$B$10,2,FALSE),0)*'FL Characterization'!S$2)</f>
        <v>50.437321120501473</v>
      </c>
      <c r="T2" s="2">
        <f>('[1]Pc, Spring, S2'!T2*Main!$B$5)+(_xlfn.IFNA(VLOOKUP($A2,'FL Ratio'!$A$3:$B$10,2,FALSE),0)*'FL Characterization'!T$2)</f>
        <v>53.454315813059679</v>
      </c>
      <c r="U2" s="2">
        <f>('[1]Pc, Spring, S2'!U2*Main!$B$5)+(_xlfn.IFNA(VLOOKUP($A2,'FL Ratio'!$A$3:$B$10,2,FALSE),0)*'FL Characterization'!U$2)</f>
        <v>52.516974304767807</v>
      </c>
      <c r="V2" s="2">
        <f>('[1]Pc, Spring, S2'!V2*Main!$B$5)+(_xlfn.IFNA(VLOOKUP($A2,'FL Ratio'!$A$3:$B$10,2,FALSE),0)*'FL Characterization'!V$2)</f>
        <v>50.593950605790731</v>
      </c>
      <c r="W2" s="2">
        <f>('[1]Pc, Spring, S2'!W2*Main!$B$5)+(_xlfn.IFNA(VLOOKUP($A2,'FL Ratio'!$A$3:$B$10,2,FALSE),0)*'FL Characterization'!W$2)</f>
        <v>52.434237509914801</v>
      </c>
      <c r="X2" s="2">
        <f>('[1]Pc, Spring, S2'!X2*Main!$B$5)+(_xlfn.IFNA(VLOOKUP($A2,'FL Ratio'!$A$3:$B$10,2,FALSE),0)*'FL Characterization'!X$2)</f>
        <v>43.935616195900351</v>
      </c>
      <c r="Y2" s="2">
        <f>('[1]Pc, Spring, S2'!Y2*Main!$B$5)+(_xlfn.IFNA(VLOOKUP($A2,'FL Ratio'!$A$3:$B$10,2,FALSE),0)*'FL Characterization'!Y$2)</f>
        <v>44.117013036331144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39.405821026083814</v>
      </c>
      <c r="C3" s="2">
        <f>('[1]Pc, Spring, S2'!C3*Main!$B$5)+(_xlfn.IFNA(VLOOKUP($A3,'FL Ratio'!$A$3:$B$10,2,FALSE),0)*'FL Characterization'!C$2)</f>
        <v>38.248589913996781</v>
      </c>
      <c r="D3" s="2">
        <f>('[1]Pc, Spring, S2'!D3*Main!$B$5)+(_xlfn.IFNA(VLOOKUP($A3,'FL Ratio'!$A$3:$B$10,2,FALSE),0)*'FL Characterization'!D$2)</f>
        <v>34.344880490262888</v>
      </c>
      <c r="E3" s="2">
        <f>('[1]Pc, Spring, S2'!E3*Main!$B$5)+(_xlfn.IFNA(VLOOKUP($A3,'FL Ratio'!$A$3:$B$10,2,FALSE),0)*'FL Characterization'!E$2)</f>
        <v>35.39545238665719</v>
      </c>
      <c r="F3" s="2">
        <f>('[1]Pc, Spring, S2'!F3*Main!$B$5)+(_xlfn.IFNA(VLOOKUP($A3,'FL Ratio'!$A$3:$B$10,2,FALSE),0)*'FL Characterization'!F$2)</f>
        <v>33.843029984202325</v>
      </c>
      <c r="G3" s="2">
        <f>('[1]Pc, Spring, S2'!G3*Main!$B$5)+(_xlfn.IFNA(VLOOKUP($A3,'FL Ratio'!$A$3:$B$10,2,FALSE),0)*'FL Characterization'!G$2)</f>
        <v>37.023100565375671</v>
      </c>
      <c r="H3" s="2">
        <f>('[1]Pc, Spring, S2'!H3*Main!$B$5)+(_xlfn.IFNA(VLOOKUP($A3,'FL Ratio'!$A$3:$B$10,2,FALSE),0)*'FL Characterization'!H$2)</f>
        <v>48.117486544375389</v>
      </c>
      <c r="I3" s="2">
        <f>('[1]Pc, Spring, S2'!I3*Main!$B$5)+(_xlfn.IFNA(VLOOKUP($A3,'FL Ratio'!$A$3:$B$10,2,FALSE),0)*'FL Characterization'!I$2)</f>
        <v>54.646936679251098</v>
      </c>
      <c r="J3" s="2">
        <f>('[1]Pc, Spring, S2'!J3*Main!$B$5)+(_xlfn.IFNA(VLOOKUP($A3,'FL Ratio'!$A$3:$B$10,2,FALSE),0)*'FL Characterization'!J$2)</f>
        <v>59.305687617802562</v>
      </c>
      <c r="K3" s="2">
        <f>('[1]Pc, Spring, S2'!K3*Main!$B$5)+(_xlfn.IFNA(VLOOKUP($A3,'FL Ratio'!$A$3:$B$10,2,FALSE),0)*'FL Characterization'!K$2)</f>
        <v>57.781434734298763</v>
      </c>
      <c r="L3" s="2">
        <f>('[1]Pc, Spring, S2'!L3*Main!$B$5)+(_xlfn.IFNA(VLOOKUP($A3,'FL Ratio'!$A$3:$B$10,2,FALSE),0)*'FL Characterization'!L$2)</f>
        <v>54.387989217317489</v>
      </c>
      <c r="M3" s="2">
        <f>('[1]Pc, Spring, S2'!M3*Main!$B$5)+(_xlfn.IFNA(VLOOKUP($A3,'FL Ratio'!$A$3:$B$10,2,FALSE),0)*'FL Characterization'!M$2)</f>
        <v>59.361776241694166</v>
      </c>
      <c r="N3" s="2">
        <f>('[1]Pc, Spring, S2'!N3*Main!$B$5)+(_xlfn.IFNA(VLOOKUP($A3,'FL Ratio'!$A$3:$B$10,2,FALSE),0)*'FL Characterization'!N$2)</f>
        <v>57.314536386395858</v>
      </c>
      <c r="O3" s="2">
        <f>('[1]Pc, Spring, S2'!O3*Main!$B$5)+(_xlfn.IFNA(VLOOKUP($A3,'FL Ratio'!$A$3:$B$10,2,FALSE),0)*'FL Characterization'!O$2)</f>
        <v>55.432079438270456</v>
      </c>
      <c r="P3" s="2">
        <f>('[1]Pc, Spring, S2'!P3*Main!$B$5)+(_xlfn.IFNA(VLOOKUP($A3,'FL Ratio'!$A$3:$B$10,2,FALSE),0)*'FL Characterization'!P$2)</f>
        <v>54.685935094593688</v>
      </c>
      <c r="Q3" s="2">
        <f>('[1]Pc, Spring, S2'!Q3*Main!$B$5)+(_xlfn.IFNA(VLOOKUP($A3,'FL Ratio'!$A$3:$B$10,2,FALSE),0)*'FL Characterization'!Q$2)</f>
        <v>52.503988348101032</v>
      </c>
      <c r="R3" s="2">
        <f>('[1]Pc, Spring, S2'!R3*Main!$B$5)+(_xlfn.IFNA(VLOOKUP($A3,'FL Ratio'!$A$3:$B$10,2,FALSE),0)*'FL Characterization'!R$2)</f>
        <v>48.419381871409051</v>
      </c>
      <c r="S3" s="2">
        <f>('[1]Pc, Spring, S2'!S3*Main!$B$5)+(_xlfn.IFNA(VLOOKUP($A3,'FL Ratio'!$A$3:$B$10,2,FALSE),0)*'FL Characterization'!S$2)</f>
        <v>53.519327235573371</v>
      </c>
      <c r="T3" s="2">
        <f>('[1]Pc, Spring, S2'!T3*Main!$B$5)+(_xlfn.IFNA(VLOOKUP($A3,'FL Ratio'!$A$3:$B$10,2,FALSE),0)*'FL Characterization'!T$2)</f>
        <v>53.252763430703901</v>
      </c>
      <c r="U3" s="2">
        <f>('[1]Pc, Spring, S2'!U3*Main!$B$5)+(_xlfn.IFNA(VLOOKUP($A3,'FL Ratio'!$A$3:$B$10,2,FALSE),0)*'FL Characterization'!U$2)</f>
        <v>51.620316063956629</v>
      </c>
      <c r="V3" s="2">
        <f>('[1]Pc, Spring, S2'!V3*Main!$B$5)+(_xlfn.IFNA(VLOOKUP($A3,'FL Ratio'!$A$3:$B$10,2,FALSE),0)*'FL Characterization'!V$2)</f>
        <v>49.635020830100189</v>
      </c>
      <c r="W3" s="2">
        <f>('[1]Pc, Spring, S2'!W3*Main!$B$5)+(_xlfn.IFNA(VLOOKUP($A3,'FL Ratio'!$A$3:$B$10,2,FALSE),0)*'FL Characterization'!W$2)</f>
        <v>48.620556002955233</v>
      </c>
      <c r="X3" s="2">
        <f>('[1]Pc, Spring, S2'!X3*Main!$B$5)+(_xlfn.IFNA(VLOOKUP($A3,'FL Ratio'!$A$3:$B$10,2,FALSE),0)*'FL Characterization'!X$2)</f>
        <v>46.425747398437373</v>
      </c>
      <c r="Y3" s="2">
        <f>('[1]Pc, Spring, S2'!Y3*Main!$B$5)+(_xlfn.IFNA(VLOOKUP($A3,'FL Ratio'!$A$3:$B$10,2,FALSE),0)*'FL Characterization'!Y$2)</f>
        <v>43.580903898807051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53.702591092384381</v>
      </c>
      <c r="C4" s="2">
        <f>('[1]Pc, Spring, S2'!C4*Main!$B$5)+(_xlfn.IFNA(VLOOKUP($A4,'FL Ratio'!$A$3:$B$10,2,FALSE),0)*'FL Characterization'!C$2)</f>
        <v>47.20241589275841</v>
      </c>
      <c r="D4" s="2">
        <f>('[1]Pc, Spring, S2'!D4*Main!$B$5)+(_xlfn.IFNA(VLOOKUP($A4,'FL Ratio'!$A$3:$B$10,2,FALSE),0)*'FL Characterization'!D$2)</f>
        <v>47.277185970535037</v>
      </c>
      <c r="E4" s="2">
        <f>('[1]Pc, Spring, S2'!E4*Main!$B$5)+(_xlfn.IFNA(VLOOKUP($A4,'FL Ratio'!$A$3:$B$10,2,FALSE),0)*'FL Characterization'!E$2)</f>
        <v>43.595538754009851</v>
      </c>
      <c r="F4" s="2">
        <f>('[1]Pc, Spring, S2'!F4*Main!$B$5)+(_xlfn.IFNA(VLOOKUP($A4,'FL Ratio'!$A$3:$B$10,2,FALSE),0)*'FL Characterization'!F$2)</f>
        <v>45.915986968890536</v>
      </c>
      <c r="G4" s="2">
        <f>('[1]Pc, Spring, S2'!G4*Main!$B$5)+(_xlfn.IFNA(VLOOKUP($A4,'FL Ratio'!$A$3:$B$10,2,FALSE),0)*'FL Characterization'!G$2)</f>
        <v>44.98988608365233</v>
      </c>
      <c r="H4" s="2">
        <f>('[1]Pc, Spring, S2'!H4*Main!$B$5)+(_xlfn.IFNA(VLOOKUP($A4,'FL Ratio'!$A$3:$B$10,2,FALSE),0)*'FL Characterization'!H$2)</f>
        <v>52.684104614749053</v>
      </c>
      <c r="I4" s="2">
        <f>('[1]Pc, Spring, S2'!I4*Main!$B$5)+(_xlfn.IFNA(VLOOKUP($A4,'FL Ratio'!$A$3:$B$10,2,FALSE),0)*'FL Characterization'!I$2)</f>
        <v>56.592121180206505</v>
      </c>
      <c r="J4" s="2">
        <f>('[1]Pc, Spring, S2'!J4*Main!$B$5)+(_xlfn.IFNA(VLOOKUP($A4,'FL Ratio'!$A$3:$B$10,2,FALSE),0)*'FL Characterization'!J$2)</f>
        <v>65.371434907956953</v>
      </c>
      <c r="K4" s="2">
        <f>('[1]Pc, Spring, S2'!K4*Main!$B$5)+(_xlfn.IFNA(VLOOKUP($A4,'FL Ratio'!$A$3:$B$10,2,FALSE),0)*'FL Characterization'!K$2)</f>
        <v>67.21107731437408</v>
      </c>
      <c r="L4" s="2">
        <f>('[1]Pc, Spring, S2'!L4*Main!$B$5)+(_xlfn.IFNA(VLOOKUP($A4,'FL Ratio'!$A$3:$B$10,2,FALSE),0)*'FL Characterization'!L$2)</f>
        <v>69.423477540929127</v>
      </c>
      <c r="M4" s="2">
        <f>('[1]Pc, Spring, S2'!M4*Main!$B$5)+(_xlfn.IFNA(VLOOKUP($A4,'FL Ratio'!$A$3:$B$10,2,FALSE),0)*'FL Characterization'!M$2)</f>
        <v>73.273165863403847</v>
      </c>
      <c r="N4" s="2">
        <f>('[1]Pc, Spring, S2'!N4*Main!$B$5)+(_xlfn.IFNA(VLOOKUP($A4,'FL Ratio'!$A$3:$B$10,2,FALSE),0)*'FL Characterization'!N$2)</f>
        <v>73.948858395485274</v>
      </c>
      <c r="O4" s="2">
        <f>('[1]Pc, Spring, S2'!O4*Main!$B$5)+(_xlfn.IFNA(VLOOKUP($A4,'FL Ratio'!$A$3:$B$10,2,FALSE),0)*'FL Characterization'!O$2)</f>
        <v>73.843023468831163</v>
      </c>
      <c r="P4" s="2">
        <f>('[1]Pc, Spring, S2'!P4*Main!$B$5)+(_xlfn.IFNA(VLOOKUP($A4,'FL Ratio'!$A$3:$B$10,2,FALSE),0)*'FL Characterization'!P$2)</f>
        <v>69.83845556629764</v>
      </c>
      <c r="Q4" s="2">
        <f>('[1]Pc, Spring, S2'!Q4*Main!$B$5)+(_xlfn.IFNA(VLOOKUP($A4,'FL Ratio'!$A$3:$B$10,2,FALSE),0)*'FL Characterization'!Q$2)</f>
        <v>70.535564731631226</v>
      </c>
      <c r="R4" s="2">
        <f>('[1]Pc, Spring, S2'!R4*Main!$B$5)+(_xlfn.IFNA(VLOOKUP($A4,'FL Ratio'!$A$3:$B$10,2,FALSE),0)*'FL Characterization'!R$2)</f>
        <v>69.807979819979352</v>
      </c>
      <c r="S4" s="2">
        <f>('[1]Pc, Spring, S2'!S4*Main!$B$5)+(_xlfn.IFNA(VLOOKUP($A4,'FL Ratio'!$A$3:$B$10,2,FALSE),0)*'FL Characterization'!S$2)</f>
        <v>72.642839731445918</v>
      </c>
      <c r="T4" s="2">
        <f>('[1]Pc, Spring, S2'!T4*Main!$B$5)+(_xlfn.IFNA(VLOOKUP($A4,'FL Ratio'!$A$3:$B$10,2,FALSE),0)*'FL Characterization'!T$2)</f>
        <v>72.093915717527594</v>
      </c>
      <c r="U4" s="2">
        <f>('[1]Pc, Spring, S2'!U4*Main!$B$5)+(_xlfn.IFNA(VLOOKUP($A4,'FL Ratio'!$A$3:$B$10,2,FALSE),0)*'FL Characterization'!U$2)</f>
        <v>70.43388171956947</v>
      </c>
      <c r="V4" s="2">
        <f>('[1]Pc, Spring, S2'!V4*Main!$B$5)+(_xlfn.IFNA(VLOOKUP($A4,'FL Ratio'!$A$3:$B$10,2,FALSE),0)*'FL Characterization'!V$2)</f>
        <v>69.048119996060549</v>
      </c>
      <c r="W4" s="2">
        <f>('[1]Pc, Spring, S2'!W4*Main!$B$5)+(_xlfn.IFNA(VLOOKUP($A4,'FL Ratio'!$A$3:$B$10,2,FALSE),0)*'FL Characterization'!W$2)</f>
        <v>72.031287967223562</v>
      </c>
      <c r="X4" s="2">
        <f>('[1]Pc, Spring, S2'!X4*Main!$B$5)+(_xlfn.IFNA(VLOOKUP($A4,'FL Ratio'!$A$3:$B$10,2,FALSE),0)*'FL Characterization'!X$2)</f>
        <v>67.869673808182</v>
      </c>
      <c r="Y4" s="2">
        <f>('[1]Pc, Spring, S2'!Y4*Main!$B$5)+(_xlfn.IFNA(VLOOKUP($A4,'FL Ratio'!$A$3:$B$10,2,FALSE),0)*'FL Characterization'!Y$2)</f>
        <v>62.334066732147747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C3171-7D56-4100-BF8F-9607196E6BB9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35.995818815163915</v>
      </c>
      <c r="C2" s="2">
        <f>('[1]Pc, Spring, S3'!C2*Main!$B$5)+(_xlfn.IFNA(VLOOKUP($A2,'FL Ratio'!$A$3:$B$10,2,FALSE),0)*'FL Characterization'!C$2)</f>
        <v>32.180124518638344</v>
      </c>
      <c r="D2" s="2">
        <f>('[1]Pc, Spring, S3'!D2*Main!$B$5)+(_xlfn.IFNA(VLOOKUP($A2,'FL Ratio'!$A$3:$B$10,2,FALSE),0)*'FL Characterization'!D$2)</f>
        <v>30.690704189851793</v>
      </c>
      <c r="E2" s="2">
        <f>('[1]Pc, Spring, S3'!E2*Main!$B$5)+(_xlfn.IFNA(VLOOKUP($A2,'FL Ratio'!$A$3:$B$10,2,FALSE),0)*'FL Characterization'!E$2)</f>
        <v>30.620114700625308</v>
      </c>
      <c r="F2" s="2">
        <f>('[1]Pc, Spring, S3'!F2*Main!$B$5)+(_xlfn.IFNA(VLOOKUP($A2,'FL Ratio'!$A$3:$B$10,2,FALSE),0)*'FL Characterization'!F$2)</f>
        <v>30.2410832855523</v>
      </c>
      <c r="G2" s="2">
        <f>('[1]Pc, Spring, S3'!G2*Main!$B$5)+(_xlfn.IFNA(VLOOKUP($A2,'FL Ratio'!$A$3:$B$10,2,FALSE),0)*'FL Characterization'!G$2)</f>
        <v>31.601800544468365</v>
      </c>
      <c r="H2" s="2">
        <f>('[1]Pc, Spring, S3'!H2*Main!$B$5)+(_xlfn.IFNA(VLOOKUP($A2,'FL Ratio'!$A$3:$B$10,2,FALSE),0)*'FL Characterization'!H$2)</f>
        <v>35.544364671628706</v>
      </c>
      <c r="I2" s="2">
        <f>('[1]Pc, Spring, S3'!I2*Main!$B$5)+(_xlfn.IFNA(VLOOKUP($A2,'FL Ratio'!$A$3:$B$10,2,FALSE),0)*'FL Characterization'!I$2)</f>
        <v>44.363260361405636</v>
      </c>
      <c r="J2" s="2">
        <f>('[1]Pc, Spring, S3'!J2*Main!$B$5)+(_xlfn.IFNA(VLOOKUP($A2,'FL Ratio'!$A$3:$B$10,2,FALSE),0)*'FL Characterization'!J$2)</f>
        <v>47.545411156435904</v>
      </c>
      <c r="K2" s="2">
        <f>('[1]Pc, Spring, S3'!K2*Main!$B$5)+(_xlfn.IFNA(VLOOKUP($A2,'FL Ratio'!$A$3:$B$10,2,FALSE),0)*'FL Characterization'!K$2)</f>
        <v>49.819194543337218</v>
      </c>
      <c r="L2" s="2">
        <f>('[1]Pc, Spring, S3'!L2*Main!$B$5)+(_xlfn.IFNA(VLOOKUP($A2,'FL Ratio'!$A$3:$B$10,2,FALSE),0)*'FL Characterization'!L$2)</f>
        <v>51.466399766472307</v>
      </c>
      <c r="M2" s="2">
        <f>('[1]Pc, Spring, S3'!M2*Main!$B$5)+(_xlfn.IFNA(VLOOKUP($A2,'FL Ratio'!$A$3:$B$10,2,FALSE),0)*'FL Characterization'!M$2)</f>
        <v>50.108083408459038</v>
      </c>
      <c r="N2" s="2">
        <f>('[1]Pc, Spring, S3'!N2*Main!$B$5)+(_xlfn.IFNA(VLOOKUP($A2,'FL Ratio'!$A$3:$B$10,2,FALSE),0)*'FL Characterization'!N$2)</f>
        <v>50.899318598398494</v>
      </c>
      <c r="O2" s="2">
        <f>('[1]Pc, Spring, S3'!O2*Main!$B$5)+(_xlfn.IFNA(VLOOKUP($A2,'FL Ratio'!$A$3:$B$10,2,FALSE),0)*'FL Characterization'!O$2)</f>
        <v>51.923452353538899</v>
      </c>
      <c r="P2" s="2">
        <f>('[1]Pc, Spring, S3'!P2*Main!$B$5)+(_xlfn.IFNA(VLOOKUP($A2,'FL Ratio'!$A$3:$B$10,2,FALSE),0)*'FL Characterization'!P$2)</f>
        <v>47.680940316176688</v>
      </c>
      <c r="Q2" s="2">
        <f>('[1]Pc, Spring, S3'!Q2*Main!$B$5)+(_xlfn.IFNA(VLOOKUP($A2,'FL Ratio'!$A$3:$B$10,2,FALSE),0)*'FL Characterization'!Q$2)</f>
        <v>43.996766583380534</v>
      </c>
      <c r="R2" s="2">
        <f>('[1]Pc, Spring, S3'!R2*Main!$B$5)+(_xlfn.IFNA(VLOOKUP($A2,'FL Ratio'!$A$3:$B$10,2,FALSE),0)*'FL Characterization'!R$2)</f>
        <v>45.659793925556805</v>
      </c>
      <c r="S2" s="2">
        <f>('[1]Pc, Spring, S3'!S2*Main!$B$5)+(_xlfn.IFNA(VLOOKUP($A2,'FL Ratio'!$A$3:$B$10,2,FALSE),0)*'FL Characterization'!S$2)</f>
        <v>47.98890747387518</v>
      </c>
      <c r="T2" s="2">
        <f>('[1]Pc, Spring, S3'!T2*Main!$B$5)+(_xlfn.IFNA(VLOOKUP($A2,'FL Ratio'!$A$3:$B$10,2,FALSE),0)*'FL Characterization'!T$2)</f>
        <v>50.859446113396579</v>
      </c>
      <c r="U2" s="2">
        <f>('[1]Pc, Spring, S3'!U2*Main!$B$5)+(_xlfn.IFNA(VLOOKUP($A2,'FL Ratio'!$A$3:$B$10,2,FALSE),0)*'FL Characterization'!U$2)</f>
        <v>49.967606620070342</v>
      </c>
      <c r="V2" s="2">
        <f>('[1]Pc, Spring, S3'!V2*Main!$B$5)+(_xlfn.IFNA(VLOOKUP($A2,'FL Ratio'!$A$3:$B$10,2,FALSE),0)*'FL Characterization'!V$2)</f>
        <v>48.137933586092153</v>
      </c>
      <c r="W2" s="2">
        <f>('[1]Pc, Spring, S3'!W2*Main!$B$5)+(_xlfn.IFNA(VLOOKUP($A2,'FL Ratio'!$A$3:$B$10,2,FALSE),0)*'FL Characterization'!W$2)</f>
        <v>49.888886174482046</v>
      </c>
      <c r="X2" s="2">
        <f>('[1]Pc, Spring, S3'!X2*Main!$B$5)+(_xlfn.IFNA(VLOOKUP($A2,'FL Ratio'!$A$3:$B$10,2,FALSE),0)*'FL Characterization'!X$2)</f>
        <v>41.802819293186737</v>
      </c>
      <c r="Y2" s="2">
        <f>('[1]Pc, Spring, S3'!Y2*Main!$B$5)+(_xlfn.IFNA(VLOOKUP($A2,'FL Ratio'!$A$3:$B$10,2,FALSE),0)*'FL Characterization'!Y$2)</f>
        <v>41.975410461751956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37.626533536366473</v>
      </c>
      <c r="C3" s="2">
        <f>('[1]Pc, Spring, S3'!C3*Main!$B$5)+(_xlfn.IFNA(VLOOKUP($A3,'FL Ratio'!$A$3:$B$10,2,FALSE),0)*'FL Characterization'!C$2)</f>
        <v>36.529935834633378</v>
      </c>
      <c r="D3" s="2">
        <f>('[1]Pc, Spring, S3'!D3*Main!$B$5)+(_xlfn.IFNA(VLOOKUP($A3,'FL Ratio'!$A$3:$B$10,2,FALSE),0)*'FL Characterization'!D$2)</f>
        <v>32.801290074197105</v>
      </c>
      <c r="E3" s="2">
        <f>('[1]Pc, Spring, S3'!E3*Main!$B$5)+(_xlfn.IFNA(VLOOKUP($A3,'FL Ratio'!$A$3:$B$10,2,FALSE),0)*'FL Characterization'!E$2)</f>
        <v>33.794416784437509</v>
      </c>
      <c r="F3" s="2">
        <f>('[1]Pc, Spring, S3'!F3*Main!$B$5)+(_xlfn.IFNA(VLOOKUP($A3,'FL Ratio'!$A$3:$B$10,2,FALSE),0)*'FL Characterization'!F$2)</f>
        <v>32.296177829051146</v>
      </c>
      <c r="G3" s="2">
        <f>('[1]Pc, Spring, S3'!G3*Main!$B$5)+(_xlfn.IFNA(VLOOKUP($A3,'FL Ratio'!$A$3:$B$10,2,FALSE),0)*'FL Characterization'!G$2)</f>
        <v>35.307352289110355</v>
      </c>
      <c r="H3" s="2">
        <f>('[1]Pc, Spring, S3'!H3*Main!$B$5)+(_xlfn.IFNA(VLOOKUP($A3,'FL Ratio'!$A$3:$B$10,2,FALSE),0)*'FL Characterization'!H$2)</f>
        <v>45.88134141653093</v>
      </c>
      <c r="I3" s="2">
        <f>('[1]Pc, Spring, S3'!I3*Main!$B$5)+(_xlfn.IFNA(VLOOKUP($A3,'FL Ratio'!$A$3:$B$10,2,FALSE),0)*'FL Characterization'!I$2)</f>
        <v>52.011479522052923</v>
      </c>
      <c r="J3" s="2">
        <f>('[1]Pc, Spring, S3'!J3*Main!$B$5)+(_xlfn.IFNA(VLOOKUP($A3,'FL Ratio'!$A$3:$B$10,2,FALSE),0)*'FL Characterization'!J$2)</f>
        <v>56.441990255073094</v>
      </c>
      <c r="K3" s="2">
        <f>('[1]Pc, Spring, S3'!K3*Main!$B$5)+(_xlfn.IFNA(VLOOKUP($A3,'FL Ratio'!$A$3:$B$10,2,FALSE),0)*'FL Characterization'!K$2)</f>
        <v>54.998698592235705</v>
      </c>
      <c r="L3" s="2">
        <f>('[1]Pc, Spring, S3'!L3*Main!$B$5)+(_xlfn.IFNA(VLOOKUP($A3,'FL Ratio'!$A$3:$B$10,2,FALSE),0)*'FL Characterization'!L$2)</f>
        <v>51.760862604083691</v>
      </c>
      <c r="M3" s="2">
        <f>('[1]Pc, Spring, S3'!M3*Main!$B$5)+(_xlfn.IFNA(VLOOKUP($A3,'FL Ratio'!$A$3:$B$10,2,FALSE),0)*'FL Characterization'!M$2)</f>
        <v>56.496464980386349</v>
      </c>
      <c r="N3" s="2">
        <f>('[1]Pc, Spring, S3'!N3*Main!$B$5)+(_xlfn.IFNA(VLOOKUP($A3,'FL Ratio'!$A$3:$B$10,2,FALSE),0)*'FL Characterization'!N$2)</f>
        <v>54.558291832817773</v>
      </c>
      <c r="O3" s="2">
        <f>('[1]Pc, Spring, S3'!O3*Main!$B$5)+(_xlfn.IFNA(VLOOKUP($A3,'FL Ratio'!$A$3:$B$10,2,FALSE),0)*'FL Characterization'!O$2)</f>
        <v>52.789132387107628</v>
      </c>
      <c r="P3" s="2">
        <f>('[1]Pc, Spring, S3'!P3*Main!$B$5)+(_xlfn.IFNA(VLOOKUP($A3,'FL Ratio'!$A$3:$B$10,2,FALSE),0)*'FL Characterization'!P$2)</f>
        <v>52.082415611221862</v>
      </c>
      <c r="Q3" s="2">
        <f>('[1]Pc, Spring, S3'!Q3*Main!$B$5)+(_xlfn.IFNA(VLOOKUP($A3,'FL Ratio'!$A$3:$B$10,2,FALSE),0)*'FL Characterization'!Q$2)</f>
        <v>50.005540665468963</v>
      </c>
      <c r="R3" s="2">
        <f>('[1]Pc, Spring, S3'!R3*Main!$B$5)+(_xlfn.IFNA(VLOOKUP($A3,'FL Ratio'!$A$3:$B$10,2,FALSE),0)*'FL Characterization'!R$2)</f>
        <v>46.09713689321196</v>
      </c>
      <c r="S3" s="2">
        <f>('[1]Pc, Spring, S3'!S3*Main!$B$5)+(_xlfn.IFNA(VLOOKUP($A3,'FL Ratio'!$A$3:$B$10,2,FALSE),0)*'FL Characterization'!S$2)</f>
        <v>50.978766170195755</v>
      </c>
      <c r="T3" s="2">
        <f>('[1]Pc, Spring, S3'!T3*Main!$B$5)+(_xlfn.IFNA(VLOOKUP($A3,'FL Ratio'!$A$3:$B$10,2,FALSE),0)*'FL Characterization'!T$2)</f>
        <v>50.70139991725695</v>
      </c>
      <c r="U3" s="2">
        <f>('[1]Pc, Spring, S3'!U3*Main!$B$5)+(_xlfn.IFNA(VLOOKUP($A3,'FL Ratio'!$A$3:$B$10,2,FALSE),0)*'FL Characterization'!U$2)</f>
        <v>49.138185303684814</v>
      </c>
      <c r="V3" s="2">
        <f>('[1]Pc, Spring, S3'!V3*Main!$B$5)+(_xlfn.IFNA(VLOOKUP($A3,'FL Ratio'!$A$3:$B$10,2,FALSE),0)*'FL Characterization'!V$2)</f>
        <v>47.261558816286247</v>
      </c>
      <c r="W3" s="2">
        <f>('[1]Pc, Spring, S3'!W3*Main!$B$5)+(_xlfn.IFNA(VLOOKUP($A3,'FL Ratio'!$A$3:$B$10,2,FALSE),0)*'FL Characterization'!W$2)</f>
        <v>46.282587938407929</v>
      </c>
      <c r="X3" s="2">
        <f>('[1]Pc, Spring, S3'!X3*Main!$B$5)+(_xlfn.IFNA(VLOOKUP($A3,'FL Ratio'!$A$3:$B$10,2,FALSE),0)*'FL Characterization'!X$2)</f>
        <v>44.273638840174549</v>
      </c>
      <c r="Y3" s="2">
        <f>('[1]Pc, Spring, S3'!Y3*Main!$B$5)+(_xlfn.IFNA(VLOOKUP($A3,'FL Ratio'!$A$3:$B$10,2,FALSE),0)*'FL Characterization'!Y$2)</f>
        <v>41.587767013047269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51.229285638283507</v>
      </c>
      <c r="C4" s="2">
        <f>('[1]Pc, Spring, S3'!C4*Main!$B$5)+(_xlfn.IFNA(VLOOKUP($A4,'FL Ratio'!$A$3:$B$10,2,FALSE),0)*'FL Characterization'!C$2)</f>
        <v>45.049110066853189</v>
      </c>
      <c r="D4" s="2">
        <f>('[1]Pc, Spring, S3'!D4*Main!$B$5)+(_xlfn.IFNA(VLOOKUP($A4,'FL Ratio'!$A$3:$B$10,2,FALSE),0)*'FL Characterization'!D$2)</f>
        <v>45.105813735038559</v>
      </c>
      <c r="E4" s="2">
        <f>('[1]Pc, Spring, S3'!E4*Main!$B$5)+(_xlfn.IFNA(VLOOKUP($A4,'FL Ratio'!$A$3:$B$10,2,FALSE),0)*'FL Characterization'!E$2)</f>
        <v>41.596440706773052</v>
      </c>
      <c r="F4" s="2">
        <f>('[1]Pc, Spring, S3'!F4*Main!$B$5)+(_xlfn.IFNA(VLOOKUP($A4,'FL Ratio'!$A$3:$B$10,2,FALSE),0)*'FL Characterization'!F$2)</f>
        <v>43.783068940696232</v>
      </c>
      <c r="G4" s="2">
        <f>('[1]Pc, Spring, S3'!G4*Main!$B$5)+(_xlfn.IFNA(VLOOKUP($A4,'FL Ratio'!$A$3:$B$10,2,FALSE),0)*'FL Characterization'!G$2)</f>
        <v>42.887400646305629</v>
      </c>
      <c r="H4" s="2">
        <f>('[1]Pc, Spring, S3'!H4*Main!$B$5)+(_xlfn.IFNA(VLOOKUP($A4,'FL Ratio'!$A$3:$B$10,2,FALSE),0)*'FL Characterization'!H$2)</f>
        <v>50.226278998051505</v>
      </c>
      <c r="I4" s="2">
        <f>('[1]Pc, Spring, S3'!I4*Main!$B$5)+(_xlfn.IFNA(VLOOKUP($A4,'FL Ratio'!$A$3:$B$10,2,FALSE),0)*'FL Characterization'!I$2)</f>
        <v>53.862237590923108</v>
      </c>
      <c r="J4" s="2">
        <f>('[1]Pc, Spring, S3'!J4*Main!$B$5)+(_xlfn.IFNA(VLOOKUP($A4,'FL Ratio'!$A$3:$B$10,2,FALSE),0)*'FL Characterization'!J$2)</f>
        <v>62.213283793278237</v>
      </c>
      <c r="K4" s="2">
        <f>('[1]Pc, Spring, S3'!K4*Main!$B$5)+(_xlfn.IFNA(VLOOKUP($A4,'FL Ratio'!$A$3:$B$10,2,FALSE),0)*'FL Characterization'!K$2)</f>
        <v>63.970591532501537</v>
      </c>
      <c r="L4" s="2">
        <f>('[1]Pc, Spring, S3'!L4*Main!$B$5)+(_xlfn.IFNA(VLOOKUP($A4,'FL Ratio'!$A$3:$B$10,2,FALSE),0)*'FL Characterization'!L$2)</f>
        <v>66.0664728537336</v>
      </c>
      <c r="M4" s="2">
        <f>('[1]Pc, Spring, S3'!M4*Main!$B$5)+(_xlfn.IFNA(VLOOKUP($A4,'FL Ratio'!$A$3:$B$10,2,FALSE),0)*'FL Characterization'!M$2)</f>
        <v>69.732544426284875</v>
      </c>
      <c r="N4" s="2">
        <f>('[1]Pc, Spring, S3'!N4*Main!$B$5)+(_xlfn.IFNA(VLOOKUP($A4,'FL Ratio'!$A$3:$B$10,2,FALSE),0)*'FL Characterization'!N$2)</f>
        <v>70.38512248224265</v>
      </c>
      <c r="O4" s="2">
        <f>('[1]Pc, Spring, S3'!O4*Main!$B$5)+(_xlfn.IFNA(VLOOKUP($A4,'FL Ratio'!$A$3:$B$10,2,FALSE),0)*'FL Characterization'!O$2)</f>
        <v>70.306341270553744</v>
      </c>
      <c r="P4" s="2">
        <f>('[1]Pc, Spring, S3'!P4*Main!$B$5)+(_xlfn.IFNA(VLOOKUP($A4,'FL Ratio'!$A$3:$B$10,2,FALSE),0)*'FL Characterization'!P$2)</f>
        <v>66.499376836726583</v>
      </c>
      <c r="Q4" s="2">
        <f>('[1]Pc, Spring, S3'!Q4*Main!$B$5)+(_xlfn.IFNA(VLOOKUP($A4,'FL Ratio'!$A$3:$B$10,2,FALSE),0)*'FL Characterization'!Q$2)</f>
        <v>67.16179780708022</v>
      </c>
      <c r="R4" s="2">
        <f>('[1]Pc, Spring, S3'!R4*Main!$B$5)+(_xlfn.IFNA(VLOOKUP($A4,'FL Ratio'!$A$3:$B$10,2,FALSE),0)*'FL Characterization'!R$2)</f>
        <v>66.447453387968167</v>
      </c>
      <c r="S4" s="2">
        <f>('[1]Pc, Spring, S3'!S4*Main!$B$5)+(_xlfn.IFNA(VLOOKUP($A4,'FL Ratio'!$A$3:$B$10,2,FALSE),0)*'FL Characterization'!S$2)</f>
        <v>69.173952816754095</v>
      </c>
      <c r="T4" s="2">
        <f>('[1]Pc, Spring, S3'!T4*Main!$B$5)+(_xlfn.IFNA(VLOOKUP($A4,'FL Ratio'!$A$3:$B$10,2,FALSE),0)*'FL Characterization'!T$2)</f>
        <v>68.627933161030938</v>
      </c>
      <c r="U4" s="2">
        <f>('[1]Pc, Spring, S3'!U4*Main!$B$5)+(_xlfn.IFNA(VLOOKUP($A4,'FL Ratio'!$A$3:$B$10,2,FALSE),0)*'FL Characterization'!U$2)</f>
        <v>67.038471073102855</v>
      </c>
      <c r="V4" s="2">
        <f>('[1]Pc, Spring, S3'!V4*Main!$B$5)+(_xlfn.IFNA(VLOOKUP($A4,'FL Ratio'!$A$3:$B$10,2,FALSE),0)*'FL Characterization'!V$2)</f>
        <v>65.732274527588345</v>
      </c>
      <c r="W4" s="2">
        <f>('[1]Pc, Spring, S3'!W4*Main!$B$5)+(_xlfn.IFNA(VLOOKUP($A4,'FL Ratio'!$A$3:$B$10,2,FALSE),0)*'FL Characterization'!W$2)</f>
        <v>68.556876603439932</v>
      </c>
      <c r="X4" s="2">
        <f>('[1]Pc, Spring, S3'!X4*Main!$B$5)+(_xlfn.IFNA(VLOOKUP($A4,'FL Ratio'!$A$3:$B$10,2,FALSE),0)*'FL Characterization'!X$2)</f>
        <v>64.676597948475262</v>
      </c>
      <c r="Y4" s="2">
        <f>('[1]Pc, Spring, S3'!Y4*Main!$B$5)+(_xlfn.IFNA(VLOOKUP($A4,'FL Ratio'!$A$3:$B$10,2,FALSE),0)*'FL Characterization'!Y$2)</f>
        <v>59.430582136031603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53E46-6D7A-469F-8A04-3A5E4D10568A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35.995818815163915</v>
      </c>
      <c r="C2" s="2">
        <f>('[1]Pc, Spring, S3'!C2*Main!$B$5)+(_xlfn.IFNA(VLOOKUP($A2,'FL Ratio'!$A$3:$B$10,2,FALSE),0)*'FL Characterization'!C$2)</f>
        <v>32.180124518638344</v>
      </c>
      <c r="D2" s="2">
        <f>('[1]Pc, Spring, S3'!D2*Main!$B$5)+(_xlfn.IFNA(VLOOKUP($A2,'FL Ratio'!$A$3:$B$10,2,FALSE),0)*'FL Characterization'!D$2)</f>
        <v>30.690704189851793</v>
      </c>
      <c r="E2" s="2">
        <f>('[1]Pc, Spring, S3'!E2*Main!$B$5)+(_xlfn.IFNA(VLOOKUP($A2,'FL Ratio'!$A$3:$B$10,2,FALSE),0)*'FL Characterization'!E$2)</f>
        <v>30.620114700625308</v>
      </c>
      <c r="F2" s="2">
        <f>('[1]Pc, Spring, S3'!F2*Main!$B$5)+(_xlfn.IFNA(VLOOKUP($A2,'FL Ratio'!$A$3:$B$10,2,FALSE),0)*'FL Characterization'!F$2)</f>
        <v>30.2410832855523</v>
      </c>
      <c r="G2" s="2">
        <f>('[1]Pc, Spring, S3'!G2*Main!$B$5)+(_xlfn.IFNA(VLOOKUP($A2,'FL Ratio'!$A$3:$B$10,2,FALSE),0)*'FL Characterization'!G$2)</f>
        <v>31.601800544468365</v>
      </c>
      <c r="H2" s="2">
        <f>('[1]Pc, Spring, S3'!H2*Main!$B$5)+(_xlfn.IFNA(VLOOKUP($A2,'FL Ratio'!$A$3:$B$10,2,FALSE),0)*'FL Characterization'!H$2)</f>
        <v>35.544364671628706</v>
      </c>
      <c r="I2" s="2">
        <f>('[1]Pc, Spring, S3'!I2*Main!$B$5)+(_xlfn.IFNA(VLOOKUP($A2,'FL Ratio'!$A$3:$B$10,2,FALSE),0)*'FL Characterization'!I$2)</f>
        <v>44.363260361405636</v>
      </c>
      <c r="J2" s="2">
        <f>('[1]Pc, Spring, S3'!J2*Main!$B$5)+(_xlfn.IFNA(VLOOKUP($A2,'FL Ratio'!$A$3:$B$10,2,FALSE),0)*'FL Characterization'!J$2)</f>
        <v>47.545411156435904</v>
      </c>
      <c r="K2" s="2">
        <f>('[1]Pc, Spring, S3'!K2*Main!$B$5)+(_xlfn.IFNA(VLOOKUP($A2,'FL Ratio'!$A$3:$B$10,2,FALSE),0)*'FL Characterization'!K$2)</f>
        <v>49.819194543337218</v>
      </c>
      <c r="L2" s="2">
        <f>('[1]Pc, Spring, S3'!L2*Main!$B$5)+(_xlfn.IFNA(VLOOKUP($A2,'FL Ratio'!$A$3:$B$10,2,FALSE),0)*'FL Characterization'!L$2)</f>
        <v>51.466399766472307</v>
      </c>
      <c r="M2" s="2">
        <f>('[1]Pc, Spring, S3'!M2*Main!$B$5)+(_xlfn.IFNA(VLOOKUP($A2,'FL Ratio'!$A$3:$B$10,2,FALSE),0)*'FL Characterization'!M$2)</f>
        <v>50.108083408459038</v>
      </c>
      <c r="N2" s="2">
        <f>('[1]Pc, Spring, S3'!N2*Main!$B$5)+(_xlfn.IFNA(VLOOKUP($A2,'FL Ratio'!$A$3:$B$10,2,FALSE),0)*'FL Characterization'!N$2)</f>
        <v>50.899318598398494</v>
      </c>
      <c r="O2" s="2">
        <f>('[1]Pc, Spring, S3'!O2*Main!$B$5)+(_xlfn.IFNA(VLOOKUP($A2,'FL Ratio'!$A$3:$B$10,2,FALSE),0)*'FL Characterization'!O$2)</f>
        <v>51.923452353538899</v>
      </c>
      <c r="P2" s="2">
        <f>('[1]Pc, Spring, S3'!P2*Main!$B$5)+(_xlfn.IFNA(VLOOKUP($A2,'FL Ratio'!$A$3:$B$10,2,FALSE),0)*'FL Characterization'!P$2)</f>
        <v>47.680940316176688</v>
      </c>
      <c r="Q2" s="2">
        <f>('[1]Pc, Spring, S3'!Q2*Main!$B$5)+(_xlfn.IFNA(VLOOKUP($A2,'FL Ratio'!$A$3:$B$10,2,FALSE),0)*'FL Characterization'!Q$2)</f>
        <v>43.996766583380534</v>
      </c>
      <c r="R2" s="2">
        <f>('[1]Pc, Spring, S3'!R2*Main!$B$5)+(_xlfn.IFNA(VLOOKUP($A2,'FL Ratio'!$A$3:$B$10,2,FALSE),0)*'FL Characterization'!R$2)</f>
        <v>45.659793925556805</v>
      </c>
      <c r="S2" s="2">
        <f>('[1]Pc, Spring, S3'!S2*Main!$B$5)+(_xlfn.IFNA(VLOOKUP($A2,'FL Ratio'!$A$3:$B$10,2,FALSE),0)*'FL Characterization'!S$2)</f>
        <v>47.98890747387518</v>
      </c>
      <c r="T2" s="2">
        <f>('[1]Pc, Spring, S3'!T2*Main!$B$5)+(_xlfn.IFNA(VLOOKUP($A2,'FL Ratio'!$A$3:$B$10,2,FALSE),0)*'FL Characterization'!T$2)</f>
        <v>50.859446113396579</v>
      </c>
      <c r="U2" s="2">
        <f>('[1]Pc, Spring, S3'!U2*Main!$B$5)+(_xlfn.IFNA(VLOOKUP($A2,'FL Ratio'!$A$3:$B$10,2,FALSE),0)*'FL Characterization'!U$2)</f>
        <v>49.967606620070342</v>
      </c>
      <c r="V2" s="2">
        <f>('[1]Pc, Spring, S3'!V2*Main!$B$5)+(_xlfn.IFNA(VLOOKUP($A2,'FL Ratio'!$A$3:$B$10,2,FALSE),0)*'FL Characterization'!V$2)</f>
        <v>48.137933586092153</v>
      </c>
      <c r="W2" s="2">
        <f>('[1]Pc, Spring, S3'!W2*Main!$B$5)+(_xlfn.IFNA(VLOOKUP($A2,'FL Ratio'!$A$3:$B$10,2,FALSE),0)*'FL Characterization'!W$2)</f>
        <v>49.888886174482046</v>
      </c>
      <c r="X2" s="2">
        <f>('[1]Pc, Spring, S3'!X2*Main!$B$5)+(_xlfn.IFNA(VLOOKUP($A2,'FL Ratio'!$A$3:$B$10,2,FALSE),0)*'FL Characterization'!X$2)</f>
        <v>41.802819293186737</v>
      </c>
      <c r="Y2" s="2">
        <f>('[1]Pc, Spring, S3'!Y2*Main!$B$5)+(_xlfn.IFNA(VLOOKUP($A2,'FL Ratio'!$A$3:$B$10,2,FALSE),0)*'FL Characterization'!Y$2)</f>
        <v>41.975410461751956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37.626533536366473</v>
      </c>
      <c r="C3" s="2">
        <f>('[1]Pc, Spring, S3'!C3*Main!$B$5)+(_xlfn.IFNA(VLOOKUP($A3,'FL Ratio'!$A$3:$B$10,2,FALSE),0)*'FL Characterization'!C$2)</f>
        <v>36.529935834633378</v>
      </c>
      <c r="D3" s="2">
        <f>('[1]Pc, Spring, S3'!D3*Main!$B$5)+(_xlfn.IFNA(VLOOKUP($A3,'FL Ratio'!$A$3:$B$10,2,FALSE),0)*'FL Characterization'!D$2)</f>
        <v>32.801290074197105</v>
      </c>
      <c r="E3" s="2">
        <f>('[1]Pc, Spring, S3'!E3*Main!$B$5)+(_xlfn.IFNA(VLOOKUP($A3,'FL Ratio'!$A$3:$B$10,2,FALSE),0)*'FL Characterization'!E$2)</f>
        <v>33.794416784437509</v>
      </c>
      <c r="F3" s="2">
        <f>('[1]Pc, Spring, S3'!F3*Main!$B$5)+(_xlfn.IFNA(VLOOKUP($A3,'FL Ratio'!$A$3:$B$10,2,FALSE),0)*'FL Characterization'!F$2)</f>
        <v>32.296177829051146</v>
      </c>
      <c r="G3" s="2">
        <f>('[1]Pc, Spring, S3'!G3*Main!$B$5)+(_xlfn.IFNA(VLOOKUP($A3,'FL Ratio'!$A$3:$B$10,2,FALSE),0)*'FL Characterization'!G$2)</f>
        <v>35.307352289110355</v>
      </c>
      <c r="H3" s="2">
        <f>('[1]Pc, Spring, S3'!H3*Main!$B$5)+(_xlfn.IFNA(VLOOKUP($A3,'FL Ratio'!$A$3:$B$10,2,FALSE),0)*'FL Characterization'!H$2)</f>
        <v>45.88134141653093</v>
      </c>
      <c r="I3" s="2">
        <f>('[1]Pc, Spring, S3'!I3*Main!$B$5)+(_xlfn.IFNA(VLOOKUP($A3,'FL Ratio'!$A$3:$B$10,2,FALSE),0)*'FL Characterization'!I$2)</f>
        <v>52.011479522052923</v>
      </c>
      <c r="J3" s="2">
        <f>('[1]Pc, Spring, S3'!J3*Main!$B$5)+(_xlfn.IFNA(VLOOKUP($A3,'FL Ratio'!$A$3:$B$10,2,FALSE),0)*'FL Characterization'!J$2)</f>
        <v>56.441990255073094</v>
      </c>
      <c r="K3" s="2">
        <f>('[1]Pc, Spring, S3'!K3*Main!$B$5)+(_xlfn.IFNA(VLOOKUP($A3,'FL Ratio'!$A$3:$B$10,2,FALSE),0)*'FL Characterization'!K$2)</f>
        <v>54.998698592235705</v>
      </c>
      <c r="L3" s="2">
        <f>('[1]Pc, Spring, S3'!L3*Main!$B$5)+(_xlfn.IFNA(VLOOKUP($A3,'FL Ratio'!$A$3:$B$10,2,FALSE),0)*'FL Characterization'!L$2)</f>
        <v>51.760862604083691</v>
      </c>
      <c r="M3" s="2">
        <f>('[1]Pc, Spring, S3'!M3*Main!$B$5)+(_xlfn.IFNA(VLOOKUP($A3,'FL Ratio'!$A$3:$B$10,2,FALSE),0)*'FL Characterization'!M$2)</f>
        <v>56.496464980386349</v>
      </c>
      <c r="N3" s="2">
        <f>('[1]Pc, Spring, S3'!N3*Main!$B$5)+(_xlfn.IFNA(VLOOKUP($A3,'FL Ratio'!$A$3:$B$10,2,FALSE),0)*'FL Characterization'!N$2)</f>
        <v>54.558291832817773</v>
      </c>
      <c r="O3" s="2">
        <f>('[1]Pc, Spring, S3'!O3*Main!$B$5)+(_xlfn.IFNA(VLOOKUP($A3,'FL Ratio'!$A$3:$B$10,2,FALSE),0)*'FL Characterization'!O$2)</f>
        <v>52.789132387107628</v>
      </c>
      <c r="P3" s="2">
        <f>('[1]Pc, Spring, S3'!P3*Main!$B$5)+(_xlfn.IFNA(VLOOKUP($A3,'FL Ratio'!$A$3:$B$10,2,FALSE),0)*'FL Characterization'!P$2)</f>
        <v>52.082415611221862</v>
      </c>
      <c r="Q3" s="2">
        <f>('[1]Pc, Spring, S3'!Q3*Main!$B$5)+(_xlfn.IFNA(VLOOKUP($A3,'FL Ratio'!$A$3:$B$10,2,FALSE),0)*'FL Characterization'!Q$2)</f>
        <v>50.005540665468963</v>
      </c>
      <c r="R3" s="2">
        <f>('[1]Pc, Spring, S3'!R3*Main!$B$5)+(_xlfn.IFNA(VLOOKUP($A3,'FL Ratio'!$A$3:$B$10,2,FALSE),0)*'FL Characterization'!R$2)</f>
        <v>46.09713689321196</v>
      </c>
      <c r="S3" s="2">
        <f>('[1]Pc, Spring, S3'!S3*Main!$B$5)+(_xlfn.IFNA(VLOOKUP($A3,'FL Ratio'!$A$3:$B$10,2,FALSE),0)*'FL Characterization'!S$2)</f>
        <v>50.978766170195755</v>
      </c>
      <c r="T3" s="2">
        <f>('[1]Pc, Spring, S3'!T3*Main!$B$5)+(_xlfn.IFNA(VLOOKUP($A3,'FL Ratio'!$A$3:$B$10,2,FALSE),0)*'FL Characterization'!T$2)</f>
        <v>50.70139991725695</v>
      </c>
      <c r="U3" s="2">
        <f>('[1]Pc, Spring, S3'!U3*Main!$B$5)+(_xlfn.IFNA(VLOOKUP($A3,'FL Ratio'!$A$3:$B$10,2,FALSE),0)*'FL Characterization'!U$2)</f>
        <v>49.138185303684814</v>
      </c>
      <c r="V3" s="2">
        <f>('[1]Pc, Spring, S3'!V3*Main!$B$5)+(_xlfn.IFNA(VLOOKUP($A3,'FL Ratio'!$A$3:$B$10,2,FALSE),0)*'FL Characterization'!V$2)</f>
        <v>47.261558816286247</v>
      </c>
      <c r="W3" s="2">
        <f>('[1]Pc, Spring, S3'!W3*Main!$B$5)+(_xlfn.IFNA(VLOOKUP($A3,'FL Ratio'!$A$3:$B$10,2,FALSE),0)*'FL Characterization'!W$2)</f>
        <v>46.282587938407929</v>
      </c>
      <c r="X3" s="2">
        <f>('[1]Pc, Spring, S3'!X3*Main!$B$5)+(_xlfn.IFNA(VLOOKUP($A3,'FL Ratio'!$A$3:$B$10,2,FALSE),0)*'FL Characterization'!X$2)</f>
        <v>44.273638840174549</v>
      </c>
      <c r="Y3" s="2">
        <f>('[1]Pc, Spring, S3'!Y3*Main!$B$5)+(_xlfn.IFNA(VLOOKUP($A3,'FL Ratio'!$A$3:$B$10,2,FALSE),0)*'FL Characterization'!Y$2)</f>
        <v>41.587767013047269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51.229285638283507</v>
      </c>
      <c r="C4" s="2">
        <f>('[1]Pc, Spring, S3'!C4*Main!$B$5)+(_xlfn.IFNA(VLOOKUP($A4,'FL Ratio'!$A$3:$B$10,2,FALSE),0)*'FL Characterization'!C$2)</f>
        <v>45.049110066853189</v>
      </c>
      <c r="D4" s="2">
        <f>('[1]Pc, Spring, S3'!D4*Main!$B$5)+(_xlfn.IFNA(VLOOKUP($A4,'FL Ratio'!$A$3:$B$10,2,FALSE),0)*'FL Characterization'!D$2)</f>
        <v>45.105813735038559</v>
      </c>
      <c r="E4" s="2">
        <f>('[1]Pc, Spring, S3'!E4*Main!$B$5)+(_xlfn.IFNA(VLOOKUP($A4,'FL Ratio'!$A$3:$B$10,2,FALSE),0)*'FL Characterization'!E$2)</f>
        <v>41.596440706773052</v>
      </c>
      <c r="F4" s="2">
        <f>('[1]Pc, Spring, S3'!F4*Main!$B$5)+(_xlfn.IFNA(VLOOKUP($A4,'FL Ratio'!$A$3:$B$10,2,FALSE),0)*'FL Characterization'!F$2)</f>
        <v>43.783068940696232</v>
      </c>
      <c r="G4" s="2">
        <f>('[1]Pc, Spring, S3'!G4*Main!$B$5)+(_xlfn.IFNA(VLOOKUP($A4,'FL Ratio'!$A$3:$B$10,2,FALSE),0)*'FL Characterization'!G$2)</f>
        <v>42.887400646305629</v>
      </c>
      <c r="H4" s="2">
        <f>('[1]Pc, Spring, S3'!H4*Main!$B$5)+(_xlfn.IFNA(VLOOKUP($A4,'FL Ratio'!$A$3:$B$10,2,FALSE),0)*'FL Characterization'!H$2)</f>
        <v>50.226278998051505</v>
      </c>
      <c r="I4" s="2">
        <f>('[1]Pc, Spring, S3'!I4*Main!$B$5)+(_xlfn.IFNA(VLOOKUP($A4,'FL Ratio'!$A$3:$B$10,2,FALSE),0)*'FL Characterization'!I$2)</f>
        <v>53.862237590923108</v>
      </c>
      <c r="J4" s="2">
        <f>('[1]Pc, Spring, S3'!J4*Main!$B$5)+(_xlfn.IFNA(VLOOKUP($A4,'FL Ratio'!$A$3:$B$10,2,FALSE),0)*'FL Characterization'!J$2)</f>
        <v>62.213283793278237</v>
      </c>
      <c r="K4" s="2">
        <f>('[1]Pc, Spring, S3'!K4*Main!$B$5)+(_xlfn.IFNA(VLOOKUP($A4,'FL Ratio'!$A$3:$B$10,2,FALSE),0)*'FL Characterization'!K$2)</f>
        <v>63.970591532501537</v>
      </c>
      <c r="L4" s="2">
        <f>('[1]Pc, Spring, S3'!L4*Main!$B$5)+(_xlfn.IFNA(VLOOKUP($A4,'FL Ratio'!$A$3:$B$10,2,FALSE),0)*'FL Characterization'!L$2)</f>
        <v>66.0664728537336</v>
      </c>
      <c r="M4" s="2">
        <f>('[1]Pc, Spring, S3'!M4*Main!$B$5)+(_xlfn.IFNA(VLOOKUP($A4,'FL Ratio'!$A$3:$B$10,2,FALSE),0)*'FL Characterization'!M$2)</f>
        <v>69.732544426284875</v>
      </c>
      <c r="N4" s="2">
        <f>('[1]Pc, Spring, S3'!N4*Main!$B$5)+(_xlfn.IFNA(VLOOKUP($A4,'FL Ratio'!$A$3:$B$10,2,FALSE),0)*'FL Characterization'!N$2)</f>
        <v>70.38512248224265</v>
      </c>
      <c r="O4" s="2">
        <f>('[1]Pc, Spring, S3'!O4*Main!$B$5)+(_xlfn.IFNA(VLOOKUP($A4,'FL Ratio'!$A$3:$B$10,2,FALSE),0)*'FL Characterization'!O$2)</f>
        <v>70.306341270553744</v>
      </c>
      <c r="P4" s="2">
        <f>('[1]Pc, Spring, S3'!P4*Main!$B$5)+(_xlfn.IFNA(VLOOKUP($A4,'FL Ratio'!$A$3:$B$10,2,FALSE),0)*'FL Characterization'!P$2)</f>
        <v>66.499376836726583</v>
      </c>
      <c r="Q4" s="2">
        <f>('[1]Pc, Spring, S3'!Q4*Main!$B$5)+(_xlfn.IFNA(VLOOKUP($A4,'FL Ratio'!$A$3:$B$10,2,FALSE),0)*'FL Characterization'!Q$2)</f>
        <v>67.16179780708022</v>
      </c>
      <c r="R4" s="2">
        <f>('[1]Pc, Spring, S3'!R4*Main!$B$5)+(_xlfn.IFNA(VLOOKUP($A4,'FL Ratio'!$A$3:$B$10,2,FALSE),0)*'FL Characterization'!R$2)</f>
        <v>66.447453387968167</v>
      </c>
      <c r="S4" s="2">
        <f>('[1]Pc, Spring, S3'!S4*Main!$B$5)+(_xlfn.IFNA(VLOOKUP($A4,'FL Ratio'!$A$3:$B$10,2,FALSE),0)*'FL Characterization'!S$2)</f>
        <v>69.173952816754095</v>
      </c>
      <c r="T4" s="2">
        <f>('[1]Pc, Spring, S3'!T4*Main!$B$5)+(_xlfn.IFNA(VLOOKUP($A4,'FL Ratio'!$A$3:$B$10,2,FALSE),0)*'FL Characterization'!T$2)</f>
        <v>68.627933161030938</v>
      </c>
      <c r="U4" s="2">
        <f>('[1]Pc, Spring, S3'!U4*Main!$B$5)+(_xlfn.IFNA(VLOOKUP($A4,'FL Ratio'!$A$3:$B$10,2,FALSE),0)*'FL Characterization'!U$2)</f>
        <v>67.038471073102855</v>
      </c>
      <c r="V4" s="2">
        <f>('[1]Pc, Spring, S3'!V4*Main!$B$5)+(_xlfn.IFNA(VLOOKUP($A4,'FL Ratio'!$A$3:$B$10,2,FALSE),0)*'FL Characterization'!V$2)</f>
        <v>65.732274527588345</v>
      </c>
      <c r="W4" s="2">
        <f>('[1]Pc, Spring, S3'!W4*Main!$B$5)+(_xlfn.IFNA(VLOOKUP($A4,'FL Ratio'!$A$3:$B$10,2,FALSE),0)*'FL Characterization'!W$2)</f>
        <v>68.556876603439932</v>
      </c>
      <c r="X4" s="2">
        <f>('[1]Pc, Spring, S3'!X4*Main!$B$5)+(_xlfn.IFNA(VLOOKUP($A4,'FL Ratio'!$A$3:$B$10,2,FALSE),0)*'FL Characterization'!X$2)</f>
        <v>64.676597948475262</v>
      </c>
      <c r="Y4" s="2">
        <f>('[1]Pc, Spring, S3'!Y4*Main!$B$5)+(_xlfn.IFNA(VLOOKUP($A4,'FL Ratio'!$A$3:$B$10,2,FALSE),0)*'FL Characterization'!Y$2)</f>
        <v>59.430582136031603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15FD7-DA4E-4F62-8BFF-59F914C0DD2D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35.995818815163915</v>
      </c>
      <c r="C2" s="2">
        <f>('[1]Pc, Spring, S3'!C2*Main!$B$5)+(_xlfn.IFNA(VLOOKUP($A2,'FL Ratio'!$A$3:$B$10,2,FALSE),0)*'FL Characterization'!C$2)</f>
        <v>32.180124518638344</v>
      </c>
      <c r="D2" s="2">
        <f>('[1]Pc, Spring, S3'!D2*Main!$B$5)+(_xlfn.IFNA(VLOOKUP($A2,'FL Ratio'!$A$3:$B$10,2,FALSE),0)*'FL Characterization'!D$2)</f>
        <v>30.690704189851793</v>
      </c>
      <c r="E2" s="2">
        <f>('[1]Pc, Spring, S3'!E2*Main!$B$5)+(_xlfn.IFNA(VLOOKUP($A2,'FL Ratio'!$A$3:$B$10,2,FALSE),0)*'FL Characterization'!E$2)</f>
        <v>30.620114700625308</v>
      </c>
      <c r="F2" s="2">
        <f>('[1]Pc, Spring, S3'!F2*Main!$B$5)+(_xlfn.IFNA(VLOOKUP($A2,'FL Ratio'!$A$3:$B$10,2,FALSE),0)*'FL Characterization'!F$2)</f>
        <v>30.2410832855523</v>
      </c>
      <c r="G2" s="2">
        <f>('[1]Pc, Spring, S3'!G2*Main!$B$5)+(_xlfn.IFNA(VLOOKUP($A2,'FL Ratio'!$A$3:$B$10,2,FALSE),0)*'FL Characterization'!G$2)</f>
        <v>31.601800544468365</v>
      </c>
      <c r="H2" s="2">
        <f>('[1]Pc, Spring, S3'!H2*Main!$B$5)+(_xlfn.IFNA(VLOOKUP($A2,'FL Ratio'!$A$3:$B$10,2,FALSE),0)*'FL Characterization'!H$2)</f>
        <v>35.544364671628706</v>
      </c>
      <c r="I2" s="2">
        <f>('[1]Pc, Spring, S3'!I2*Main!$B$5)+(_xlfn.IFNA(VLOOKUP($A2,'FL Ratio'!$A$3:$B$10,2,FALSE),0)*'FL Characterization'!I$2)</f>
        <v>44.363260361405636</v>
      </c>
      <c r="J2" s="2">
        <f>('[1]Pc, Spring, S3'!J2*Main!$B$5)+(_xlfn.IFNA(VLOOKUP($A2,'FL Ratio'!$A$3:$B$10,2,FALSE),0)*'FL Characterization'!J$2)</f>
        <v>47.545411156435904</v>
      </c>
      <c r="K2" s="2">
        <f>('[1]Pc, Spring, S3'!K2*Main!$B$5)+(_xlfn.IFNA(VLOOKUP($A2,'FL Ratio'!$A$3:$B$10,2,FALSE),0)*'FL Characterization'!K$2)</f>
        <v>49.819194543337218</v>
      </c>
      <c r="L2" s="2">
        <f>('[1]Pc, Spring, S3'!L2*Main!$B$5)+(_xlfn.IFNA(VLOOKUP($A2,'FL Ratio'!$A$3:$B$10,2,FALSE),0)*'FL Characterization'!L$2)</f>
        <v>51.466399766472307</v>
      </c>
      <c r="M2" s="2">
        <f>('[1]Pc, Spring, S3'!M2*Main!$B$5)+(_xlfn.IFNA(VLOOKUP($A2,'FL Ratio'!$A$3:$B$10,2,FALSE),0)*'FL Characterization'!M$2)</f>
        <v>50.108083408459038</v>
      </c>
      <c r="N2" s="2">
        <f>('[1]Pc, Spring, S3'!N2*Main!$B$5)+(_xlfn.IFNA(VLOOKUP($A2,'FL Ratio'!$A$3:$B$10,2,FALSE),0)*'FL Characterization'!N$2)</f>
        <v>50.899318598398494</v>
      </c>
      <c r="O2" s="2">
        <f>('[1]Pc, Spring, S3'!O2*Main!$B$5)+(_xlfn.IFNA(VLOOKUP($A2,'FL Ratio'!$A$3:$B$10,2,FALSE),0)*'FL Characterization'!O$2)</f>
        <v>51.923452353538899</v>
      </c>
      <c r="P2" s="2">
        <f>('[1]Pc, Spring, S3'!P2*Main!$B$5)+(_xlfn.IFNA(VLOOKUP($A2,'FL Ratio'!$A$3:$B$10,2,FALSE),0)*'FL Characterization'!P$2)</f>
        <v>47.680940316176688</v>
      </c>
      <c r="Q2" s="2">
        <f>('[1]Pc, Spring, S3'!Q2*Main!$B$5)+(_xlfn.IFNA(VLOOKUP($A2,'FL Ratio'!$A$3:$B$10,2,FALSE),0)*'FL Characterization'!Q$2)</f>
        <v>43.996766583380534</v>
      </c>
      <c r="R2" s="2">
        <f>('[1]Pc, Spring, S3'!R2*Main!$B$5)+(_xlfn.IFNA(VLOOKUP($A2,'FL Ratio'!$A$3:$B$10,2,FALSE),0)*'FL Characterization'!R$2)</f>
        <v>45.659793925556805</v>
      </c>
      <c r="S2" s="2">
        <f>('[1]Pc, Spring, S3'!S2*Main!$B$5)+(_xlfn.IFNA(VLOOKUP($A2,'FL Ratio'!$A$3:$B$10,2,FALSE),0)*'FL Characterization'!S$2)</f>
        <v>47.98890747387518</v>
      </c>
      <c r="T2" s="2">
        <f>('[1]Pc, Spring, S3'!T2*Main!$B$5)+(_xlfn.IFNA(VLOOKUP($A2,'FL Ratio'!$A$3:$B$10,2,FALSE),0)*'FL Characterization'!T$2)</f>
        <v>50.859446113396579</v>
      </c>
      <c r="U2" s="2">
        <f>('[1]Pc, Spring, S3'!U2*Main!$B$5)+(_xlfn.IFNA(VLOOKUP($A2,'FL Ratio'!$A$3:$B$10,2,FALSE),0)*'FL Characterization'!U$2)</f>
        <v>49.967606620070342</v>
      </c>
      <c r="V2" s="2">
        <f>('[1]Pc, Spring, S3'!V2*Main!$B$5)+(_xlfn.IFNA(VLOOKUP($A2,'FL Ratio'!$A$3:$B$10,2,FALSE),0)*'FL Characterization'!V$2)</f>
        <v>48.137933586092153</v>
      </c>
      <c r="W2" s="2">
        <f>('[1]Pc, Spring, S3'!W2*Main!$B$5)+(_xlfn.IFNA(VLOOKUP($A2,'FL Ratio'!$A$3:$B$10,2,FALSE),0)*'FL Characterization'!W$2)</f>
        <v>49.888886174482046</v>
      </c>
      <c r="X2" s="2">
        <f>('[1]Pc, Spring, S3'!X2*Main!$B$5)+(_xlfn.IFNA(VLOOKUP($A2,'FL Ratio'!$A$3:$B$10,2,FALSE),0)*'FL Characterization'!X$2)</f>
        <v>41.802819293186737</v>
      </c>
      <c r="Y2" s="2">
        <f>('[1]Pc, Spring, S3'!Y2*Main!$B$5)+(_xlfn.IFNA(VLOOKUP($A2,'FL Ratio'!$A$3:$B$10,2,FALSE),0)*'FL Characterization'!Y$2)</f>
        <v>41.975410461751956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37.626533536366473</v>
      </c>
      <c r="C3" s="2">
        <f>('[1]Pc, Spring, S3'!C3*Main!$B$5)+(_xlfn.IFNA(VLOOKUP($A3,'FL Ratio'!$A$3:$B$10,2,FALSE),0)*'FL Characterization'!C$2)</f>
        <v>36.529935834633378</v>
      </c>
      <c r="D3" s="2">
        <f>('[1]Pc, Spring, S3'!D3*Main!$B$5)+(_xlfn.IFNA(VLOOKUP($A3,'FL Ratio'!$A$3:$B$10,2,FALSE),0)*'FL Characterization'!D$2)</f>
        <v>32.801290074197105</v>
      </c>
      <c r="E3" s="2">
        <f>('[1]Pc, Spring, S3'!E3*Main!$B$5)+(_xlfn.IFNA(VLOOKUP($A3,'FL Ratio'!$A$3:$B$10,2,FALSE),0)*'FL Characterization'!E$2)</f>
        <v>33.794416784437509</v>
      </c>
      <c r="F3" s="2">
        <f>('[1]Pc, Spring, S3'!F3*Main!$B$5)+(_xlfn.IFNA(VLOOKUP($A3,'FL Ratio'!$A$3:$B$10,2,FALSE),0)*'FL Characterization'!F$2)</f>
        <v>32.296177829051146</v>
      </c>
      <c r="G3" s="2">
        <f>('[1]Pc, Spring, S3'!G3*Main!$B$5)+(_xlfn.IFNA(VLOOKUP($A3,'FL Ratio'!$A$3:$B$10,2,FALSE),0)*'FL Characterization'!G$2)</f>
        <v>35.307352289110355</v>
      </c>
      <c r="H3" s="2">
        <f>('[1]Pc, Spring, S3'!H3*Main!$B$5)+(_xlfn.IFNA(VLOOKUP($A3,'FL Ratio'!$A$3:$B$10,2,FALSE),0)*'FL Characterization'!H$2)</f>
        <v>45.88134141653093</v>
      </c>
      <c r="I3" s="2">
        <f>('[1]Pc, Spring, S3'!I3*Main!$B$5)+(_xlfn.IFNA(VLOOKUP($A3,'FL Ratio'!$A$3:$B$10,2,FALSE),0)*'FL Characterization'!I$2)</f>
        <v>52.011479522052923</v>
      </c>
      <c r="J3" s="2">
        <f>('[1]Pc, Spring, S3'!J3*Main!$B$5)+(_xlfn.IFNA(VLOOKUP($A3,'FL Ratio'!$A$3:$B$10,2,FALSE),0)*'FL Characterization'!J$2)</f>
        <v>56.441990255073094</v>
      </c>
      <c r="K3" s="2">
        <f>('[1]Pc, Spring, S3'!K3*Main!$B$5)+(_xlfn.IFNA(VLOOKUP($A3,'FL Ratio'!$A$3:$B$10,2,FALSE),0)*'FL Characterization'!K$2)</f>
        <v>54.998698592235705</v>
      </c>
      <c r="L3" s="2">
        <f>('[1]Pc, Spring, S3'!L3*Main!$B$5)+(_xlfn.IFNA(VLOOKUP($A3,'FL Ratio'!$A$3:$B$10,2,FALSE),0)*'FL Characterization'!L$2)</f>
        <v>51.760862604083691</v>
      </c>
      <c r="M3" s="2">
        <f>('[1]Pc, Spring, S3'!M3*Main!$B$5)+(_xlfn.IFNA(VLOOKUP($A3,'FL Ratio'!$A$3:$B$10,2,FALSE),0)*'FL Characterization'!M$2)</f>
        <v>56.496464980386349</v>
      </c>
      <c r="N3" s="2">
        <f>('[1]Pc, Spring, S3'!N3*Main!$B$5)+(_xlfn.IFNA(VLOOKUP($A3,'FL Ratio'!$A$3:$B$10,2,FALSE),0)*'FL Characterization'!N$2)</f>
        <v>54.558291832817773</v>
      </c>
      <c r="O3" s="2">
        <f>('[1]Pc, Spring, S3'!O3*Main!$B$5)+(_xlfn.IFNA(VLOOKUP($A3,'FL Ratio'!$A$3:$B$10,2,FALSE),0)*'FL Characterization'!O$2)</f>
        <v>52.789132387107628</v>
      </c>
      <c r="P3" s="2">
        <f>('[1]Pc, Spring, S3'!P3*Main!$B$5)+(_xlfn.IFNA(VLOOKUP($A3,'FL Ratio'!$A$3:$B$10,2,FALSE),0)*'FL Characterization'!P$2)</f>
        <v>52.082415611221862</v>
      </c>
      <c r="Q3" s="2">
        <f>('[1]Pc, Spring, S3'!Q3*Main!$B$5)+(_xlfn.IFNA(VLOOKUP($A3,'FL Ratio'!$A$3:$B$10,2,FALSE),0)*'FL Characterization'!Q$2)</f>
        <v>50.005540665468963</v>
      </c>
      <c r="R3" s="2">
        <f>('[1]Pc, Spring, S3'!R3*Main!$B$5)+(_xlfn.IFNA(VLOOKUP($A3,'FL Ratio'!$A$3:$B$10,2,FALSE),0)*'FL Characterization'!R$2)</f>
        <v>46.09713689321196</v>
      </c>
      <c r="S3" s="2">
        <f>('[1]Pc, Spring, S3'!S3*Main!$B$5)+(_xlfn.IFNA(VLOOKUP($A3,'FL Ratio'!$A$3:$B$10,2,FALSE),0)*'FL Characterization'!S$2)</f>
        <v>50.978766170195755</v>
      </c>
      <c r="T3" s="2">
        <f>('[1]Pc, Spring, S3'!T3*Main!$B$5)+(_xlfn.IFNA(VLOOKUP($A3,'FL Ratio'!$A$3:$B$10,2,FALSE),0)*'FL Characterization'!T$2)</f>
        <v>50.70139991725695</v>
      </c>
      <c r="U3" s="2">
        <f>('[1]Pc, Spring, S3'!U3*Main!$B$5)+(_xlfn.IFNA(VLOOKUP($A3,'FL Ratio'!$A$3:$B$10,2,FALSE),0)*'FL Characterization'!U$2)</f>
        <v>49.138185303684814</v>
      </c>
      <c r="V3" s="2">
        <f>('[1]Pc, Spring, S3'!V3*Main!$B$5)+(_xlfn.IFNA(VLOOKUP($A3,'FL Ratio'!$A$3:$B$10,2,FALSE),0)*'FL Characterization'!V$2)</f>
        <v>47.261558816286247</v>
      </c>
      <c r="W3" s="2">
        <f>('[1]Pc, Spring, S3'!W3*Main!$B$5)+(_xlfn.IFNA(VLOOKUP($A3,'FL Ratio'!$A$3:$B$10,2,FALSE),0)*'FL Characterization'!W$2)</f>
        <v>46.282587938407929</v>
      </c>
      <c r="X3" s="2">
        <f>('[1]Pc, Spring, S3'!X3*Main!$B$5)+(_xlfn.IFNA(VLOOKUP($A3,'FL Ratio'!$A$3:$B$10,2,FALSE),0)*'FL Characterization'!X$2)</f>
        <v>44.273638840174549</v>
      </c>
      <c r="Y3" s="2">
        <f>('[1]Pc, Spring, S3'!Y3*Main!$B$5)+(_xlfn.IFNA(VLOOKUP($A3,'FL Ratio'!$A$3:$B$10,2,FALSE),0)*'FL Characterization'!Y$2)</f>
        <v>41.587767013047269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51.229285638283507</v>
      </c>
      <c r="C4" s="2">
        <f>('[1]Pc, Spring, S3'!C4*Main!$B$5)+(_xlfn.IFNA(VLOOKUP($A4,'FL Ratio'!$A$3:$B$10,2,FALSE),0)*'FL Characterization'!C$2)</f>
        <v>45.049110066853189</v>
      </c>
      <c r="D4" s="2">
        <f>('[1]Pc, Spring, S3'!D4*Main!$B$5)+(_xlfn.IFNA(VLOOKUP($A4,'FL Ratio'!$A$3:$B$10,2,FALSE),0)*'FL Characterization'!D$2)</f>
        <v>45.105813735038559</v>
      </c>
      <c r="E4" s="2">
        <f>('[1]Pc, Spring, S3'!E4*Main!$B$5)+(_xlfn.IFNA(VLOOKUP($A4,'FL Ratio'!$A$3:$B$10,2,FALSE),0)*'FL Characterization'!E$2)</f>
        <v>41.596440706773052</v>
      </c>
      <c r="F4" s="2">
        <f>('[1]Pc, Spring, S3'!F4*Main!$B$5)+(_xlfn.IFNA(VLOOKUP($A4,'FL Ratio'!$A$3:$B$10,2,FALSE),0)*'FL Characterization'!F$2)</f>
        <v>43.783068940696232</v>
      </c>
      <c r="G4" s="2">
        <f>('[1]Pc, Spring, S3'!G4*Main!$B$5)+(_xlfn.IFNA(VLOOKUP($A4,'FL Ratio'!$A$3:$B$10,2,FALSE),0)*'FL Characterization'!G$2)</f>
        <v>42.887400646305629</v>
      </c>
      <c r="H4" s="2">
        <f>('[1]Pc, Spring, S3'!H4*Main!$B$5)+(_xlfn.IFNA(VLOOKUP($A4,'FL Ratio'!$A$3:$B$10,2,FALSE),0)*'FL Characterization'!H$2)</f>
        <v>50.226278998051505</v>
      </c>
      <c r="I4" s="2">
        <f>('[1]Pc, Spring, S3'!I4*Main!$B$5)+(_xlfn.IFNA(VLOOKUP($A4,'FL Ratio'!$A$3:$B$10,2,FALSE),0)*'FL Characterization'!I$2)</f>
        <v>53.862237590923108</v>
      </c>
      <c r="J4" s="2">
        <f>('[1]Pc, Spring, S3'!J4*Main!$B$5)+(_xlfn.IFNA(VLOOKUP($A4,'FL Ratio'!$A$3:$B$10,2,FALSE),0)*'FL Characterization'!J$2)</f>
        <v>62.213283793278237</v>
      </c>
      <c r="K4" s="2">
        <f>('[1]Pc, Spring, S3'!K4*Main!$B$5)+(_xlfn.IFNA(VLOOKUP($A4,'FL Ratio'!$A$3:$B$10,2,FALSE),0)*'FL Characterization'!K$2)</f>
        <v>63.970591532501537</v>
      </c>
      <c r="L4" s="2">
        <f>('[1]Pc, Spring, S3'!L4*Main!$B$5)+(_xlfn.IFNA(VLOOKUP($A4,'FL Ratio'!$A$3:$B$10,2,FALSE),0)*'FL Characterization'!L$2)</f>
        <v>66.0664728537336</v>
      </c>
      <c r="M4" s="2">
        <f>('[1]Pc, Spring, S3'!M4*Main!$B$5)+(_xlfn.IFNA(VLOOKUP($A4,'FL Ratio'!$A$3:$B$10,2,FALSE),0)*'FL Characterization'!M$2)</f>
        <v>69.732544426284875</v>
      </c>
      <c r="N4" s="2">
        <f>('[1]Pc, Spring, S3'!N4*Main!$B$5)+(_xlfn.IFNA(VLOOKUP($A4,'FL Ratio'!$A$3:$B$10,2,FALSE),0)*'FL Characterization'!N$2)</f>
        <v>70.38512248224265</v>
      </c>
      <c r="O4" s="2">
        <f>('[1]Pc, Spring, S3'!O4*Main!$B$5)+(_xlfn.IFNA(VLOOKUP($A4,'FL Ratio'!$A$3:$B$10,2,FALSE),0)*'FL Characterization'!O$2)</f>
        <v>70.306341270553744</v>
      </c>
      <c r="P4" s="2">
        <f>('[1]Pc, Spring, S3'!P4*Main!$B$5)+(_xlfn.IFNA(VLOOKUP($A4,'FL Ratio'!$A$3:$B$10,2,FALSE),0)*'FL Characterization'!P$2)</f>
        <v>66.499376836726583</v>
      </c>
      <c r="Q4" s="2">
        <f>('[1]Pc, Spring, S3'!Q4*Main!$B$5)+(_xlfn.IFNA(VLOOKUP($A4,'FL Ratio'!$A$3:$B$10,2,FALSE),0)*'FL Characterization'!Q$2)</f>
        <v>67.16179780708022</v>
      </c>
      <c r="R4" s="2">
        <f>('[1]Pc, Spring, S3'!R4*Main!$B$5)+(_xlfn.IFNA(VLOOKUP($A4,'FL Ratio'!$A$3:$B$10,2,FALSE),0)*'FL Characterization'!R$2)</f>
        <v>66.447453387968167</v>
      </c>
      <c r="S4" s="2">
        <f>('[1]Pc, Spring, S3'!S4*Main!$B$5)+(_xlfn.IFNA(VLOOKUP($A4,'FL Ratio'!$A$3:$B$10,2,FALSE),0)*'FL Characterization'!S$2)</f>
        <v>69.173952816754095</v>
      </c>
      <c r="T4" s="2">
        <f>('[1]Pc, Spring, S3'!T4*Main!$B$5)+(_xlfn.IFNA(VLOOKUP($A4,'FL Ratio'!$A$3:$B$10,2,FALSE),0)*'FL Characterization'!T$2)</f>
        <v>68.627933161030938</v>
      </c>
      <c r="U4" s="2">
        <f>('[1]Pc, Spring, S3'!U4*Main!$B$5)+(_xlfn.IFNA(VLOOKUP($A4,'FL Ratio'!$A$3:$B$10,2,FALSE),0)*'FL Characterization'!U$2)</f>
        <v>67.038471073102855</v>
      </c>
      <c r="V4" s="2">
        <f>('[1]Pc, Spring, S3'!V4*Main!$B$5)+(_xlfn.IFNA(VLOOKUP($A4,'FL Ratio'!$A$3:$B$10,2,FALSE),0)*'FL Characterization'!V$2)</f>
        <v>65.732274527588345</v>
      </c>
      <c r="W4" s="2">
        <f>('[1]Pc, Spring, S3'!W4*Main!$B$5)+(_xlfn.IFNA(VLOOKUP($A4,'FL Ratio'!$A$3:$B$10,2,FALSE),0)*'FL Characterization'!W$2)</f>
        <v>68.556876603439932</v>
      </c>
      <c r="X4" s="2">
        <f>('[1]Pc, Spring, S3'!X4*Main!$B$5)+(_xlfn.IFNA(VLOOKUP($A4,'FL Ratio'!$A$3:$B$10,2,FALSE),0)*'FL Characterization'!X$2)</f>
        <v>64.676597948475262</v>
      </c>
      <c r="Y4" s="2">
        <f>('[1]Pc, Spring, S3'!Y4*Main!$B$5)+(_xlfn.IFNA(VLOOKUP($A4,'FL Ratio'!$A$3:$B$10,2,FALSE),0)*'FL Characterization'!Y$2)</f>
        <v>59.430582136031603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5064D-398A-4E65-BE27-04F7B80F51C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-13.665799417369277</v>
      </c>
      <c r="C2" s="2">
        <f>('[1]Qc, Spring, S1'!C2*Main!$B$5)</f>
        <v>-16.101598803958986</v>
      </c>
      <c r="D2" s="2">
        <f>('[1]Qc, Spring, S1'!D2*Main!$B$5)</f>
        <v>-18.097581980798033</v>
      </c>
      <c r="E2" s="2">
        <f>('[1]Qc, Spring, S1'!E2*Main!$B$5)</f>
        <v>-17.044408289510709</v>
      </c>
      <c r="F2" s="2">
        <f>('[1]Qc, Spring, S1'!F2*Main!$B$5)</f>
        <v>-17.215775166856695</v>
      </c>
      <c r="G2" s="2">
        <f>('[1]Qc, Spring, S1'!G2*Main!$B$5)</f>
        <v>-16.925472596940363</v>
      </c>
      <c r="H2" s="2">
        <f>('[1]Qc, Spring, S1'!H2*Main!$B$5)</f>
        <v>-14.079269945253422</v>
      </c>
      <c r="I2" s="2">
        <f>('[1]Qc, Spring, S1'!I2*Main!$B$5)</f>
        <v>-3.3734083461034805</v>
      </c>
      <c r="J2" s="2">
        <f>('[1]Qc, Spring, S1'!J2*Main!$B$5)</f>
        <v>3.7803115447856839</v>
      </c>
      <c r="K2" s="2">
        <f>('[1]Qc, Spring, S1'!K2*Main!$B$5)</f>
        <v>6.9013936076906583</v>
      </c>
      <c r="L2" s="2">
        <f>('[1]Qc, Spring, S1'!L2*Main!$B$5)</f>
        <v>4.5230239501939948</v>
      </c>
      <c r="M2" s="2">
        <f>('[1]Qc, Spring, S1'!M2*Main!$B$5)</f>
        <v>6.2166908205039633</v>
      </c>
      <c r="N2" s="2">
        <f>('[1]Qc, Spring, S1'!N2*Main!$B$5)</f>
        <v>5.4500721931974496</v>
      </c>
      <c r="O2" s="2">
        <f>('[1]Qc, Spring, S1'!O2*Main!$B$5)</f>
        <v>5.4487329552399508</v>
      </c>
      <c r="P2" s="2">
        <f>('[1]Qc, Spring, S1'!P2*Main!$B$5)</f>
        <v>1.2522277128309962</v>
      </c>
      <c r="Q2" s="2">
        <f>('[1]Qc, Spring, S1'!Q2*Main!$B$5)</f>
        <v>-2.2672143275953429</v>
      </c>
      <c r="R2" s="2">
        <f>('[1]Qc, Spring, S1'!R2*Main!$B$5)</f>
        <v>-0.97925112559254202</v>
      </c>
      <c r="S2" s="2">
        <f>('[1]Qc, Spring, S1'!S2*Main!$B$5)</f>
        <v>1.4020298112701615</v>
      </c>
      <c r="T2" s="2">
        <f>('[1]Qc, Spring, S1'!T2*Main!$B$5)</f>
        <v>8.4689415969637152E-2</v>
      </c>
      <c r="U2" s="2">
        <f>('[1]Qc, Spring, S1'!U2*Main!$B$5)</f>
        <v>-1.8138377646320292</v>
      </c>
      <c r="V2" s="2">
        <f>('[1]Qc, Spring, S1'!V2*Main!$B$5)</f>
        <v>-3.6814041436787495</v>
      </c>
      <c r="W2" s="2">
        <f>('[1]Qc, Spring, S1'!W2*Main!$B$5)</f>
        <v>-4.0586963466600334</v>
      </c>
      <c r="X2" s="2">
        <f>('[1]Qc, Spring, S1'!X2*Main!$B$5)</f>
        <v>-7.7740227729758793</v>
      </c>
      <c r="Y2" s="2">
        <f>('[1]Qc, Spring, S1'!Y2*Main!$B$5)</f>
        <v>-9.7959367741901957</v>
      </c>
    </row>
    <row r="3" spans="1:25" x14ac:dyDescent="0.3">
      <c r="A3">
        <v>2</v>
      </c>
      <c r="B3" s="2">
        <f>('[1]Qc, Spring, S1'!B3*Main!$B$5)</f>
        <v>-2.5161120213664003</v>
      </c>
      <c r="C3" s="2">
        <f>('[1]Qc, Spring, S1'!C3*Main!$B$5)</f>
        <v>-0.77085034308597455</v>
      </c>
      <c r="D3" s="2">
        <f>('[1]Qc, Spring, S1'!D3*Main!$B$5)</f>
        <v>-3.2281199461392442</v>
      </c>
      <c r="E3" s="2">
        <f>('[1]Qc, Spring, S1'!E3*Main!$B$5)</f>
        <v>-4.7015752524255081</v>
      </c>
      <c r="F3" s="2">
        <f>('[1]Qc, Spring, S1'!F3*Main!$B$5)</f>
        <v>-3.4506974329728513</v>
      </c>
      <c r="G3" s="2">
        <f>('[1]Qc, Spring, S1'!G3*Main!$B$5)</f>
        <v>-5.2749473450340352</v>
      </c>
      <c r="H3" s="2">
        <f>('[1]Qc, Spring, S1'!H3*Main!$B$5)</f>
        <v>-1.8064981858839808</v>
      </c>
      <c r="I3" s="2">
        <f>('[1]Qc, Spring, S1'!I3*Main!$B$5)</f>
        <v>1.4348903174934085</v>
      </c>
      <c r="J3" s="2">
        <f>('[1]Qc, Spring, S1'!J3*Main!$B$5)</f>
        <v>0.82190805450163229</v>
      </c>
      <c r="K3" s="2">
        <f>('[1]Qc, Spring, S1'!K3*Main!$B$5)</f>
        <v>0.98800819853868327</v>
      </c>
      <c r="L3" s="2">
        <f>('[1]Qc, Spring, S1'!L3*Main!$B$5)</f>
        <v>2.6347388636549058</v>
      </c>
      <c r="M3" s="2">
        <f>('[1]Qc, Spring, S1'!M3*Main!$B$5)</f>
        <v>1.5882168149813387</v>
      </c>
      <c r="N3" s="2">
        <f>('[1]Qc, Spring, S1'!N3*Main!$B$5)</f>
        <v>2.909616080026074</v>
      </c>
      <c r="O3" s="2">
        <f>('[1]Qc, Spring, S1'!O3*Main!$B$5)</f>
        <v>4.119915836306415</v>
      </c>
      <c r="P3" s="2">
        <f>('[1]Qc, Spring, S1'!P3*Main!$B$5)</f>
        <v>2.9629708247814124</v>
      </c>
      <c r="Q3" s="2">
        <f>('[1]Qc, Spring, S1'!Q3*Main!$B$5)</f>
        <v>4.0328712257987611</v>
      </c>
      <c r="R3" s="2">
        <f>('[1]Qc, Spring, S1'!R3*Main!$B$5)</f>
        <v>1.5204768047155013</v>
      </c>
      <c r="S3" s="2">
        <f>('[1]Qc, Spring, S1'!S3*Main!$B$5)</f>
        <v>1.4199292822571656</v>
      </c>
      <c r="T3" s="2">
        <f>('[1]Qc, Spring, S1'!T3*Main!$B$5)</f>
        <v>1.5204768047155013</v>
      </c>
      <c r="U3" s="2">
        <f>('[1]Qc, Spring, S1'!U3*Main!$B$5)</f>
        <v>1.4010461745495453</v>
      </c>
      <c r="V3" s="2">
        <f>('[1]Qc, Spring, S1'!V3*Main!$B$5)</f>
        <v>-0.72432590052867429</v>
      </c>
      <c r="W3" s="2">
        <f>('[1]Qc, Spring, S1'!W3*Main!$B$5)</f>
        <v>0.65363356159873442</v>
      </c>
      <c r="X3" s="2">
        <f>('[1]Qc, Spring, S1'!X3*Main!$B$5)</f>
        <v>-3.6227003307654448</v>
      </c>
      <c r="Y3" s="2">
        <f>('[1]Qc, Spring, S1'!Y3*Main!$B$5)</f>
        <v>-3.2674348138823048</v>
      </c>
    </row>
    <row r="4" spans="1:25" x14ac:dyDescent="0.3">
      <c r="A4">
        <v>3</v>
      </c>
      <c r="B4" s="2">
        <f>('[1]Qc, Spring, S1'!B4*Main!$B$5)</f>
        <v>11.632940782508614</v>
      </c>
      <c r="C4" s="2">
        <f>('[1]Qc, Spring, S1'!C4*Main!$B$5)</f>
        <v>9.2388169197273129</v>
      </c>
      <c r="D4" s="2">
        <f>('[1]Qc, Spring, S1'!D4*Main!$B$5)</f>
        <v>8.5771900944700086</v>
      </c>
      <c r="E4" s="2">
        <f>('[1]Qc, Spring, S1'!E4*Main!$B$5)</f>
        <v>7.9229070374965227</v>
      </c>
      <c r="F4" s="2">
        <f>('[1]Qc, Spring, S1'!F4*Main!$B$5)</f>
        <v>8.4541789894682537</v>
      </c>
      <c r="G4" s="2">
        <f>('[1]Qc, Spring, S1'!G4*Main!$B$5)</f>
        <v>6.545179925383116</v>
      </c>
      <c r="H4" s="2">
        <f>('[1]Qc, Spring, S1'!H4*Main!$B$5)</f>
        <v>11.196832746010866</v>
      </c>
      <c r="I4" s="2">
        <f>('[1]Qc, Spring, S1'!I4*Main!$B$5)</f>
        <v>16.134700358435364</v>
      </c>
      <c r="J4" s="2">
        <f>('[1]Qc, Spring, S1'!J4*Main!$B$5)</f>
        <v>21.835297261336283</v>
      </c>
      <c r="K4" s="2">
        <f>('[1]Qc, Spring, S1'!K4*Main!$B$5)</f>
        <v>25.693246025765873</v>
      </c>
      <c r="L4" s="2">
        <f>('[1]Qc, Spring, S1'!L4*Main!$B$5)</f>
        <v>26.120845080863852</v>
      </c>
      <c r="M4" s="2">
        <f>('[1]Qc, Spring, S1'!M4*Main!$B$5)</f>
        <v>26.510101004246831</v>
      </c>
      <c r="N4" s="2">
        <f>('[1]Qc, Spring, S1'!N4*Main!$B$5)</f>
        <v>28.468456672424363</v>
      </c>
      <c r="O4" s="2">
        <f>('[1]Qc, Spring, S1'!O4*Main!$B$5)</f>
        <v>27.414426006342573</v>
      </c>
      <c r="P4" s="2">
        <f>('[1]Qc, Spring, S1'!P4*Main!$B$5)</f>
        <v>25.461794237696669</v>
      </c>
      <c r="Q4" s="2">
        <f>('[1]Qc, Spring, S1'!Q4*Main!$B$5)</f>
        <v>25.267675833651392</v>
      </c>
      <c r="R4" s="2">
        <f>('[1]Qc, Spring, S1'!R4*Main!$B$5)</f>
        <v>24.529186218093798</v>
      </c>
      <c r="S4" s="2">
        <f>('[1]Qc, Spring, S1'!S4*Main!$B$5)</f>
        <v>25.793022436155944</v>
      </c>
      <c r="T4" s="2">
        <f>('[1]Qc, Spring, S1'!T4*Main!$B$5)</f>
        <v>25.613890147863419</v>
      </c>
      <c r="U4" s="2">
        <f>('[1]Qc, Spring, S1'!U4*Main!$B$5)</f>
        <v>25.313049188566058</v>
      </c>
      <c r="V4" s="2">
        <f>('[1]Qc, Spring, S1'!V4*Main!$B$5)</f>
        <v>21.78063735344854</v>
      </c>
      <c r="W4" s="2">
        <f>('[1]Qc, Spring, S1'!W4*Main!$B$5)</f>
        <v>23.631959587631854</v>
      </c>
      <c r="X4" s="2">
        <f>('[1]Qc, Spring, S1'!X4*Main!$B$5)</f>
        <v>19.95127377856868</v>
      </c>
      <c r="Y4" s="2">
        <f>('[1]Qc, Spring, S1'!Y4*Main!$B$5)</f>
        <v>16.574743346148065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594AD-079E-420B-872E-C5172D7B66A6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-13.665799417369277</v>
      </c>
      <c r="C2" s="2">
        <f>('[1]Qc, Spring, S1'!C2*Main!$B$5)</f>
        <v>-16.101598803958986</v>
      </c>
      <c r="D2" s="2">
        <f>('[1]Qc, Spring, S1'!D2*Main!$B$5)</f>
        <v>-18.097581980798033</v>
      </c>
      <c r="E2" s="2">
        <f>('[1]Qc, Spring, S1'!E2*Main!$B$5)</f>
        <v>-17.044408289510709</v>
      </c>
      <c r="F2" s="2">
        <f>('[1]Qc, Spring, S1'!F2*Main!$B$5)</f>
        <v>-17.215775166856695</v>
      </c>
      <c r="G2" s="2">
        <f>('[1]Qc, Spring, S1'!G2*Main!$B$5)</f>
        <v>-16.925472596940363</v>
      </c>
      <c r="H2" s="2">
        <f>('[1]Qc, Spring, S1'!H2*Main!$B$5)</f>
        <v>-14.079269945253422</v>
      </c>
      <c r="I2" s="2">
        <f>('[1]Qc, Spring, S1'!I2*Main!$B$5)</f>
        <v>-3.3734083461034805</v>
      </c>
      <c r="J2" s="2">
        <f>('[1]Qc, Spring, S1'!J2*Main!$B$5)</f>
        <v>3.7803115447856839</v>
      </c>
      <c r="K2" s="2">
        <f>('[1]Qc, Spring, S1'!K2*Main!$B$5)</f>
        <v>6.9013936076906583</v>
      </c>
      <c r="L2" s="2">
        <f>('[1]Qc, Spring, S1'!L2*Main!$B$5)</f>
        <v>4.5230239501939948</v>
      </c>
      <c r="M2" s="2">
        <f>('[1]Qc, Spring, S1'!M2*Main!$B$5)</f>
        <v>6.2166908205039633</v>
      </c>
      <c r="N2" s="2">
        <f>('[1]Qc, Spring, S1'!N2*Main!$B$5)</f>
        <v>5.4500721931974496</v>
      </c>
      <c r="O2" s="2">
        <f>('[1]Qc, Spring, S1'!O2*Main!$B$5)</f>
        <v>5.4487329552399508</v>
      </c>
      <c r="P2" s="2">
        <f>('[1]Qc, Spring, S1'!P2*Main!$B$5)</f>
        <v>1.2522277128309962</v>
      </c>
      <c r="Q2" s="2">
        <f>('[1]Qc, Spring, S1'!Q2*Main!$B$5)</f>
        <v>-2.2672143275953429</v>
      </c>
      <c r="R2" s="2">
        <f>('[1]Qc, Spring, S1'!R2*Main!$B$5)</f>
        <v>-0.97925112559254202</v>
      </c>
      <c r="S2" s="2">
        <f>('[1]Qc, Spring, S1'!S2*Main!$B$5)</f>
        <v>1.4020298112701615</v>
      </c>
      <c r="T2" s="2">
        <f>('[1]Qc, Spring, S1'!T2*Main!$B$5)</f>
        <v>8.4689415969637152E-2</v>
      </c>
      <c r="U2" s="2">
        <f>('[1]Qc, Spring, S1'!U2*Main!$B$5)</f>
        <v>-1.8138377646320292</v>
      </c>
      <c r="V2" s="2">
        <f>('[1]Qc, Spring, S1'!V2*Main!$B$5)</f>
        <v>-3.6814041436787495</v>
      </c>
      <c r="W2" s="2">
        <f>('[1]Qc, Spring, S1'!W2*Main!$B$5)</f>
        <v>-4.0586963466600334</v>
      </c>
      <c r="X2" s="2">
        <f>('[1]Qc, Spring, S1'!X2*Main!$B$5)</f>
        <v>-7.7740227729758793</v>
      </c>
      <c r="Y2" s="2">
        <f>('[1]Qc, Spring, S1'!Y2*Main!$B$5)</f>
        <v>-9.7959367741901957</v>
      </c>
    </row>
    <row r="3" spans="1:25" x14ac:dyDescent="0.3">
      <c r="A3">
        <v>2</v>
      </c>
      <c r="B3" s="2">
        <f>('[1]Qc, Spring, S1'!B3*Main!$B$5)</f>
        <v>-2.5161120213664003</v>
      </c>
      <c r="C3" s="2">
        <f>('[1]Qc, Spring, S1'!C3*Main!$B$5)</f>
        <v>-0.77085034308597455</v>
      </c>
      <c r="D3" s="2">
        <f>('[1]Qc, Spring, S1'!D3*Main!$B$5)</f>
        <v>-3.2281199461392442</v>
      </c>
      <c r="E3" s="2">
        <f>('[1]Qc, Spring, S1'!E3*Main!$B$5)</f>
        <v>-4.7015752524255081</v>
      </c>
      <c r="F3" s="2">
        <f>('[1]Qc, Spring, S1'!F3*Main!$B$5)</f>
        <v>-3.4506974329728513</v>
      </c>
      <c r="G3" s="2">
        <f>('[1]Qc, Spring, S1'!G3*Main!$B$5)</f>
        <v>-5.2749473450340352</v>
      </c>
      <c r="H3" s="2">
        <f>('[1]Qc, Spring, S1'!H3*Main!$B$5)</f>
        <v>-1.8064981858839808</v>
      </c>
      <c r="I3" s="2">
        <f>('[1]Qc, Spring, S1'!I3*Main!$B$5)</f>
        <v>1.4348903174934085</v>
      </c>
      <c r="J3" s="2">
        <f>('[1]Qc, Spring, S1'!J3*Main!$B$5)</f>
        <v>0.82190805450163229</v>
      </c>
      <c r="K3" s="2">
        <f>('[1]Qc, Spring, S1'!K3*Main!$B$5)</f>
        <v>0.98800819853868327</v>
      </c>
      <c r="L3" s="2">
        <f>('[1]Qc, Spring, S1'!L3*Main!$B$5)</f>
        <v>2.6347388636549058</v>
      </c>
      <c r="M3" s="2">
        <f>('[1]Qc, Spring, S1'!M3*Main!$B$5)</f>
        <v>1.5882168149813387</v>
      </c>
      <c r="N3" s="2">
        <f>('[1]Qc, Spring, S1'!N3*Main!$B$5)</f>
        <v>2.909616080026074</v>
      </c>
      <c r="O3" s="2">
        <f>('[1]Qc, Spring, S1'!O3*Main!$B$5)</f>
        <v>4.119915836306415</v>
      </c>
      <c r="P3" s="2">
        <f>('[1]Qc, Spring, S1'!P3*Main!$B$5)</f>
        <v>2.9629708247814124</v>
      </c>
      <c r="Q3" s="2">
        <f>('[1]Qc, Spring, S1'!Q3*Main!$B$5)</f>
        <v>4.0328712257987611</v>
      </c>
      <c r="R3" s="2">
        <f>('[1]Qc, Spring, S1'!R3*Main!$B$5)</f>
        <v>1.5204768047155013</v>
      </c>
      <c r="S3" s="2">
        <f>('[1]Qc, Spring, S1'!S3*Main!$B$5)</f>
        <v>1.4199292822571656</v>
      </c>
      <c r="T3" s="2">
        <f>('[1]Qc, Spring, S1'!T3*Main!$B$5)</f>
        <v>1.5204768047155013</v>
      </c>
      <c r="U3" s="2">
        <f>('[1]Qc, Spring, S1'!U3*Main!$B$5)</f>
        <v>1.4010461745495453</v>
      </c>
      <c r="V3" s="2">
        <f>('[1]Qc, Spring, S1'!V3*Main!$B$5)</f>
        <v>-0.72432590052867429</v>
      </c>
      <c r="W3" s="2">
        <f>('[1]Qc, Spring, S1'!W3*Main!$B$5)</f>
        <v>0.65363356159873442</v>
      </c>
      <c r="X3" s="2">
        <f>('[1]Qc, Spring, S1'!X3*Main!$B$5)</f>
        <v>-3.6227003307654448</v>
      </c>
      <c r="Y3" s="2">
        <f>('[1]Qc, Spring, S1'!Y3*Main!$B$5)</f>
        <v>-3.2674348138823048</v>
      </c>
    </row>
    <row r="4" spans="1:25" x14ac:dyDescent="0.3">
      <c r="A4">
        <v>3</v>
      </c>
      <c r="B4" s="2">
        <f>('[1]Qc, Spring, S1'!B4*Main!$B$5)</f>
        <v>11.632940782508614</v>
      </c>
      <c r="C4" s="2">
        <f>('[1]Qc, Spring, S1'!C4*Main!$B$5)</f>
        <v>9.2388169197273129</v>
      </c>
      <c r="D4" s="2">
        <f>('[1]Qc, Spring, S1'!D4*Main!$B$5)</f>
        <v>8.5771900944700086</v>
      </c>
      <c r="E4" s="2">
        <f>('[1]Qc, Spring, S1'!E4*Main!$B$5)</f>
        <v>7.9229070374965227</v>
      </c>
      <c r="F4" s="2">
        <f>('[1]Qc, Spring, S1'!F4*Main!$B$5)</f>
        <v>8.4541789894682537</v>
      </c>
      <c r="G4" s="2">
        <f>('[1]Qc, Spring, S1'!G4*Main!$B$5)</f>
        <v>6.545179925383116</v>
      </c>
      <c r="H4" s="2">
        <f>('[1]Qc, Spring, S1'!H4*Main!$B$5)</f>
        <v>11.196832746010866</v>
      </c>
      <c r="I4" s="2">
        <f>('[1]Qc, Spring, S1'!I4*Main!$B$5)</f>
        <v>16.134700358435364</v>
      </c>
      <c r="J4" s="2">
        <f>('[1]Qc, Spring, S1'!J4*Main!$B$5)</f>
        <v>21.835297261336283</v>
      </c>
      <c r="K4" s="2">
        <f>('[1]Qc, Spring, S1'!K4*Main!$B$5)</f>
        <v>25.693246025765873</v>
      </c>
      <c r="L4" s="2">
        <f>('[1]Qc, Spring, S1'!L4*Main!$B$5)</f>
        <v>26.120845080863852</v>
      </c>
      <c r="M4" s="2">
        <f>('[1]Qc, Spring, S1'!M4*Main!$B$5)</f>
        <v>26.510101004246831</v>
      </c>
      <c r="N4" s="2">
        <f>('[1]Qc, Spring, S1'!N4*Main!$B$5)</f>
        <v>28.468456672424363</v>
      </c>
      <c r="O4" s="2">
        <f>('[1]Qc, Spring, S1'!O4*Main!$B$5)</f>
        <v>27.414426006342573</v>
      </c>
      <c r="P4" s="2">
        <f>('[1]Qc, Spring, S1'!P4*Main!$B$5)</f>
        <v>25.461794237696669</v>
      </c>
      <c r="Q4" s="2">
        <f>('[1]Qc, Spring, S1'!Q4*Main!$B$5)</f>
        <v>25.267675833651392</v>
      </c>
      <c r="R4" s="2">
        <f>('[1]Qc, Spring, S1'!R4*Main!$B$5)</f>
        <v>24.529186218093798</v>
      </c>
      <c r="S4" s="2">
        <f>('[1]Qc, Spring, S1'!S4*Main!$B$5)</f>
        <v>25.793022436155944</v>
      </c>
      <c r="T4" s="2">
        <f>('[1]Qc, Spring, S1'!T4*Main!$B$5)</f>
        <v>25.613890147863419</v>
      </c>
      <c r="U4" s="2">
        <f>('[1]Qc, Spring, S1'!U4*Main!$B$5)</f>
        <v>25.313049188566058</v>
      </c>
      <c r="V4" s="2">
        <f>('[1]Qc, Spring, S1'!V4*Main!$B$5)</f>
        <v>21.78063735344854</v>
      </c>
      <c r="W4" s="2">
        <f>('[1]Qc, Spring, S1'!W4*Main!$B$5)</f>
        <v>23.631959587631854</v>
      </c>
      <c r="X4" s="2">
        <f>('[1]Qc, Spring, S1'!X4*Main!$B$5)</f>
        <v>19.95127377856868</v>
      </c>
      <c r="Y4" s="2">
        <f>('[1]Qc, Spring, S1'!Y4*Main!$B$5)</f>
        <v>16.574743346148065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EA5EA-0B6A-47A3-A1C6-41E65EF57CD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-13.665799417369277</v>
      </c>
      <c r="C2" s="2">
        <f>('[1]Qc, Spring, S1'!C2*Main!$B$5)</f>
        <v>-16.101598803958986</v>
      </c>
      <c r="D2" s="2">
        <f>('[1]Qc, Spring, S1'!D2*Main!$B$5)</f>
        <v>-18.097581980798033</v>
      </c>
      <c r="E2" s="2">
        <f>('[1]Qc, Spring, S1'!E2*Main!$B$5)</f>
        <v>-17.044408289510709</v>
      </c>
      <c r="F2" s="2">
        <f>('[1]Qc, Spring, S1'!F2*Main!$B$5)</f>
        <v>-17.215775166856695</v>
      </c>
      <c r="G2" s="2">
        <f>('[1]Qc, Spring, S1'!G2*Main!$B$5)</f>
        <v>-16.925472596940363</v>
      </c>
      <c r="H2" s="2">
        <f>('[1]Qc, Spring, S1'!H2*Main!$B$5)</f>
        <v>-14.079269945253422</v>
      </c>
      <c r="I2" s="2">
        <f>('[1]Qc, Spring, S1'!I2*Main!$B$5)</f>
        <v>-3.3734083461034805</v>
      </c>
      <c r="J2" s="2">
        <f>('[1]Qc, Spring, S1'!J2*Main!$B$5)</f>
        <v>3.7803115447856839</v>
      </c>
      <c r="K2" s="2">
        <f>('[1]Qc, Spring, S1'!K2*Main!$B$5)</f>
        <v>6.9013936076906583</v>
      </c>
      <c r="L2" s="2">
        <f>('[1]Qc, Spring, S1'!L2*Main!$B$5)</f>
        <v>4.5230239501939948</v>
      </c>
      <c r="M2" s="2">
        <f>('[1]Qc, Spring, S1'!M2*Main!$B$5)</f>
        <v>6.2166908205039633</v>
      </c>
      <c r="N2" s="2">
        <f>('[1]Qc, Spring, S1'!N2*Main!$B$5)</f>
        <v>5.4500721931974496</v>
      </c>
      <c r="O2" s="2">
        <f>('[1]Qc, Spring, S1'!O2*Main!$B$5)</f>
        <v>5.4487329552399508</v>
      </c>
      <c r="P2" s="2">
        <f>('[1]Qc, Spring, S1'!P2*Main!$B$5)</f>
        <v>1.2522277128309962</v>
      </c>
      <c r="Q2" s="2">
        <f>('[1]Qc, Spring, S1'!Q2*Main!$B$5)</f>
        <v>-2.2672143275953429</v>
      </c>
      <c r="R2" s="2">
        <f>('[1]Qc, Spring, S1'!R2*Main!$B$5)</f>
        <v>-0.97925112559254202</v>
      </c>
      <c r="S2" s="2">
        <f>('[1]Qc, Spring, S1'!S2*Main!$B$5)</f>
        <v>1.4020298112701615</v>
      </c>
      <c r="T2" s="2">
        <f>('[1]Qc, Spring, S1'!T2*Main!$B$5)</f>
        <v>8.4689415969637152E-2</v>
      </c>
      <c r="U2" s="2">
        <f>('[1]Qc, Spring, S1'!U2*Main!$B$5)</f>
        <v>-1.8138377646320292</v>
      </c>
      <c r="V2" s="2">
        <f>('[1]Qc, Spring, S1'!V2*Main!$B$5)</f>
        <v>-3.6814041436787495</v>
      </c>
      <c r="W2" s="2">
        <f>('[1]Qc, Spring, S1'!W2*Main!$B$5)</f>
        <v>-4.0586963466600334</v>
      </c>
      <c r="X2" s="2">
        <f>('[1]Qc, Spring, S1'!X2*Main!$B$5)</f>
        <v>-7.7740227729758793</v>
      </c>
      <c r="Y2" s="2">
        <f>('[1]Qc, Spring, S1'!Y2*Main!$B$5)</f>
        <v>-9.7959367741901957</v>
      </c>
    </row>
    <row r="3" spans="1:25" x14ac:dyDescent="0.3">
      <c r="A3">
        <v>2</v>
      </c>
      <c r="B3" s="2">
        <f>('[1]Qc, Spring, S1'!B3*Main!$B$5)</f>
        <v>-2.5161120213664003</v>
      </c>
      <c r="C3" s="2">
        <f>('[1]Qc, Spring, S1'!C3*Main!$B$5)</f>
        <v>-0.77085034308597455</v>
      </c>
      <c r="D3" s="2">
        <f>('[1]Qc, Spring, S1'!D3*Main!$B$5)</f>
        <v>-3.2281199461392442</v>
      </c>
      <c r="E3" s="2">
        <f>('[1]Qc, Spring, S1'!E3*Main!$B$5)</f>
        <v>-4.7015752524255081</v>
      </c>
      <c r="F3" s="2">
        <f>('[1]Qc, Spring, S1'!F3*Main!$B$5)</f>
        <v>-3.4506974329728513</v>
      </c>
      <c r="G3" s="2">
        <f>('[1]Qc, Spring, S1'!G3*Main!$B$5)</f>
        <v>-5.2749473450340352</v>
      </c>
      <c r="H3" s="2">
        <f>('[1]Qc, Spring, S1'!H3*Main!$B$5)</f>
        <v>-1.8064981858839808</v>
      </c>
      <c r="I3" s="2">
        <f>('[1]Qc, Spring, S1'!I3*Main!$B$5)</f>
        <v>1.4348903174934085</v>
      </c>
      <c r="J3" s="2">
        <f>('[1]Qc, Spring, S1'!J3*Main!$B$5)</f>
        <v>0.82190805450163229</v>
      </c>
      <c r="K3" s="2">
        <f>('[1]Qc, Spring, S1'!K3*Main!$B$5)</f>
        <v>0.98800819853868327</v>
      </c>
      <c r="L3" s="2">
        <f>('[1]Qc, Spring, S1'!L3*Main!$B$5)</f>
        <v>2.6347388636549058</v>
      </c>
      <c r="M3" s="2">
        <f>('[1]Qc, Spring, S1'!M3*Main!$B$5)</f>
        <v>1.5882168149813387</v>
      </c>
      <c r="N3" s="2">
        <f>('[1]Qc, Spring, S1'!N3*Main!$B$5)</f>
        <v>2.909616080026074</v>
      </c>
      <c r="O3" s="2">
        <f>('[1]Qc, Spring, S1'!O3*Main!$B$5)</f>
        <v>4.119915836306415</v>
      </c>
      <c r="P3" s="2">
        <f>('[1]Qc, Spring, S1'!P3*Main!$B$5)</f>
        <v>2.9629708247814124</v>
      </c>
      <c r="Q3" s="2">
        <f>('[1]Qc, Spring, S1'!Q3*Main!$B$5)</f>
        <v>4.0328712257987611</v>
      </c>
      <c r="R3" s="2">
        <f>('[1]Qc, Spring, S1'!R3*Main!$B$5)</f>
        <v>1.5204768047155013</v>
      </c>
      <c r="S3" s="2">
        <f>('[1]Qc, Spring, S1'!S3*Main!$B$5)</f>
        <v>1.4199292822571656</v>
      </c>
      <c r="T3" s="2">
        <f>('[1]Qc, Spring, S1'!T3*Main!$B$5)</f>
        <v>1.5204768047155013</v>
      </c>
      <c r="U3" s="2">
        <f>('[1]Qc, Spring, S1'!U3*Main!$B$5)</f>
        <v>1.4010461745495453</v>
      </c>
      <c r="V3" s="2">
        <f>('[1]Qc, Spring, S1'!V3*Main!$B$5)</f>
        <v>-0.72432590052867429</v>
      </c>
      <c r="W3" s="2">
        <f>('[1]Qc, Spring, S1'!W3*Main!$B$5)</f>
        <v>0.65363356159873442</v>
      </c>
      <c r="X3" s="2">
        <f>('[1]Qc, Spring, S1'!X3*Main!$B$5)</f>
        <v>-3.6227003307654448</v>
      </c>
      <c r="Y3" s="2">
        <f>('[1]Qc, Spring, S1'!Y3*Main!$B$5)</f>
        <v>-3.2674348138823048</v>
      </c>
    </row>
    <row r="4" spans="1:25" x14ac:dyDescent="0.3">
      <c r="A4">
        <v>3</v>
      </c>
      <c r="B4" s="2">
        <f>('[1]Qc, Spring, S1'!B4*Main!$B$5)</f>
        <v>11.632940782508614</v>
      </c>
      <c r="C4" s="2">
        <f>('[1]Qc, Spring, S1'!C4*Main!$B$5)</f>
        <v>9.2388169197273129</v>
      </c>
      <c r="D4" s="2">
        <f>('[1]Qc, Spring, S1'!D4*Main!$B$5)</f>
        <v>8.5771900944700086</v>
      </c>
      <c r="E4" s="2">
        <f>('[1]Qc, Spring, S1'!E4*Main!$B$5)</f>
        <v>7.9229070374965227</v>
      </c>
      <c r="F4" s="2">
        <f>('[1]Qc, Spring, S1'!F4*Main!$B$5)</f>
        <v>8.4541789894682537</v>
      </c>
      <c r="G4" s="2">
        <f>('[1]Qc, Spring, S1'!G4*Main!$B$5)</f>
        <v>6.545179925383116</v>
      </c>
      <c r="H4" s="2">
        <f>('[1]Qc, Spring, S1'!H4*Main!$B$5)</f>
        <v>11.196832746010866</v>
      </c>
      <c r="I4" s="2">
        <f>('[1]Qc, Spring, S1'!I4*Main!$B$5)</f>
        <v>16.134700358435364</v>
      </c>
      <c r="J4" s="2">
        <f>('[1]Qc, Spring, S1'!J4*Main!$B$5)</f>
        <v>21.835297261336283</v>
      </c>
      <c r="K4" s="2">
        <f>('[1]Qc, Spring, S1'!K4*Main!$B$5)</f>
        <v>25.693246025765873</v>
      </c>
      <c r="L4" s="2">
        <f>('[1]Qc, Spring, S1'!L4*Main!$B$5)</f>
        <v>26.120845080863852</v>
      </c>
      <c r="M4" s="2">
        <f>('[1]Qc, Spring, S1'!M4*Main!$B$5)</f>
        <v>26.510101004246831</v>
      </c>
      <c r="N4" s="2">
        <f>('[1]Qc, Spring, S1'!N4*Main!$B$5)</f>
        <v>28.468456672424363</v>
      </c>
      <c r="O4" s="2">
        <f>('[1]Qc, Spring, S1'!O4*Main!$B$5)</f>
        <v>27.414426006342573</v>
      </c>
      <c r="P4" s="2">
        <f>('[1]Qc, Spring, S1'!P4*Main!$B$5)</f>
        <v>25.461794237696669</v>
      </c>
      <c r="Q4" s="2">
        <f>('[1]Qc, Spring, S1'!Q4*Main!$B$5)</f>
        <v>25.267675833651392</v>
      </c>
      <c r="R4" s="2">
        <f>('[1]Qc, Spring, S1'!R4*Main!$B$5)</f>
        <v>24.529186218093798</v>
      </c>
      <c r="S4" s="2">
        <f>('[1]Qc, Spring, S1'!S4*Main!$B$5)</f>
        <v>25.793022436155944</v>
      </c>
      <c r="T4" s="2">
        <f>('[1]Qc, Spring, S1'!T4*Main!$B$5)</f>
        <v>25.613890147863419</v>
      </c>
      <c r="U4" s="2">
        <f>('[1]Qc, Spring, S1'!U4*Main!$B$5)</f>
        <v>25.313049188566058</v>
      </c>
      <c r="V4" s="2">
        <f>('[1]Qc, Spring, S1'!V4*Main!$B$5)</f>
        <v>21.78063735344854</v>
      </c>
      <c r="W4" s="2">
        <f>('[1]Qc, Spring, S1'!W4*Main!$B$5)</f>
        <v>23.631959587631854</v>
      </c>
      <c r="X4" s="2">
        <f>('[1]Qc, Spring, S1'!X4*Main!$B$5)</f>
        <v>19.95127377856868</v>
      </c>
      <c r="Y4" s="2">
        <f>('[1]Qc, Spring, S1'!Y4*Main!$B$5)</f>
        <v>16.574743346148065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54F07-C1AD-4D86-B5D4-DA6C81A87E64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-14.075773399890355</v>
      </c>
      <c r="C2" s="2">
        <f>('[1]Qc, Spring, S2'!C2*Main!$B$5)</f>
        <v>-16.584646768077754</v>
      </c>
      <c r="D2" s="2">
        <f>('[1]Qc, Spring, S2'!D2*Main!$B$5)</f>
        <v>-18.640509440221976</v>
      </c>
      <c r="E2" s="2">
        <f>('[1]Qc, Spring, S2'!E2*Main!$B$5)</f>
        <v>-17.555740538196034</v>
      </c>
      <c r="F2" s="2">
        <f>('[1]Qc, Spring, S2'!F2*Main!$B$5)</f>
        <v>-17.732248421862398</v>
      </c>
      <c r="G2" s="2">
        <f>('[1]Qc, Spring, S2'!G2*Main!$B$5)</f>
        <v>-17.433236774848574</v>
      </c>
      <c r="H2" s="2">
        <f>('[1]Qc, Spring, S2'!H2*Main!$B$5)</f>
        <v>-14.501648043611025</v>
      </c>
      <c r="I2" s="2">
        <f>('[1]Qc, Spring, S2'!I2*Main!$B$5)</f>
        <v>-3.4746105964865857</v>
      </c>
      <c r="J2" s="2">
        <f>('[1]Qc, Spring, S2'!J2*Main!$B$5)</f>
        <v>3.8937208911292545</v>
      </c>
      <c r="K2" s="2">
        <f>('[1]Qc, Spring, S2'!K2*Main!$B$5)</f>
        <v>7.1084354159213783</v>
      </c>
      <c r="L2" s="2">
        <f>('[1]Qc, Spring, S2'!L2*Main!$B$5)</f>
        <v>4.6587146686998144</v>
      </c>
      <c r="M2" s="2">
        <f>('[1]Qc, Spring, S2'!M2*Main!$B$5)</f>
        <v>6.4031915451190828</v>
      </c>
      <c r="N2" s="2">
        <f>('[1]Qc, Spring, S2'!N2*Main!$B$5)</f>
        <v>5.6135743589933735</v>
      </c>
      <c r="O2" s="2">
        <f>('[1]Qc, Spring, S2'!O2*Main!$B$5)</f>
        <v>5.6121949438971503</v>
      </c>
      <c r="P2" s="2">
        <f>('[1]Qc, Spring, S2'!P2*Main!$B$5)</f>
        <v>1.2897945442159262</v>
      </c>
      <c r="Q2" s="2">
        <f>('[1]Qc, Spring, S2'!Q2*Main!$B$5)</f>
        <v>-2.3352307574232039</v>
      </c>
      <c r="R2" s="2">
        <f>('[1]Qc, Spring, S2'!R2*Main!$B$5)</f>
        <v>-1.0086286593603184</v>
      </c>
      <c r="S2" s="2">
        <f>('[1]Qc, Spring, S2'!S2*Main!$B$5)</f>
        <v>1.4440907056082661</v>
      </c>
      <c r="T2" s="2">
        <f>('[1]Qc, Spring, S2'!T2*Main!$B$5)</f>
        <v>8.7230098448726284E-2</v>
      </c>
      <c r="U2" s="2">
        <f>('[1]Qc, Spring, S2'!U2*Main!$B$5)</f>
        <v>-1.86825289757099</v>
      </c>
      <c r="V2" s="2">
        <f>('[1]Qc, Spring, S2'!V2*Main!$B$5)</f>
        <v>-3.7918462679891118</v>
      </c>
      <c r="W2" s="2">
        <f>('[1]Qc, Spring, S2'!W2*Main!$B$5)</f>
        <v>-4.1804572370598345</v>
      </c>
      <c r="X2" s="2">
        <f>('[1]Qc, Spring, S2'!X2*Main!$B$5)</f>
        <v>-8.0072434561651562</v>
      </c>
      <c r="Y2" s="2">
        <f>('[1]Qc, Spring, S2'!Y2*Main!$B$5)</f>
        <v>-10.0898148774159</v>
      </c>
    </row>
    <row r="3" spans="1:25" x14ac:dyDescent="0.3">
      <c r="A3">
        <v>2</v>
      </c>
      <c r="B3" s="2">
        <f>('[1]Qc, Spring, S2'!B3*Main!$B$5)</f>
        <v>-2.5915953820073923</v>
      </c>
      <c r="C3" s="2">
        <f>('[1]Qc, Spring, S2'!C3*Main!$B$5)</f>
        <v>-0.79397585337855392</v>
      </c>
      <c r="D3" s="2">
        <f>('[1]Qc, Spring, S2'!D3*Main!$B$5)</f>
        <v>-3.3249635445234214</v>
      </c>
      <c r="E3" s="2">
        <f>('[1]Qc, Spring, S2'!E3*Main!$B$5)</f>
        <v>-4.8426225099982734</v>
      </c>
      <c r="F3" s="2">
        <f>('[1]Qc, Spring, S2'!F3*Main!$B$5)</f>
        <v>-3.5542183559620364</v>
      </c>
      <c r="G3" s="2">
        <f>('[1]Qc, Spring, S2'!G3*Main!$B$5)</f>
        <v>-5.4331957653850571</v>
      </c>
      <c r="H3" s="2">
        <f>('[1]Qc, Spring, S2'!H3*Main!$B$5)</f>
        <v>-1.8606931314605</v>
      </c>
      <c r="I3" s="2">
        <f>('[1]Qc, Spring, S2'!I3*Main!$B$5)</f>
        <v>1.4779370270182108</v>
      </c>
      <c r="J3" s="2">
        <f>('[1]Qc, Spring, S2'!J3*Main!$B$5)</f>
        <v>0.8465652961366813</v>
      </c>
      <c r="K3" s="2">
        <f>('[1]Qc, Spring, S2'!K3*Main!$B$5)</f>
        <v>1.0176484444948437</v>
      </c>
      <c r="L3" s="2">
        <f>('[1]Qc, Spring, S2'!L3*Main!$B$5)</f>
        <v>2.7137810295645526</v>
      </c>
      <c r="M3" s="2">
        <f>('[1]Qc, Spring, S2'!M3*Main!$B$5)</f>
        <v>1.635863319430779</v>
      </c>
      <c r="N3" s="2">
        <f>('[1]Qc, Spring, S2'!N3*Main!$B$5)</f>
        <v>2.9969045624268569</v>
      </c>
      <c r="O3" s="2">
        <f>('[1]Qc, Spring, S2'!O3*Main!$B$5)</f>
        <v>4.2435133113956063</v>
      </c>
      <c r="P3" s="2">
        <f>('[1]Qc, Spring, S2'!P3*Main!$B$5)</f>
        <v>3.0518599495248551</v>
      </c>
      <c r="Q3" s="2">
        <f>('[1]Qc, Spring, S2'!Q3*Main!$B$5)</f>
        <v>4.1538573625727242</v>
      </c>
      <c r="R3" s="2">
        <f>('[1]Qc, Spring, S2'!R3*Main!$B$5)</f>
        <v>1.5660911088569662</v>
      </c>
      <c r="S3" s="2">
        <f>('[1]Qc, Spring, S2'!S3*Main!$B$5)</f>
        <v>1.4625271607248806</v>
      </c>
      <c r="T3" s="2">
        <f>('[1]Qc, Spring, S2'!T3*Main!$B$5)</f>
        <v>1.5660911088569662</v>
      </c>
      <c r="U3" s="2">
        <f>('[1]Qc, Spring, S2'!U3*Main!$B$5)</f>
        <v>1.4430775597860317</v>
      </c>
      <c r="V3" s="2">
        <f>('[1]Qc, Spring, S2'!V3*Main!$B$5)</f>
        <v>-0.7460556775445345</v>
      </c>
      <c r="W3" s="2">
        <f>('[1]Qc, Spring, S2'!W3*Main!$B$5)</f>
        <v>0.6732425684466965</v>
      </c>
      <c r="X3" s="2">
        <f>('[1]Qc, Spring, S2'!X3*Main!$B$5)</f>
        <v>-3.7313813406884084</v>
      </c>
      <c r="Y3" s="2">
        <f>('[1]Qc, Spring, S2'!Y3*Main!$B$5)</f>
        <v>-3.3654578582987735</v>
      </c>
    </row>
    <row r="4" spans="1:25" x14ac:dyDescent="0.3">
      <c r="A4">
        <v>3</v>
      </c>
      <c r="B4" s="2">
        <f>('[1]Qc, Spring, S2'!B4*Main!$B$5)</f>
        <v>11.981929005983872</v>
      </c>
      <c r="C4" s="2">
        <f>('[1]Qc, Spring, S2'!C4*Main!$B$5)</f>
        <v>9.515981427319133</v>
      </c>
      <c r="D4" s="2">
        <f>('[1]Qc, Spring, S2'!D4*Main!$B$5)</f>
        <v>8.834505797304109</v>
      </c>
      <c r="E4" s="2">
        <f>('[1]Qc, Spring, S2'!E4*Main!$B$5)</f>
        <v>8.1605942486214182</v>
      </c>
      <c r="F4" s="2">
        <f>('[1]Qc, Spring, S2'!F4*Main!$B$5)</f>
        <v>8.707804359152302</v>
      </c>
      <c r="G4" s="2">
        <f>('[1]Qc, Spring, S2'!G4*Main!$B$5)</f>
        <v>6.7415353231446096</v>
      </c>
      <c r="H4" s="2">
        <f>('[1]Qc, Spring, S2'!H4*Main!$B$5)</f>
        <v>11.532737728391194</v>
      </c>
      <c r="I4" s="2">
        <f>('[1]Qc, Spring, S2'!I4*Main!$B$5)</f>
        <v>16.618741369188424</v>
      </c>
      <c r="J4" s="2">
        <f>('[1]Qc, Spring, S2'!J4*Main!$B$5)</f>
        <v>22.49035617917637</v>
      </c>
      <c r="K4" s="2">
        <f>('[1]Qc, Spring, S2'!K4*Main!$B$5)</f>
        <v>26.464043406538853</v>
      </c>
      <c r="L4" s="2">
        <f>('[1]Qc, Spring, S2'!L4*Main!$B$5)</f>
        <v>26.90447043328977</v>
      </c>
      <c r="M4" s="2">
        <f>('[1]Qc, Spring, S2'!M4*Main!$B$5)</f>
        <v>27.305404034374238</v>
      </c>
      <c r="N4" s="2">
        <f>('[1]Qc, Spring, S2'!N4*Main!$B$5)</f>
        <v>29.322510372597097</v>
      </c>
      <c r="O4" s="2">
        <f>('[1]Qc, Spring, S2'!O4*Main!$B$5)</f>
        <v>28.236858786532849</v>
      </c>
      <c r="P4" s="2">
        <f>('[1]Qc, Spring, S2'!P4*Main!$B$5)</f>
        <v>26.225648064827563</v>
      </c>
      <c r="Q4" s="2">
        <f>('[1]Qc, Spring, S2'!Q4*Main!$B$5)</f>
        <v>26.025706108660938</v>
      </c>
      <c r="R4" s="2">
        <f>('[1]Qc, Spring, S2'!R4*Main!$B$5)</f>
        <v>25.265061804636609</v>
      </c>
      <c r="S4" s="2">
        <f>('[1]Qc, Spring, S2'!S4*Main!$B$5)</f>
        <v>26.56681310924062</v>
      </c>
      <c r="T4" s="2">
        <f>('[1]Qc, Spring, S2'!T4*Main!$B$5)</f>
        <v>26.382306852299326</v>
      </c>
      <c r="U4" s="2">
        <f>('[1]Qc, Spring, S2'!U4*Main!$B$5)</f>
        <v>26.072440664223041</v>
      </c>
      <c r="V4" s="2">
        <f>('[1]Qc, Spring, S2'!V4*Main!$B$5)</f>
        <v>22.434056474051996</v>
      </c>
      <c r="W4" s="2">
        <f>('[1]Qc, Spring, S2'!W4*Main!$B$5)</f>
        <v>24.340918375260809</v>
      </c>
      <c r="X4" s="2">
        <f>('[1]Qc, Spring, S2'!X4*Main!$B$5)</f>
        <v>20.549811991925736</v>
      </c>
      <c r="Y4" s="2">
        <f>('[1]Qc, Spring, S2'!Y4*Main!$B$5)</f>
        <v>17.071985646532507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A6530-5877-4027-8363-AD7F85A7384A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-14.075773399890355</v>
      </c>
      <c r="C2" s="2">
        <f>('[1]Qc, Spring, S2'!C2*Main!$B$5)</f>
        <v>-16.584646768077754</v>
      </c>
      <c r="D2" s="2">
        <f>('[1]Qc, Spring, S2'!D2*Main!$B$5)</f>
        <v>-18.640509440221976</v>
      </c>
      <c r="E2" s="2">
        <f>('[1]Qc, Spring, S2'!E2*Main!$B$5)</f>
        <v>-17.555740538196034</v>
      </c>
      <c r="F2" s="2">
        <f>('[1]Qc, Spring, S2'!F2*Main!$B$5)</f>
        <v>-17.732248421862398</v>
      </c>
      <c r="G2" s="2">
        <f>('[1]Qc, Spring, S2'!G2*Main!$B$5)</f>
        <v>-17.433236774848574</v>
      </c>
      <c r="H2" s="2">
        <f>('[1]Qc, Spring, S2'!H2*Main!$B$5)</f>
        <v>-14.501648043611025</v>
      </c>
      <c r="I2" s="2">
        <f>('[1]Qc, Spring, S2'!I2*Main!$B$5)</f>
        <v>-3.4746105964865857</v>
      </c>
      <c r="J2" s="2">
        <f>('[1]Qc, Spring, S2'!J2*Main!$B$5)</f>
        <v>3.8937208911292545</v>
      </c>
      <c r="K2" s="2">
        <f>('[1]Qc, Spring, S2'!K2*Main!$B$5)</f>
        <v>7.1084354159213783</v>
      </c>
      <c r="L2" s="2">
        <f>('[1]Qc, Spring, S2'!L2*Main!$B$5)</f>
        <v>4.6587146686998144</v>
      </c>
      <c r="M2" s="2">
        <f>('[1]Qc, Spring, S2'!M2*Main!$B$5)</f>
        <v>6.4031915451190828</v>
      </c>
      <c r="N2" s="2">
        <f>('[1]Qc, Spring, S2'!N2*Main!$B$5)</f>
        <v>5.6135743589933735</v>
      </c>
      <c r="O2" s="2">
        <f>('[1]Qc, Spring, S2'!O2*Main!$B$5)</f>
        <v>5.6121949438971503</v>
      </c>
      <c r="P2" s="2">
        <f>('[1]Qc, Spring, S2'!P2*Main!$B$5)</f>
        <v>1.2897945442159262</v>
      </c>
      <c r="Q2" s="2">
        <f>('[1]Qc, Spring, S2'!Q2*Main!$B$5)</f>
        <v>-2.3352307574232039</v>
      </c>
      <c r="R2" s="2">
        <f>('[1]Qc, Spring, S2'!R2*Main!$B$5)</f>
        <v>-1.0086286593603184</v>
      </c>
      <c r="S2" s="2">
        <f>('[1]Qc, Spring, S2'!S2*Main!$B$5)</f>
        <v>1.4440907056082661</v>
      </c>
      <c r="T2" s="2">
        <f>('[1]Qc, Spring, S2'!T2*Main!$B$5)</f>
        <v>8.7230098448726284E-2</v>
      </c>
      <c r="U2" s="2">
        <f>('[1]Qc, Spring, S2'!U2*Main!$B$5)</f>
        <v>-1.86825289757099</v>
      </c>
      <c r="V2" s="2">
        <f>('[1]Qc, Spring, S2'!V2*Main!$B$5)</f>
        <v>-3.7918462679891118</v>
      </c>
      <c r="W2" s="2">
        <f>('[1]Qc, Spring, S2'!W2*Main!$B$5)</f>
        <v>-4.1804572370598345</v>
      </c>
      <c r="X2" s="2">
        <f>('[1]Qc, Spring, S2'!X2*Main!$B$5)</f>
        <v>-8.0072434561651562</v>
      </c>
      <c r="Y2" s="2">
        <f>('[1]Qc, Spring, S2'!Y2*Main!$B$5)</f>
        <v>-10.0898148774159</v>
      </c>
    </row>
    <row r="3" spans="1:25" x14ac:dyDescent="0.3">
      <c r="A3">
        <v>2</v>
      </c>
      <c r="B3" s="2">
        <f>('[1]Qc, Spring, S2'!B3*Main!$B$5)</f>
        <v>-2.5915953820073923</v>
      </c>
      <c r="C3" s="2">
        <f>('[1]Qc, Spring, S2'!C3*Main!$B$5)</f>
        <v>-0.79397585337855392</v>
      </c>
      <c r="D3" s="2">
        <f>('[1]Qc, Spring, S2'!D3*Main!$B$5)</f>
        <v>-3.3249635445234214</v>
      </c>
      <c r="E3" s="2">
        <f>('[1]Qc, Spring, S2'!E3*Main!$B$5)</f>
        <v>-4.8426225099982734</v>
      </c>
      <c r="F3" s="2">
        <f>('[1]Qc, Spring, S2'!F3*Main!$B$5)</f>
        <v>-3.5542183559620364</v>
      </c>
      <c r="G3" s="2">
        <f>('[1]Qc, Spring, S2'!G3*Main!$B$5)</f>
        <v>-5.4331957653850571</v>
      </c>
      <c r="H3" s="2">
        <f>('[1]Qc, Spring, S2'!H3*Main!$B$5)</f>
        <v>-1.8606931314605</v>
      </c>
      <c r="I3" s="2">
        <f>('[1]Qc, Spring, S2'!I3*Main!$B$5)</f>
        <v>1.4779370270182108</v>
      </c>
      <c r="J3" s="2">
        <f>('[1]Qc, Spring, S2'!J3*Main!$B$5)</f>
        <v>0.8465652961366813</v>
      </c>
      <c r="K3" s="2">
        <f>('[1]Qc, Spring, S2'!K3*Main!$B$5)</f>
        <v>1.0176484444948437</v>
      </c>
      <c r="L3" s="2">
        <f>('[1]Qc, Spring, S2'!L3*Main!$B$5)</f>
        <v>2.7137810295645526</v>
      </c>
      <c r="M3" s="2">
        <f>('[1]Qc, Spring, S2'!M3*Main!$B$5)</f>
        <v>1.635863319430779</v>
      </c>
      <c r="N3" s="2">
        <f>('[1]Qc, Spring, S2'!N3*Main!$B$5)</f>
        <v>2.9969045624268569</v>
      </c>
      <c r="O3" s="2">
        <f>('[1]Qc, Spring, S2'!O3*Main!$B$5)</f>
        <v>4.2435133113956063</v>
      </c>
      <c r="P3" s="2">
        <f>('[1]Qc, Spring, S2'!P3*Main!$B$5)</f>
        <v>3.0518599495248551</v>
      </c>
      <c r="Q3" s="2">
        <f>('[1]Qc, Spring, S2'!Q3*Main!$B$5)</f>
        <v>4.1538573625727242</v>
      </c>
      <c r="R3" s="2">
        <f>('[1]Qc, Spring, S2'!R3*Main!$B$5)</f>
        <v>1.5660911088569662</v>
      </c>
      <c r="S3" s="2">
        <f>('[1]Qc, Spring, S2'!S3*Main!$B$5)</f>
        <v>1.4625271607248806</v>
      </c>
      <c r="T3" s="2">
        <f>('[1]Qc, Spring, S2'!T3*Main!$B$5)</f>
        <v>1.5660911088569662</v>
      </c>
      <c r="U3" s="2">
        <f>('[1]Qc, Spring, S2'!U3*Main!$B$5)</f>
        <v>1.4430775597860317</v>
      </c>
      <c r="V3" s="2">
        <f>('[1]Qc, Spring, S2'!V3*Main!$B$5)</f>
        <v>-0.7460556775445345</v>
      </c>
      <c r="W3" s="2">
        <f>('[1]Qc, Spring, S2'!W3*Main!$B$5)</f>
        <v>0.6732425684466965</v>
      </c>
      <c r="X3" s="2">
        <f>('[1]Qc, Spring, S2'!X3*Main!$B$5)</f>
        <v>-3.7313813406884084</v>
      </c>
      <c r="Y3" s="2">
        <f>('[1]Qc, Spring, S2'!Y3*Main!$B$5)</f>
        <v>-3.3654578582987735</v>
      </c>
    </row>
    <row r="4" spans="1:25" x14ac:dyDescent="0.3">
      <c r="A4">
        <v>3</v>
      </c>
      <c r="B4" s="2">
        <f>('[1]Qc, Spring, S2'!B4*Main!$B$5)</f>
        <v>11.981929005983872</v>
      </c>
      <c r="C4" s="2">
        <f>('[1]Qc, Spring, S2'!C4*Main!$B$5)</f>
        <v>9.515981427319133</v>
      </c>
      <c r="D4" s="2">
        <f>('[1]Qc, Spring, S2'!D4*Main!$B$5)</f>
        <v>8.834505797304109</v>
      </c>
      <c r="E4" s="2">
        <f>('[1]Qc, Spring, S2'!E4*Main!$B$5)</f>
        <v>8.1605942486214182</v>
      </c>
      <c r="F4" s="2">
        <f>('[1]Qc, Spring, S2'!F4*Main!$B$5)</f>
        <v>8.707804359152302</v>
      </c>
      <c r="G4" s="2">
        <f>('[1]Qc, Spring, S2'!G4*Main!$B$5)</f>
        <v>6.7415353231446096</v>
      </c>
      <c r="H4" s="2">
        <f>('[1]Qc, Spring, S2'!H4*Main!$B$5)</f>
        <v>11.532737728391194</v>
      </c>
      <c r="I4" s="2">
        <f>('[1]Qc, Spring, S2'!I4*Main!$B$5)</f>
        <v>16.618741369188424</v>
      </c>
      <c r="J4" s="2">
        <f>('[1]Qc, Spring, S2'!J4*Main!$B$5)</f>
        <v>22.49035617917637</v>
      </c>
      <c r="K4" s="2">
        <f>('[1]Qc, Spring, S2'!K4*Main!$B$5)</f>
        <v>26.464043406538853</v>
      </c>
      <c r="L4" s="2">
        <f>('[1]Qc, Spring, S2'!L4*Main!$B$5)</f>
        <v>26.90447043328977</v>
      </c>
      <c r="M4" s="2">
        <f>('[1]Qc, Spring, S2'!M4*Main!$B$5)</f>
        <v>27.305404034374238</v>
      </c>
      <c r="N4" s="2">
        <f>('[1]Qc, Spring, S2'!N4*Main!$B$5)</f>
        <v>29.322510372597097</v>
      </c>
      <c r="O4" s="2">
        <f>('[1]Qc, Spring, S2'!O4*Main!$B$5)</f>
        <v>28.236858786532849</v>
      </c>
      <c r="P4" s="2">
        <f>('[1]Qc, Spring, S2'!P4*Main!$B$5)</f>
        <v>26.225648064827563</v>
      </c>
      <c r="Q4" s="2">
        <f>('[1]Qc, Spring, S2'!Q4*Main!$B$5)</f>
        <v>26.025706108660938</v>
      </c>
      <c r="R4" s="2">
        <f>('[1]Qc, Spring, S2'!R4*Main!$B$5)</f>
        <v>25.265061804636609</v>
      </c>
      <c r="S4" s="2">
        <f>('[1]Qc, Spring, S2'!S4*Main!$B$5)</f>
        <v>26.56681310924062</v>
      </c>
      <c r="T4" s="2">
        <f>('[1]Qc, Spring, S2'!T4*Main!$B$5)</f>
        <v>26.382306852299326</v>
      </c>
      <c r="U4" s="2">
        <f>('[1]Qc, Spring, S2'!U4*Main!$B$5)</f>
        <v>26.072440664223041</v>
      </c>
      <c r="V4" s="2">
        <f>('[1]Qc, Spring, S2'!V4*Main!$B$5)</f>
        <v>22.434056474051996</v>
      </c>
      <c r="W4" s="2">
        <f>('[1]Qc, Spring, S2'!W4*Main!$B$5)</f>
        <v>24.340918375260809</v>
      </c>
      <c r="X4" s="2">
        <f>('[1]Qc, Spring, S2'!X4*Main!$B$5)</f>
        <v>20.549811991925736</v>
      </c>
      <c r="Y4" s="2">
        <f>('[1]Qc, Spring, S2'!Y4*Main!$B$5)</f>
        <v>17.071985646532507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449A7-1C83-42B0-A3E1-8713694E41CD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-14.075773399890355</v>
      </c>
      <c r="C2" s="2">
        <f>('[1]Qc, Spring, S2'!C2*Main!$B$5)</f>
        <v>-16.584646768077754</v>
      </c>
      <c r="D2" s="2">
        <f>('[1]Qc, Spring, S2'!D2*Main!$B$5)</f>
        <v>-18.640509440221976</v>
      </c>
      <c r="E2" s="2">
        <f>('[1]Qc, Spring, S2'!E2*Main!$B$5)</f>
        <v>-17.555740538196034</v>
      </c>
      <c r="F2" s="2">
        <f>('[1]Qc, Spring, S2'!F2*Main!$B$5)</f>
        <v>-17.732248421862398</v>
      </c>
      <c r="G2" s="2">
        <f>('[1]Qc, Spring, S2'!G2*Main!$B$5)</f>
        <v>-17.433236774848574</v>
      </c>
      <c r="H2" s="2">
        <f>('[1]Qc, Spring, S2'!H2*Main!$B$5)</f>
        <v>-14.501648043611025</v>
      </c>
      <c r="I2" s="2">
        <f>('[1]Qc, Spring, S2'!I2*Main!$B$5)</f>
        <v>-3.4746105964865857</v>
      </c>
      <c r="J2" s="2">
        <f>('[1]Qc, Spring, S2'!J2*Main!$B$5)</f>
        <v>3.8937208911292545</v>
      </c>
      <c r="K2" s="2">
        <f>('[1]Qc, Spring, S2'!K2*Main!$B$5)</f>
        <v>7.1084354159213783</v>
      </c>
      <c r="L2" s="2">
        <f>('[1]Qc, Spring, S2'!L2*Main!$B$5)</f>
        <v>4.6587146686998144</v>
      </c>
      <c r="M2" s="2">
        <f>('[1]Qc, Spring, S2'!M2*Main!$B$5)</f>
        <v>6.4031915451190828</v>
      </c>
      <c r="N2" s="2">
        <f>('[1]Qc, Spring, S2'!N2*Main!$B$5)</f>
        <v>5.6135743589933735</v>
      </c>
      <c r="O2" s="2">
        <f>('[1]Qc, Spring, S2'!O2*Main!$B$5)</f>
        <v>5.6121949438971503</v>
      </c>
      <c r="P2" s="2">
        <f>('[1]Qc, Spring, S2'!P2*Main!$B$5)</f>
        <v>1.2897945442159262</v>
      </c>
      <c r="Q2" s="2">
        <f>('[1]Qc, Spring, S2'!Q2*Main!$B$5)</f>
        <v>-2.3352307574232039</v>
      </c>
      <c r="R2" s="2">
        <f>('[1]Qc, Spring, S2'!R2*Main!$B$5)</f>
        <v>-1.0086286593603184</v>
      </c>
      <c r="S2" s="2">
        <f>('[1]Qc, Spring, S2'!S2*Main!$B$5)</f>
        <v>1.4440907056082661</v>
      </c>
      <c r="T2" s="2">
        <f>('[1]Qc, Spring, S2'!T2*Main!$B$5)</f>
        <v>8.7230098448726284E-2</v>
      </c>
      <c r="U2" s="2">
        <f>('[1]Qc, Spring, S2'!U2*Main!$B$5)</f>
        <v>-1.86825289757099</v>
      </c>
      <c r="V2" s="2">
        <f>('[1]Qc, Spring, S2'!V2*Main!$B$5)</f>
        <v>-3.7918462679891118</v>
      </c>
      <c r="W2" s="2">
        <f>('[1]Qc, Spring, S2'!W2*Main!$B$5)</f>
        <v>-4.1804572370598345</v>
      </c>
      <c r="X2" s="2">
        <f>('[1]Qc, Spring, S2'!X2*Main!$B$5)</f>
        <v>-8.0072434561651562</v>
      </c>
      <c r="Y2" s="2">
        <f>('[1]Qc, Spring, S2'!Y2*Main!$B$5)</f>
        <v>-10.0898148774159</v>
      </c>
    </row>
    <row r="3" spans="1:25" x14ac:dyDescent="0.3">
      <c r="A3">
        <v>2</v>
      </c>
      <c r="B3" s="2">
        <f>('[1]Qc, Spring, S2'!B3*Main!$B$5)</f>
        <v>-2.5915953820073923</v>
      </c>
      <c r="C3" s="2">
        <f>('[1]Qc, Spring, S2'!C3*Main!$B$5)</f>
        <v>-0.79397585337855392</v>
      </c>
      <c r="D3" s="2">
        <f>('[1]Qc, Spring, S2'!D3*Main!$B$5)</f>
        <v>-3.3249635445234214</v>
      </c>
      <c r="E3" s="2">
        <f>('[1]Qc, Spring, S2'!E3*Main!$B$5)</f>
        <v>-4.8426225099982734</v>
      </c>
      <c r="F3" s="2">
        <f>('[1]Qc, Spring, S2'!F3*Main!$B$5)</f>
        <v>-3.5542183559620364</v>
      </c>
      <c r="G3" s="2">
        <f>('[1]Qc, Spring, S2'!G3*Main!$B$5)</f>
        <v>-5.4331957653850571</v>
      </c>
      <c r="H3" s="2">
        <f>('[1]Qc, Spring, S2'!H3*Main!$B$5)</f>
        <v>-1.8606931314605</v>
      </c>
      <c r="I3" s="2">
        <f>('[1]Qc, Spring, S2'!I3*Main!$B$5)</f>
        <v>1.4779370270182108</v>
      </c>
      <c r="J3" s="2">
        <f>('[1]Qc, Spring, S2'!J3*Main!$B$5)</f>
        <v>0.8465652961366813</v>
      </c>
      <c r="K3" s="2">
        <f>('[1]Qc, Spring, S2'!K3*Main!$B$5)</f>
        <v>1.0176484444948437</v>
      </c>
      <c r="L3" s="2">
        <f>('[1]Qc, Spring, S2'!L3*Main!$B$5)</f>
        <v>2.7137810295645526</v>
      </c>
      <c r="M3" s="2">
        <f>('[1]Qc, Spring, S2'!M3*Main!$B$5)</f>
        <v>1.635863319430779</v>
      </c>
      <c r="N3" s="2">
        <f>('[1]Qc, Spring, S2'!N3*Main!$B$5)</f>
        <v>2.9969045624268569</v>
      </c>
      <c r="O3" s="2">
        <f>('[1]Qc, Spring, S2'!O3*Main!$B$5)</f>
        <v>4.2435133113956063</v>
      </c>
      <c r="P3" s="2">
        <f>('[1]Qc, Spring, S2'!P3*Main!$B$5)</f>
        <v>3.0518599495248551</v>
      </c>
      <c r="Q3" s="2">
        <f>('[1]Qc, Spring, S2'!Q3*Main!$B$5)</f>
        <v>4.1538573625727242</v>
      </c>
      <c r="R3" s="2">
        <f>('[1]Qc, Spring, S2'!R3*Main!$B$5)</f>
        <v>1.5660911088569662</v>
      </c>
      <c r="S3" s="2">
        <f>('[1]Qc, Spring, S2'!S3*Main!$B$5)</f>
        <v>1.4625271607248806</v>
      </c>
      <c r="T3" s="2">
        <f>('[1]Qc, Spring, S2'!T3*Main!$B$5)</f>
        <v>1.5660911088569662</v>
      </c>
      <c r="U3" s="2">
        <f>('[1]Qc, Spring, S2'!U3*Main!$B$5)</f>
        <v>1.4430775597860317</v>
      </c>
      <c r="V3" s="2">
        <f>('[1]Qc, Spring, S2'!V3*Main!$B$5)</f>
        <v>-0.7460556775445345</v>
      </c>
      <c r="W3" s="2">
        <f>('[1]Qc, Spring, S2'!W3*Main!$B$5)</f>
        <v>0.6732425684466965</v>
      </c>
      <c r="X3" s="2">
        <f>('[1]Qc, Spring, S2'!X3*Main!$B$5)</f>
        <v>-3.7313813406884084</v>
      </c>
      <c r="Y3" s="2">
        <f>('[1]Qc, Spring, S2'!Y3*Main!$B$5)</f>
        <v>-3.3654578582987735</v>
      </c>
    </row>
    <row r="4" spans="1:25" x14ac:dyDescent="0.3">
      <c r="A4">
        <v>3</v>
      </c>
      <c r="B4" s="2">
        <f>('[1]Qc, Spring, S2'!B4*Main!$B$5)</f>
        <v>11.981929005983872</v>
      </c>
      <c r="C4" s="2">
        <f>('[1]Qc, Spring, S2'!C4*Main!$B$5)</f>
        <v>9.515981427319133</v>
      </c>
      <c r="D4" s="2">
        <f>('[1]Qc, Spring, S2'!D4*Main!$B$5)</f>
        <v>8.834505797304109</v>
      </c>
      <c r="E4" s="2">
        <f>('[1]Qc, Spring, S2'!E4*Main!$B$5)</f>
        <v>8.1605942486214182</v>
      </c>
      <c r="F4" s="2">
        <f>('[1]Qc, Spring, S2'!F4*Main!$B$5)</f>
        <v>8.707804359152302</v>
      </c>
      <c r="G4" s="2">
        <f>('[1]Qc, Spring, S2'!G4*Main!$B$5)</f>
        <v>6.7415353231446096</v>
      </c>
      <c r="H4" s="2">
        <f>('[1]Qc, Spring, S2'!H4*Main!$B$5)</f>
        <v>11.532737728391194</v>
      </c>
      <c r="I4" s="2">
        <f>('[1]Qc, Spring, S2'!I4*Main!$B$5)</f>
        <v>16.618741369188424</v>
      </c>
      <c r="J4" s="2">
        <f>('[1]Qc, Spring, S2'!J4*Main!$B$5)</f>
        <v>22.49035617917637</v>
      </c>
      <c r="K4" s="2">
        <f>('[1]Qc, Spring, S2'!K4*Main!$B$5)</f>
        <v>26.464043406538853</v>
      </c>
      <c r="L4" s="2">
        <f>('[1]Qc, Spring, S2'!L4*Main!$B$5)</f>
        <v>26.90447043328977</v>
      </c>
      <c r="M4" s="2">
        <f>('[1]Qc, Spring, S2'!M4*Main!$B$5)</f>
        <v>27.305404034374238</v>
      </c>
      <c r="N4" s="2">
        <f>('[1]Qc, Spring, S2'!N4*Main!$B$5)</f>
        <v>29.322510372597097</v>
      </c>
      <c r="O4" s="2">
        <f>('[1]Qc, Spring, S2'!O4*Main!$B$5)</f>
        <v>28.236858786532849</v>
      </c>
      <c r="P4" s="2">
        <f>('[1]Qc, Spring, S2'!P4*Main!$B$5)</f>
        <v>26.225648064827563</v>
      </c>
      <c r="Q4" s="2">
        <f>('[1]Qc, Spring, S2'!Q4*Main!$B$5)</f>
        <v>26.025706108660938</v>
      </c>
      <c r="R4" s="2">
        <f>('[1]Qc, Spring, S2'!R4*Main!$B$5)</f>
        <v>25.265061804636609</v>
      </c>
      <c r="S4" s="2">
        <f>('[1]Qc, Spring, S2'!S4*Main!$B$5)</f>
        <v>26.56681310924062</v>
      </c>
      <c r="T4" s="2">
        <f>('[1]Qc, Spring, S2'!T4*Main!$B$5)</f>
        <v>26.382306852299326</v>
      </c>
      <c r="U4" s="2">
        <f>('[1]Qc, Spring, S2'!U4*Main!$B$5)</f>
        <v>26.072440664223041</v>
      </c>
      <c r="V4" s="2">
        <f>('[1]Qc, Spring, S2'!V4*Main!$B$5)</f>
        <v>22.434056474051996</v>
      </c>
      <c r="W4" s="2">
        <f>('[1]Qc, Spring, S2'!W4*Main!$B$5)</f>
        <v>24.340918375260809</v>
      </c>
      <c r="X4" s="2">
        <f>('[1]Qc, Spring, S2'!X4*Main!$B$5)</f>
        <v>20.549811991925736</v>
      </c>
      <c r="Y4" s="2">
        <f>('[1]Qc, Spring, S2'!Y4*Main!$B$5)</f>
        <v>17.071985646532507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270E4-9B43-4938-B307-FF5A33680FEB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-13.392483429021892</v>
      </c>
      <c r="C2" s="2">
        <f>('[1]Qc, Spring, S3'!C2*Main!$B$5)</f>
        <v>-15.779566827879806</v>
      </c>
      <c r="D2" s="2">
        <f>('[1]Qc, Spring, S3'!D2*Main!$B$5)</f>
        <v>-17.735630341182073</v>
      </c>
      <c r="E2" s="2">
        <f>('[1]Qc, Spring, S3'!E2*Main!$B$5)</f>
        <v>-16.703520123720494</v>
      </c>
      <c r="F2" s="2">
        <f>('[1]Qc, Spring, S3'!F2*Main!$B$5)</f>
        <v>-16.871459663519563</v>
      </c>
      <c r="G2" s="2">
        <f>('[1]Qc, Spring, S3'!G2*Main!$B$5)</f>
        <v>-16.586963145001555</v>
      </c>
      <c r="H2" s="2">
        <f>('[1]Qc, Spring, S3'!H2*Main!$B$5)</f>
        <v>-13.797684546348352</v>
      </c>
      <c r="I2" s="2">
        <f>('[1]Qc, Spring, S3'!I2*Main!$B$5)</f>
        <v>-3.3059401791814111</v>
      </c>
      <c r="J2" s="2">
        <f>('[1]Qc, Spring, S3'!J2*Main!$B$5)</f>
        <v>3.7047053138899702</v>
      </c>
      <c r="K2" s="2">
        <f>('[1]Qc, Spring, S3'!K2*Main!$B$5)</f>
        <v>6.7633657355368451</v>
      </c>
      <c r="L2" s="2">
        <f>('[1]Qc, Spring, S3'!L2*Main!$B$5)</f>
        <v>4.4325634711901145</v>
      </c>
      <c r="M2" s="2">
        <f>('[1]Qc, Spring, S3'!M2*Main!$B$5)</f>
        <v>6.0923570040938824</v>
      </c>
      <c r="N2" s="2">
        <f>('[1]Qc, Spring, S3'!N2*Main!$B$5)</f>
        <v>5.3410707493335003</v>
      </c>
      <c r="O2" s="2">
        <f>('[1]Qc, Spring, S3'!O2*Main!$B$5)</f>
        <v>5.3397582961351526</v>
      </c>
      <c r="P2" s="2">
        <f>('[1]Qc, Spring, S3'!P2*Main!$B$5)</f>
        <v>1.2271831585743762</v>
      </c>
      <c r="Q2" s="2">
        <f>('[1]Qc, Spring, S3'!Q2*Main!$B$5)</f>
        <v>-2.2218700410434362</v>
      </c>
      <c r="R2" s="2">
        <f>('[1]Qc, Spring, S3'!R2*Main!$B$5)</f>
        <v>-0.95966610308069111</v>
      </c>
      <c r="S2" s="2">
        <f>('[1]Qc, Spring, S3'!S2*Main!$B$5)</f>
        <v>1.3739892150447581</v>
      </c>
      <c r="T2" s="2">
        <f>('[1]Qc, Spring, S3'!T2*Main!$B$5)</f>
        <v>8.2995627650244416E-2</v>
      </c>
      <c r="U2" s="2">
        <f>('[1]Qc, Spring, S3'!U2*Main!$B$5)</f>
        <v>-1.7775610093393885</v>
      </c>
      <c r="V2" s="2">
        <f>('[1]Qc, Spring, S3'!V2*Main!$B$5)</f>
        <v>-3.6077760608051737</v>
      </c>
      <c r="W2" s="2">
        <f>('[1]Qc, Spring, S3'!W2*Main!$B$5)</f>
        <v>-3.9775224197268328</v>
      </c>
      <c r="X2" s="2">
        <f>('[1]Qc, Spring, S3'!X2*Main!$B$5)</f>
        <v>-7.6185423175163622</v>
      </c>
      <c r="Y2" s="2">
        <f>('[1]Qc, Spring, S3'!Y2*Main!$B$5)</f>
        <v>-9.6000180387063914</v>
      </c>
    </row>
    <row r="3" spans="1:25" x14ac:dyDescent="0.3">
      <c r="A3">
        <v>2</v>
      </c>
      <c r="B3" s="2">
        <f>('[1]Qc, Spring, S3'!B3*Main!$B$5)</f>
        <v>-2.4657897809390721</v>
      </c>
      <c r="C3" s="2">
        <f>('[1]Qc, Spring, S3'!C3*Main!$B$5)</f>
        <v>-0.75543333622425513</v>
      </c>
      <c r="D3" s="2">
        <f>('[1]Qc, Spring, S3'!D3*Main!$B$5)</f>
        <v>-3.1635575472164592</v>
      </c>
      <c r="E3" s="2">
        <f>('[1]Qc, Spring, S3'!E3*Main!$B$5)</f>
        <v>-4.6075437473769973</v>
      </c>
      <c r="F3" s="2">
        <f>('[1]Qc, Spring, S3'!F3*Main!$B$5)</f>
        <v>-3.3816834843133936</v>
      </c>
      <c r="G3" s="2">
        <f>('[1]Qc, Spring, S3'!G3*Main!$B$5)</f>
        <v>-5.1694483981333548</v>
      </c>
      <c r="H3" s="2">
        <f>('[1]Qc, Spring, S3'!H3*Main!$B$5)</f>
        <v>-1.7703682221663011</v>
      </c>
      <c r="I3" s="2">
        <f>('[1]Qc, Spring, S3'!I3*Main!$B$5)</f>
        <v>1.4061925111435405</v>
      </c>
      <c r="J3" s="2">
        <f>('[1]Qc, Spring, S3'!J3*Main!$B$5)</f>
        <v>0.80546989341159969</v>
      </c>
      <c r="K3" s="2">
        <f>('[1]Qc, Spring, S3'!K3*Main!$B$5)</f>
        <v>0.96824803456790953</v>
      </c>
      <c r="L3" s="2">
        <f>('[1]Qc, Spring, S3'!L3*Main!$B$5)</f>
        <v>2.5820440863818082</v>
      </c>
      <c r="M3" s="2">
        <f>('[1]Qc, Spring, S3'!M3*Main!$B$5)</f>
        <v>1.5564524786817118</v>
      </c>
      <c r="N3" s="2">
        <f>('[1]Qc, Spring, S3'!N3*Main!$B$5)</f>
        <v>2.8514237584255531</v>
      </c>
      <c r="O3" s="2">
        <f>('[1]Qc, Spring, S3'!O3*Main!$B$5)</f>
        <v>4.0375175195802866</v>
      </c>
      <c r="P3" s="2">
        <f>('[1]Qc, Spring, S3'!P3*Main!$B$5)</f>
        <v>2.9037114082857842</v>
      </c>
      <c r="Q3" s="2">
        <f>('[1]Qc, Spring, S3'!Q3*Main!$B$5)</f>
        <v>3.9522138012827854</v>
      </c>
      <c r="R3" s="2">
        <f>('[1]Qc, Spring, S3'!R3*Main!$B$5)</f>
        <v>1.4900672686211911</v>
      </c>
      <c r="S3" s="2">
        <f>('[1]Qc, Spring, S3'!S3*Main!$B$5)</f>
        <v>1.3915306966120227</v>
      </c>
      <c r="T3" s="2">
        <f>('[1]Qc, Spring, S3'!T3*Main!$B$5)</f>
        <v>1.4900672686211911</v>
      </c>
      <c r="U3" s="2">
        <f>('[1]Qc, Spring, S3'!U3*Main!$B$5)</f>
        <v>1.3730252510585546</v>
      </c>
      <c r="V3" s="2">
        <f>('[1]Qc, Spring, S3'!V3*Main!$B$5)</f>
        <v>-0.70983938251810075</v>
      </c>
      <c r="W3" s="2">
        <f>('[1]Qc, Spring, S3'!W3*Main!$B$5)</f>
        <v>0.64056089036675978</v>
      </c>
      <c r="X3" s="2">
        <f>('[1]Qc, Spring, S3'!X3*Main!$B$5)</f>
        <v>-3.5502463241501356</v>
      </c>
      <c r="Y3" s="2">
        <f>('[1]Qc, Spring, S3'!Y3*Main!$B$5)</f>
        <v>-3.2020861176046584</v>
      </c>
    </row>
    <row r="4" spans="1:25" x14ac:dyDescent="0.3">
      <c r="A4">
        <v>3</v>
      </c>
      <c r="B4" s="2">
        <f>('[1]Qc, Spring, S3'!B4*Main!$B$5)</f>
        <v>11.400281966858438</v>
      </c>
      <c r="C4" s="2">
        <f>('[1]Qc, Spring, S3'!C4*Main!$B$5)</f>
        <v>9.0540405813327656</v>
      </c>
      <c r="D4" s="2">
        <f>('[1]Qc, Spring, S3'!D4*Main!$B$5)</f>
        <v>8.4056462925806077</v>
      </c>
      <c r="E4" s="2">
        <f>('[1]Qc, Spring, S3'!E4*Main!$B$5)</f>
        <v>7.7644488967465923</v>
      </c>
      <c r="F4" s="2">
        <f>('[1]Qc, Spring, S3'!F4*Main!$B$5)</f>
        <v>8.28509540967889</v>
      </c>
      <c r="G4" s="2">
        <f>('[1]Qc, Spring, S3'!G4*Main!$B$5)</f>
        <v>6.4142763268754539</v>
      </c>
      <c r="H4" s="2">
        <f>('[1]Qc, Spring, S3'!H4*Main!$B$5)</f>
        <v>10.97289609109065</v>
      </c>
      <c r="I4" s="2">
        <f>('[1]Qc, Spring, S3'!I4*Main!$B$5)</f>
        <v>15.812006351266657</v>
      </c>
      <c r="J4" s="2">
        <f>('[1]Qc, Spring, S3'!J4*Main!$B$5)</f>
        <v>21.398591316109556</v>
      </c>
      <c r="K4" s="2">
        <f>('[1]Qc, Spring, S3'!K4*Main!$B$5)</f>
        <v>25.179381105250556</v>
      </c>
      <c r="L4" s="2">
        <f>('[1]Qc, Spring, S3'!L4*Main!$B$5)</f>
        <v>25.598428179246575</v>
      </c>
      <c r="M4" s="2">
        <f>('[1]Qc, Spring, S3'!M4*Main!$B$5)</f>
        <v>25.979898984161895</v>
      </c>
      <c r="N4" s="2">
        <f>('[1]Qc, Spring, S3'!N4*Main!$B$5)</f>
        <v>27.899087538975873</v>
      </c>
      <c r="O4" s="2">
        <f>('[1]Qc, Spring, S3'!O4*Main!$B$5)</f>
        <v>26.86613748621572</v>
      </c>
      <c r="P4" s="2">
        <f>('[1]Qc, Spring, S3'!P4*Main!$B$5)</f>
        <v>24.952558352942731</v>
      </c>
      <c r="Q4" s="2">
        <f>('[1]Qc, Spring, S3'!Q4*Main!$B$5)</f>
        <v>24.762322316978366</v>
      </c>
      <c r="R4" s="2">
        <f>('[1]Qc, Spring, S3'!R4*Main!$B$5)</f>
        <v>24.038602493731922</v>
      </c>
      <c r="S4" s="2">
        <f>('[1]Qc, Spring, S3'!S4*Main!$B$5)</f>
        <v>25.277161987432827</v>
      </c>
      <c r="T4" s="2">
        <f>('[1]Qc, Spring, S3'!T4*Main!$B$5)</f>
        <v>25.101612344906151</v>
      </c>
      <c r="U4" s="2">
        <f>('[1]Qc, Spring, S3'!U4*Main!$B$5)</f>
        <v>24.806788204794735</v>
      </c>
      <c r="V4" s="2">
        <f>('[1]Qc, Spring, S3'!V4*Main!$B$5)</f>
        <v>21.345024606379571</v>
      </c>
      <c r="W4" s="2">
        <f>('[1]Qc, Spring, S3'!W4*Main!$B$5)</f>
        <v>23.159320395879217</v>
      </c>
      <c r="X4" s="2">
        <f>('[1]Qc, Spring, S3'!X4*Main!$B$5)</f>
        <v>19.552248302997302</v>
      </c>
      <c r="Y4" s="2">
        <f>('[1]Qc, Spring, S3'!Y4*Main!$B$5)</f>
        <v>16.243248479225102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855EC-B3D7-4687-8F9B-F40946549B6E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-13.392483429021892</v>
      </c>
      <c r="C2" s="2">
        <f>('[1]Qc, Spring, S3'!C2*Main!$B$5)</f>
        <v>-15.779566827879806</v>
      </c>
      <c r="D2" s="2">
        <f>('[1]Qc, Spring, S3'!D2*Main!$B$5)</f>
        <v>-17.735630341182073</v>
      </c>
      <c r="E2" s="2">
        <f>('[1]Qc, Spring, S3'!E2*Main!$B$5)</f>
        <v>-16.703520123720494</v>
      </c>
      <c r="F2" s="2">
        <f>('[1]Qc, Spring, S3'!F2*Main!$B$5)</f>
        <v>-16.871459663519563</v>
      </c>
      <c r="G2" s="2">
        <f>('[1]Qc, Spring, S3'!G2*Main!$B$5)</f>
        <v>-16.586963145001555</v>
      </c>
      <c r="H2" s="2">
        <f>('[1]Qc, Spring, S3'!H2*Main!$B$5)</f>
        <v>-13.797684546348352</v>
      </c>
      <c r="I2" s="2">
        <f>('[1]Qc, Spring, S3'!I2*Main!$B$5)</f>
        <v>-3.3059401791814111</v>
      </c>
      <c r="J2" s="2">
        <f>('[1]Qc, Spring, S3'!J2*Main!$B$5)</f>
        <v>3.7047053138899702</v>
      </c>
      <c r="K2" s="2">
        <f>('[1]Qc, Spring, S3'!K2*Main!$B$5)</f>
        <v>6.7633657355368451</v>
      </c>
      <c r="L2" s="2">
        <f>('[1]Qc, Spring, S3'!L2*Main!$B$5)</f>
        <v>4.4325634711901145</v>
      </c>
      <c r="M2" s="2">
        <f>('[1]Qc, Spring, S3'!M2*Main!$B$5)</f>
        <v>6.0923570040938824</v>
      </c>
      <c r="N2" s="2">
        <f>('[1]Qc, Spring, S3'!N2*Main!$B$5)</f>
        <v>5.3410707493335003</v>
      </c>
      <c r="O2" s="2">
        <f>('[1]Qc, Spring, S3'!O2*Main!$B$5)</f>
        <v>5.3397582961351526</v>
      </c>
      <c r="P2" s="2">
        <f>('[1]Qc, Spring, S3'!P2*Main!$B$5)</f>
        <v>1.2271831585743762</v>
      </c>
      <c r="Q2" s="2">
        <f>('[1]Qc, Spring, S3'!Q2*Main!$B$5)</f>
        <v>-2.2218700410434362</v>
      </c>
      <c r="R2" s="2">
        <f>('[1]Qc, Spring, S3'!R2*Main!$B$5)</f>
        <v>-0.95966610308069111</v>
      </c>
      <c r="S2" s="2">
        <f>('[1]Qc, Spring, S3'!S2*Main!$B$5)</f>
        <v>1.3739892150447581</v>
      </c>
      <c r="T2" s="2">
        <f>('[1]Qc, Spring, S3'!T2*Main!$B$5)</f>
        <v>8.2995627650244416E-2</v>
      </c>
      <c r="U2" s="2">
        <f>('[1]Qc, Spring, S3'!U2*Main!$B$5)</f>
        <v>-1.7775610093393885</v>
      </c>
      <c r="V2" s="2">
        <f>('[1]Qc, Spring, S3'!V2*Main!$B$5)</f>
        <v>-3.6077760608051737</v>
      </c>
      <c r="W2" s="2">
        <f>('[1]Qc, Spring, S3'!W2*Main!$B$5)</f>
        <v>-3.9775224197268328</v>
      </c>
      <c r="X2" s="2">
        <f>('[1]Qc, Spring, S3'!X2*Main!$B$5)</f>
        <v>-7.6185423175163622</v>
      </c>
      <c r="Y2" s="2">
        <f>('[1]Qc, Spring, S3'!Y2*Main!$B$5)</f>
        <v>-9.6000180387063914</v>
      </c>
    </row>
    <row r="3" spans="1:25" x14ac:dyDescent="0.3">
      <c r="A3">
        <v>2</v>
      </c>
      <c r="B3" s="2">
        <f>('[1]Qc, Spring, S3'!B3*Main!$B$5)</f>
        <v>-2.4657897809390721</v>
      </c>
      <c r="C3" s="2">
        <f>('[1]Qc, Spring, S3'!C3*Main!$B$5)</f>
        <v>-0.75543333622425513</v>
      </c>
      <c r="D3" s="2">
        <f>('[1]Qc, Spring, S3'!D3*Main!$B$5)</f>
        <v>-3.1635575472164592</v>
      </c>
      <c r="E3" s="2">
        <f>('[1]Qc, Spring, S3'!E3*Main!$B$5)</f>
        <v>-4.6075437473769973</v>
      </c>
      <c r="F3" s="2">
        <f>('[1]Qc, Spring, S3'!F3*Main!$B$5)</f>
        <v>-3.3816834843133936</v>
      </c>
      <c r="G3" s="2">
        <f>('[1]Qc, Spring, S3'!G3*Main!$B$5)</f>
        <v>-5.1694483981333548</v>
      </c>
      <c r="H3" s="2">
        <f>('[1]Qc, Spring, S3'!H3*Main!$B$5)</f>
        <v>-1.7703682221663011</v>
      </c>
      <c r="I3" s="2">
        <f>('[1]Qc, Spring, S3'!I3*Main!$B$5)</f>
        <v>1.4061925111435405</v>
      </c>
      <c r="J3" s="2">
        <f>('[1]Qc, Spring, S3'!J3*Main!$B$5)</f>
        <v>0.80546989341159969</v>
      </c>
      <c r="K3" s="2">
        <f>('[1]Qc, Spring, S3'!K3*Main!$B$5)</f>
        <v>0.96824803456790953</v>
      </c>
      <c r="L3" s="2">
        <f>('[1]Qc, Spring, S3'!L3*Main!$B$5)</f>
        <v>2.5820440863818082</v>
      </c>
      <c r="M3" s="2">
        <f>('[1]Qc, Spring, S3'!M3*Main!$B$5)</f>
        <v>1.5564524786817118</v>
      </c>
      <c r="N3" s="2">
        <f>('[1]Qc, Spring, S3'!N3*Main!$B$5)</f>
        <v>2.8514237584255531</v>
      </c>
      <c r="O3" s="2">
        <f>('[1]Qc, Spring, S3'!O3*Main!$B$5)</f>
        <v>4.0375175195802866</v>
      </c>
      <c r="P3" s="2">
        <f>('[1]Qc, Spring, S3'!P3*Main!$B$5)</f>
        <v>2.9037114082857842</v>
      </c>
      <c r="Q3" s="2">
        <f>('[1]Qc, Spring, S3'!Q3*Main!$B$5)</f>
        <v>3.9522138012827854</v>
      </c>
      <c r="R3" s="2">
        <f>('[1]Qc, Spring, S3'!R3*Main!$B$5)</f>
        <v>1.4900672686211911</v>
      </c>
      <c r="S3" s="2">
        <f>('[1]Qc, Spring, S3'!S3*Main!$B$5)</f>
        <v>1.3915306966120227</v>
      </c>
      <c r="T3" s="2">
        <f>('[1]Qc, Spring, S3'!T3*Main!$B$5)</f>
        <v>1.4900672686211911</v>
      </c>
      <c r="U3" s="2">
        <f>('[1]Qc, Spring, S3'!U3*Main!$B$5)</f>
        <v>1.3730252510585546</v>
      </c>
      <c r="V3" s="2">
        <f>('[1]Qc, Spring, S3'!V3*Main!$B$5)</f>
        <v>-0.70983938251810075</v>
      </c>
      <c r="W3" s="2">
        <f>('[1]Qc, Spring, S3'!W3*Main!$B$5)</f>
        <v>0.64056089036675978</v>
      </c>
      <c r="X3" s="2">
        <f>('[1]Qc, Spring, S3'!X3*Main!$B$5)</f>
        <v>-3.5502463241501356</v>
      </c>
      <c r="Y3" s="2">
        <f>('[1]Qc, Spring, S3'!Y3*Main!$B$5)</f>
        <v>-3.2020861176046584</v>
      </c>
    </row>
    <row r="4" spans="1:25" x14ac:dyDescent="0.3">
      <c r="A4">
        <v>3</v>
      </c>
      <c r="B4" s="2">
        <f>('[1]Qc, Spring, S3'!B4*Main!$B$5)</f>
        <v>11.400281966858438</v>
      </c>
      <c r="C4" s="2">
        <f>('[1]Qc, Spring, S3'!C4*Main!$B$5)</f>
        <v>9.0540405813327656</v>
      </c>
      <c r="D4" s="2">
        <f>('[1]Qc, Spring, S3'!D4*Main!$B$5)</f>
        <v>8.4056462925806077</v>
      </c>
      <c r="E4" s="2">
        <f>('[1]Qc, Spring, S3'!E4*Main!$B$5)</f>
        <v>7.7644488967465923</v>
      </c>
      <c r="F4" s="2">
        <f>('[1]Qc, Spring, S3'!F4*Main!$B$5)</f>
        <v>8.28509540967889</v>
      </c>
      <c r="G4" s="2">
        <f>('[1]Qc, Spring, S3'!G4*Main!$B$5)</f>
        <v>6.4142763268754539</v>
      </c>
      <c r="H4" s="2">
        <f>('[1]Qc, Spring, S3'!H4*Main!$B$5)</f>
        <v>10.97289609109065</v>
      </c>
      <c r="I4" s="2">
        <f>('[1]Qc, Spring, S3'!I4*Main!$B$5)</f>
        <v>15.812006351266657</v>
      </c>
      <c r="J4" s="2">
        <f>('[1]Qc, Spring, S3'!J4*Main!$B$5)</f>
        <v>21.398591316109556</v>
      </c>
      <c r="K4" s="2">
        <f>('[1]Qc, Spring, S3'!K4*Main!$B$5)</f>
        <v>25.179381105250556</v>
      </c>
      <c r="L4" s="2">
        <f>('[1]Qc, Spring, S3'!L4*Main!$B$5)</f>
        <v>25.598428179246575</v>
      </c>
      <c r="M4" s="2">
        <f>('[1]Qc, Spring, S3'!M4*Main!$B$5)</f>
        <v>25.979898984161895</v>
      </c>
      <c r="N4" s="2">
        <f>('[1]Qc, Spring, S3'!N4*Main!$B$5)</f>
        <v>27.899087538975873</v>
      </c>
      <c r="O4" s="2">
        <f>('[1]Qc, Spring, S3'!O4*Main!$B$5)</f>
        <v>26.86613748621572</v>
      </c>
      <c r="P4" s="2">
        <f>('[1]Qc, Spring, S3'!P4*Main!$B$5)</f>
        <v>24.952558352942731</v>
      </c>
      <c r="Q4" s="2">
        <f>('[1]Qc, Spring, S3'!Q4*Main!$B$5)</f>
        <v>24.762322316978366</v>
      </c>
      <c r="R4" s="2">
        <f>('[1]Qc, Spring, S3'!R4*Main!$B$5)</f>
        <v>24.038602493731922</v>
      </c>
      <c r="S4" s="2">
        <f>('[1]Qc, Spring, S3'!S4*Main!$B$5)</f>
        <v>25.277161987432827</v>
      </c>
      <c r="T4" s="2">
        <f>('[1]Qc, Spring, S3'!T4*Main!$B$5)</f>
        <v>25.101612344906151</v>
      </c>
      <c r="U4" s="2">
        <f>('[1]Qc, Spring, S3'!U4*Main!$B$5)</f>
        <v>24.806788204794735</v>
      </c>
      <c r="V4" s="2">
        <f>('[1]Qc, Spring, S3'!V4*Main!$B$5)</f>
        <v>21.345024606379571</v>
      </c>
      <c r="W4" s="2">
        <f>('[1]Qc, Spring, S3'!W4*Main!$B$5)</f>
        <v>23.159320395879217</v>
      </c>
      <c r="X4" s="2">
        <f>('[1]Qc, Spring, S3'!X4*Main!$B$5)</f>
        <v>19.552248302997302</v>
      </c>
      <c r="Y4" s="2">
        <f>('[1]Qc, Spring, S3'!Y4*Main!$B$5)</f>
        <v>16.243248479225102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D014-69BC-498C-8ED1-58EA159F995E}">
  <dimension ref="A1:Y10"/>
  <sheetViews>
    <sheetView workbookViewId="0">
      <selection activeCell="T53" sqref="T5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-13.392483429021892</v>
      </c>
      <c r="C2" s="2">
        <f>('[1]Qc, Spring, S3'!C2*Main!$B$5)</f>
        <v>-15.779566827879806</v>
      </c>
      <c r="D2" s="2">
        <f>('[1]Qc, Spring, S3'!D2*Main!$B$5)</f>
        <v>-17.735630341182073</v>
      </c>
      <c r="E2" s="2">
        <f>('[1]Qc, Spring, S3'!E2*Main!$B$5)</f>
        <v>-16.703520123720494</v>
      </c>
      <c r="F2" s="2">
        <f>('[1]Qc, Spring, S3'!F2*Main!$B$5)</f>
        <v>-16.871459663519563</v>
      </c>
      <c r="G2" s="2">
        <f>('[1]Qc, Spring, S3'!G2*Main!$B$5)</f>
        <v>-16.586963145001555</v>
      </c>
      <c r="H2" s="2">
        <f>('[1]Qc, Spring, S3'!H2*Main!$B$5)</f>
        <v>-13.797684546348352</v>
      </c>
      <c r="I2" s="2">
        <f>('[1]Qc, Spring, S3'!I2*Main!$B$5)</f>
        <v>-3.3059401791814111</v>
      </c>
      <c r="J2" s="2">
        <f>('[1]Qc, Spring, S3'!J2*Main!$B$5)</f>
        <v>3.7047053138899702</v>
      </c>
      <c r="K2" s="2">
        <f>('[1]Qc, Spring, S3'!K2*Main!$B$5)</f>
        <v>6.7633657355368451</v>
      </c>
      <c r="L2" s="2">
        <f>('[1]Qc, Spring, S3'!L2*Main!$B$5)</f>
        <v>4.4325634711901145</v>
      </c>
      <c r="M2" s="2">
        <f>('[1]Qc, Spring, S3'!M2*Main!$B$5)</f>
        <v>6.0923570040938824</v>
      </c>
      <c r="N2" s="2">
        <f>('[1]Qc, Spring, S3'!N2*Main!$B$5)</f>
        <v>5.3410707493335003</v>
      </c>
      <c r="O2" s="2">
        <f>('[1]Qc, Spring, S3'!O2*Main!$B$5)</f>
        <v>5.3397582961351526</v>
      </c>
      <c r="P2" s="2">
        <f>('[1]Qc, Spring, S3'!P2*Main!$B$5)</f>
        <v>1.2271831585743762</v>
      </c>
      <c r="Q2" s="2">
        <f>('[1]Qc, Spring, S3'!Q2*Main!$B$5)</f>
        <v>-2.2218700410434362</v>
      </c>
      <c r="R2" s="2">
        <f>('[1]Qc, Spring, S3'!R2*Main!$B$5)</f>
        <v>-0.95966610308069111</v>
      </c>
      <c r="S2" s="2">
        <f>('[1]Qc, Spring, S3'!S2*Main!$B$5)</f>
        <v>1.3739892150447581</v>
      </c>
      <c r="T2" s="2">
        <f>('[1]Qc, Spring, S3'!T2*Main!$B$5)</f>
        <v>8.2995627650244416E-2</v>
      </c>
      <c r="U2" s="2">
        <f>('[1]Qc, Spring, S3'!U2*Main!$B$5)</f>
        <v>-1.7775610093393885</v>
      </c>
      <c r="V2" s="2">
        <f>('[1]Qc, Spring, S3'!V2*Main!$B$5)</f>
        <v>-3.6077760608051737</v>
      </c>
      <c r="W2" s="2">
        <f>('[1]Qc, Spring, S3'!W2*Main!$B$5)</f>
        <v>-3.9775224197268328</v>
      </c>
      <c r="X2" s="2">
        <f>('[1]Qc, Spring, S3'!X2*Main!$B$5)</f>
        <v>-7.6185423175163622</v>
      </c>
      <c r="Y2" s="2">
        <f>('[1]Qc, Spring, S3'!Y2*Main!$B$5)</f>
        <v>-9.6000180387063914</v>
      </c>
    </row>
    <row r="3" spans="1:25" x14ac:dyDescent="0.3">
      <c r="A3">
        <v>2</v>
      </c>
      <c r="B3" s="2">
        <f>('[1]Qc, Spring, S3'!B3*Main!$B$5)</f>
        <v>-2.4657897809390721</v>
      </c>
      <c r="C3" s="2">
        <f>('[1]Qc, Spring, S3'!C3*Main!$B$5)</f>
        <v>-0.75543333622425513</v>
      </c>
      <c r="D3" s="2">
        <f>('[1]Qc, Spring, S3'!D3*Main!$B$5)</f>
        <v>-3.1635575472164592</v>
      </c>
      <c r="E3" s="2">
        <f>('[1]Qc, Spring, S3'!E3*Main!$B$5)</f>
        <v>-4.6075437473769973</v>
      </c>
      <c r="F3" s="2">
        <f>('[1]Qc, Spring, S3'!F3*Main!$B$5)</f>
        <v>-3.3816834843133936</v>
      </c>
      <c r="G3" s="2">
        <f>('[1]Qc, Spring, S3'!G3*Main!$B$5)</f>
        <v>-5.1694483981333548</v>
      </c>
      <c r="H3" s="2">
        <f>('[1]Qc, Spring, S3'!H3*Main!$B$5)</f>
        <v>-1.7703682221663011</v>
      </c>
      <c r="I3" s="2">
        <f>('[1]Qc, Spring, S3'!I3*Main!$B$5)</f>
        <v>1.4061925111435405</v>
      </c>
      <c r="J3" s="2">
        <f>('[1]Qc, Spring, S3'!J3*Main!$B$5)</f>
        <v>0.80546989341159969</v>
      </c>
      <c r="K3" s="2">
        <f>('[1]Qc, Spring, S3'!K3*Main!$B$5)</f>
        <v>0.96824803456790953</v>
      </c>
      <c r="L3" s="2">
        <f>('[1]Qc, Spring, S3'!L3*Main!$B$5)</f>
        <v>2.5820440863818082</v>
      </c>
      <c r="M3" s="2">
        <f>('[1]Qc, Spring, S3'!M3*Main!$B$5)</f>
        <v>1.5564524786817118</v>
      </c>
      <c r="N3" s="2">
        <f>('[1]Qc, Spring, S3'!N3*Main!$B$5)</f>
        <v>2.8514237584255531</v>
      </c>
      <c r="O3" s="2">
        <f>('[1]Qc, Spring, S3'!O3*Main!$B$5)</f>
        <v>4.0375175195802866</v>
      </c>
      <c r="P3" s="2">
        <f>('[1]Qc, Spring, S3'!P3*Main!$B$5)</f>
        <v>2.9037114082857842</v>
      </c>
      <c r="Q3" s="2">
        <f>('[1]Qc, Spring, S3'!Q3*Main!$B$5)</f>
        <v>3.9522138012827854</v>
      </c>
      <c r="R3" s="2">
        <f>('[1]Qc, Spring, S3'!R3*Main!$B$5)</f>
        <v>1.4900672686211911</v>
      </c>
      <c r="S3" s="2">
        <f>('[1]Qc, Spring, S3'!S3*Main!$B$5)</f>
        <v>1.3915306966120227</v>
      </c>
      <c r="T3" s="2">
        <f>('[1]Qc, Spring, S3'!T3*Main!$B$5)</f>
        <v>1.4900672686211911</v>
      </c>
      <c r="U3" s="2">
        <f>('[1]Qc, Spring, S3'!U3*Main!$B$5)</f>
        <v>1.3730252510585546</v>
      </c>
      <c r="V3" s="2">
        <f>('[1]Qc, Spring, S3'!V3*Main!$B$5)</f>
        <v>-0.70983938251810075</v>
      </c>
      <c r="W3" s="2">
        <f>('[1]Qc, Spring, S3'!W3*Main!$B$5)</f>
        <v>0.64056089036675978</v>
      </c>
      <c r="X3" s="2">
        <f>('[1]Qc, Spring, S3'!X3*Main!$B$5)</f>
        <v>-3.5502463241501356</v>
      </c>
      <c r="Y3" s="2">
        <f>('[1]Qc, Spring, S3'!Y3*Main!$B$5)</f>
        <v>-3.2020861176046584</v>
      </c>
    </row>
    <row r="4" spans="1:25" x14ac:dyDescent="0.3">
      <c r="A4">
        <v>3</v>
      </c>
      <c r="B4" s="2">
        <f>('[1]Qc, Spring, S3'!B4*Main!$B$5)</f>
        <v>11.400281966858438</v>
      </c>
      <c r="C4" s="2">
        <f>('[1]Qc, Spring, S3'!C4*Main!$B$5)</f>
        <v>9.0540405813327656</v>
      </c>
      <c r="D4" s="2">
        <f>('[1]Qc, Spring, S3'!D4*Main!$B$5)</f>
        <v>8.4056462925806077</v>
      </c>
      <c r="E4" s="2">
        <f>('[1]Qc, Spring, S3'!E4*Main!$B$5)</f>
        <v>7.7644488967465923</v>
      </c>
      <c r="F4" s="2">
        <f>('[1]Qc, Spring, S3'!F4*Main!$B$5)</f>
        <v>8.28509540967889</v>
      </c>
      <c r="G4" s="2">
        <f>('[1]Qc, Spring, S3'!G4*Main!$B$5)</f>
        <v>6.4142763268754539</v>
      </c>
      <c r="H4" s="2">
        <f>('[1]Qc, Spring, S3'!H4*Main!$B$5)</f>
        <v>10.97289609109065</v>
      </c>
      <c r="I4" s="2">
        <f>('[1]Qc, Spring, S3'!I4*Main!$B$5)</f>
        <v>15.812006351266657</v>
      </c>
      <c r="J4" s="2">
        <f>('[1]Qc, Spring, S3'!J4*Main!$B$5)</f>
        <v>21.398591316109556</v>
      </c>
      <c r="K4" s="2">
        <f>('[1]Qc, Spring, S3'!K4*Main!$B$5)</f>
        <v>25.179381105250556</v>
      </c>
      <c r="L4" s="2">
        <f>('[1]Qc, Spring, S3'!L4*Main!$B$5)</f>
        <v>25.598428179246575</v>
      </c>
      <c r="M4" s="2">
        <f>('[1]Qc, Spring, S3'!M4*Main!$B$5)</f>
        <v>25.979898984161895</v>
      </c>
      <c r="N4" s="2">
        <f>('[1]Qc, Spring, S3'!N4*Main!$B$5)</f>
        <v>27.899087538975873</v>
      </c>
      <c r="O4" s="2">
        <f>('[1]Qc, Spring, S3'!O4*Main!$B$5)</f>
        <v>26.86613748621572</v>
      </c>
      <c r="P4" s="2">
        <f>('[1]Qc, Spring, S3'!P4*Main!$B$5)</f>
        <v>24.952558352942731</v>
      </c>
      <c r="Q4" s="2">
        <f>('[1]Qc, Spring, S3'!Q4*Main!$B$5)</f>
        <v>24.762322316978366</v>
      </c>
      <c r="R4" s="2">
        <f>('[1]Qc, Spring, S3'!R4*Main!$B$5)</f>
        <v>24.038602493731922</v>
      </c>
      <c r="S4" s="2">
        <f>('[1]Qc, Spring, S3'!S4*Main!$B$5)</f>
        <v>25.277161987432827</v>
      </c>
      <c r="T4" s="2">
        <f>('[1]Qc, Spring, S3'!T4*Main!$B$5)</f>
        <v>25.101612344906151</v>
      </c>
      <c r="U4" s="2">
        <f>('[1]Qc, Spring, S3'!U4*Main!$B$5)</f>
        <v>24.806788204794735</v>
      </c>
      <c r="V4" s="2">
        <f>('[1]Qc, Spring, S3'!V4*Main!$B$5)</f>
        <v>21.345024606379571</v>
      </c>
      <c r="W4" s="2">
        <f>('[1]Qc, Spring, S3'!W4*Main!$B$5)</f>
        <v>23.159320395879217</v>
      </c>
      <c r="X4" s="2">
        <f>('[1]Qc, Spring, S3'!X4*Main!$B$5)</f>
        <v>19.552248302997302</v>
      </c>
      <c r="Y4" s="2">
        <f>('[1]Qc, Spring, S3'!Y4*Main!$B$5)</f>
        <v>16.243248479225102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73252-224E-42D0-AEF3-875AB7F1DC39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3.2344043626809196</v>
      </c>
      <c r="C2" s="2">
        <f>('FL Characterization'!C$4-'FL Characterization'!C$2)*VLOOKUP($A2,'FL Ratio'!$A$2:$B$21,2,FALSE)</f>
        <v>3.5606687359016611</v>
      </c>
      <c r="D2" s="2">
        <f>('FL Characterization'!D$4-'FL Characterization'!D$2)*VLOOKUP($A2,'FL Ratio'!$A$2:$B$21,2,FALSE)</f>
        <v>4.6345485827720134</v>
      </c>
      <c r="E2" s="2">
        <f>('FL Characterization'!E$4-'FL Characterization'!E$2)*VLOOKUP($A2,'FL Ratio'!$A$2:$B$21,2,FALSE)</f>
        <v>5.3133235949431068</v>
      </c>
      <c r="F2" s="2">
        <f>('FL Characterization'!F$4-'FL Characterization'!F$2)*VLOOKUP($A2,'FL Ratio'!$A$2:$B$21,2,FALSE)</f>
        <v>6.2472606819633381</v>
      </c>
      <c r="G2" s="2">
        <f>('FL Characterization'!G$4-'FL Characterization'!G$2)*VLOOKUP($A2,'FL Ratio'!$A$2:$B$21,2,FALSE)</f>
        <v>7.302597945195366</v>
      </c>
      <c r="H2" s="2">
        <f>('FL Characterization'!H$4-'FL Characterization'!H$2)*VLOOKUP($A2,'FL Ratio'!$A$2:$B$21,2,FALSE)</f>
        <v>6.5096113671360332</v>
      </c>
      <c r="I2" s="2">
        <f>('FL Characterization'!I$4-'FL Characterization'!I$2)*VLOOKUP($A2,'FL Ratio'!$A$2:$B$21,2,FALSE)</f>
        <v>9.3062047272453654</v>
      </c>
      <c r="J2" s="2">
        <f>('FL Characterization'!J$4-'FL Characterization'!J$2)*VLOOKUP($A2,'FL Ratio'!$A$2:$B$21,2,FALSE)</f>
        <v>8.5374041278447166</v>
      </c>
      <c r="K2" s="2">
        <f>('FL Characterization'!K$4-'FL Characterization'!K$2)*VLOOKUP($A2,'FL Ratio'!$A$2:$B$21,2,FALSE)</f>
        <v>9.6425018027245208</v>
      </c>
      <c r="L2" s="2">
        <f>('FL Characterization'!L$4-'FL Characterization'!L$2)*VLOOKUP($A2,'FL Ratio'!$A$2:$B$21,2,FALSE)</f>
        <v>9.9099136278757936</v>
      </c>
      <c r="M2" s="2">
        <f>('FL Characterization'!M$4-'FL Characterization'!M$2)*VLOOKUP($A2,'FL Ratio'!$A$2:$B$21,2,FALSE)</f>
        <v>9.1922618944533312</v>
      </c>
      <c r="N2" s="2">
        <f>('FL Characterization'!N$4-'FL Characterization'!N$2)*VLOOKUP($A2,'FL Ratio'!$A$2:$B$21,2,FALSE)</f>
        <v>8.671569126126375</v>
      </c>
      <c r="O2" s="2">
        <f>('FL Characterization'!O$4-'FL Characterization'!O$2)*VLOOKUP($A2,'FL Ratio'!$A$2:$B$21,2,FALSE)</f>
        <v>7.983433244437383</v>
      </c>
      <c r="P2" s="2">
        <f>('FL Characterization'!P$4-'FL Characterization'!P$2)*VLOOKUP($A2,'FL Ratio'!$A$2:$B$21,2,FALSE)</f>
        <v>7.3536124446254449</v>
      </c>
      <c r="Q2" s="2">
        <f>('FL Characterization'!Q$4-'FL Characterization'!Q$2)*VLOOKUP($A2,'FL Ratio'!$A$2:$B$21,2,FALSE)</f>
        <v>6.6181571435792286</v>
      </c>
      <c r="R2" s="2">
        <f>('FL Characterization'!R$4-'FL Characterization'!R$2)*VLOOKUP($A2,'FL Ratio'!$A$2:$B$21,2,FALSE)</f>
        <v>6.5492718932513405</v>
      </c>
      <c r="S2" s="2">
        <f>('FL Characterization'!S$4-'FL Characterization'!S$2)*VLOOKUP($A2,'FL Ratio'!$A$2:$B$21,2,FALSE)</f>
        <v>5.1890569323717637</v>
      </c>
      <c r="T2" s="2">
        <f>('FL Characterization'!T$4-'FL Characterization'!T$2)*VLOOKUP($A2,'FL Ratio'!$A$2:$B$21,2,FALSE)</f>
        <v>4.2933247338623817</v>
      </c>
      <c r="U2" s="2">
        <f>('FL Characterization'!U$4-'FL Characterization'!U$2)*VLOOKUP($A2,'FL Ratio'!$A$2:$B$21,2,FALSE)</f>
        <v>5.0945972490547842</v>
      </c>
      <c r="V2" s="2">
        <f>('FL Characterization'!V$4-'FL Characterization'!V$2)*VLOOKUP($A2,'FL Ratio'!$A$2:$B$21,2,FALSE)</f>
        <v>5.1908932751958492</v>
      </c>
      <c r="W2" s="2">
        <f>('FL Characterization'!W$4-'FL Characterization'!W$2)*VLOOKUP($A2,'FL Ratio'!$A$2:$B$21,2,FALSE)</f>
        <v>5.9321487322352144</v>
      </c>
      <c r="X2" s="2">
        <f>('FL Characterization'!X$4-'FL Characterization'!X$2)*VLOOKUP($A2,'FL Ratio'!$A$2:$B$21,2,FALSE)</f>
        <v>2.8803709028520581</v>
      </c>
      <c r="Y2" s="2">
        <f>('FL Characterization'!Y$4-'FL Characterization'!Y$2)*VLOOKUP($A2,'FL Ratio'!$A$2:$B$21,2,FALSE)</f>
        <v>2.7654875042232989</v>
      </c>
    </row>
    <row r="3" spans="1:25" x14ac:dyDescent="0.3">
      <c r="A3">
        <v>2</v>
      </c>
      <c r="B3" s="2">
        <f>('FL Characterization'!B$4-'FL Characterization'!B$2)*VLOOKUP($A3,'FL Ratio'!$A$2:$B$21,2,FALSE)</f>
        <v>3.2344043626809196</v>
      </c>
      <c r="C3" s="2">
        <f>('FL Characterization'!C$4-'FL Characterization'!C$2)*VLOOKUP($A3,'FL Ratio'!$A$2:$B$21,2,FALSE)</f>
        <v>3.5606687359016611</v>
      </c>
      <c r="D3" s="2">
        <f>('FL Characterization'!D$4-'FL Characterization'!D$2)*VLOOKUP($A3,'FL Ratio'!$A$2:$B$21,2,FALSE)</f>
        <v>4.6345485827720134</v>
      </c>
      <c r="E3" s="2">
        <f>('FL Characterization'!E$4-'FL Characterization'!E$2)*VLOOKUP($A3,'FL Ratio'!$A$2:$B$21,2,FALSE)</f>
        <v>5.3133235949431068</v>
      </c>
      <c r="F3" s="2">
        <f>('FL Characterization'!F$4-'FL Characterization'!F$2)*VLOOKUP($A3,'FL Ratio'!$A$2:$B$21,2,FALSE)</f>
        <v>6.2472606819633381</v>
      </c>
      <c r="G3" s="2">
        <f>('FL Characterization'!G$4-'FL Characterization'!G$2)*VLOOKUP($A3,'FL Ratio'!$A$2:$B$21,2,FALSE)</f>
        <v>7.302597945195366</v>
      </c>
      <c r="H3" s="2">
        <f>('FL Characterization'!H$4-'FL Characterization'!H$2)*VLOOKUP($A3,'FL Ratio'!$A$2:$B$21,2,FALSE)</f>
        <v>6.5096113671360332</v>
      </c>
      <c r="I3" s="2">
        <f>('FL Characterization'!I$4-'FL Characterization'!I$2)*VLOOKUP($A3,'FL Ratio'!$A$2:$B$21,2,FALSE)</f>
        <v>9.3062047272453654</v>
      </c>
      <c r="J3" s="2">
        <f>('FL Characterization'!J$4-'FL Characterization'!J$2)*VLOOKUP($A3,'FL Ratio'!$A$2:$B$21,2,FALSE)</f>
        <v>8.5374041278447166</v>
      </c>
      <c r="K3" s="2">
        <f>('FL Characterization'!K$4-'FL Characterization'!K$2)*VLOOKUP($A3,'FL Ratio'!$A$2:$B$21,2,FALSE)</f>
        <v>9.6425018027245208</v>
      </c>
      <c r="L3" s="2">
        <f>('FL Characterization'!L$4-'FL Characterization'!L$2)*VLOOKUP($A3,'FL Ratio'!$A$2:$B$21,2,FALSE)</f>
        <v>9.9099136278757936</v>
      </c>
      <c r="M3" s="2">
        <f>('FL Characterization'!M$4-'FL Characterization'!M$2)*VLOOKUP($A3,'FL Ratio'!$A$2:$B$21,2,FALSE)</f>
        <v>9.1922618944533312</v>
      </c>
      <c r="N3" s="2">
        <f>('FL Characterization'!N$4-'FL Characterization'!N$2)*VLOOKUP($A3,'FL Ratio'!$A$2:$B$21,2,FALSE)</f>
        <v>8.671569126126375</v>
      </c>
      <c r="O3" s="2">
        <f>('FL Characterization'!O$4-'FL Characterization'!O$2)*VLOOKUP($A3,'FL Ratio'!$A$2:$B$21,2,FALSE)</f>
        <v>7.983433244437383</v>
      </c>
      <c r="P3" s="2">
        <f>('FL Characterization'!P$4-'FL Characterization'!P$2)*VLOOKUP($A3,'FL Ratio'!$A$2:$B$21,2,FALSE)</f>
        <v>7.3536124446254449</v>
      </c>
      <c r="Q3" s="2">
        <f>('FL Characterization'!Q$4-'FL Characterization'!Q$2)*VLOOKUP($A3,'FL Ratio'!$A$2:$B$21,2,FALSE)</f>
        <v>6.6181571435792286</v>
      </c>
      <c r="R3" s="2">
        <f>('FL Characterization'!R$4-'FL Characterization'!R$2)*VLOOKUP($A3,'FL Ratio'!$A$2:$B$21,2,FALSE)</f>
        <v>6.5492718932513405</v>
      </c>
      <c r="S3" s="2">
        <f>('FL Characterization'!S$4-'FL Characterization'!S$2)*VLOOKUP($A3,'FL Ratio'!$A$2:$B$21,2,FALSE)</f>
        <v>5.1890569323717637</v>
      </c>
      <c r="T3" s="2">
        <f>('FL Characterization'!T$4-'FL Characterization'!T$2)*VLOOKUP($A3,'FL Ratio'!$A$2:$B$21,2,FALSE)</f>
        <v>4.2933247338623817</v>
      </c>
      <c r="U3" s="2">
        <f>('FL Characterization'!U$4-'FL Characterization'!U$2)*VLOOKUP($A3,'FL Ratio'!$A$2:$B$21,2,FALSE)</f>
        <v>5.0945972490547842</v>
      </c>
      <c r="V3" s="2">
        <f>('FL Characterization'!V$4-'FL Characterization'!V$2)*VLOOKUP($A3,'FL Ratio'!$A$2:$B$21,2,FALSE)</f>
        <v>5.1908932751958492</v>
      </c>
      <c r="W3" s="2">
        <f>('FL Characterization'!W$4-'FL Characterization'!W$2)*VLOOKUP($A3,'FL Ratio'!$A$2:$B$21,2,FALSE)</f>
        <v>5.9321487322352144</v>
      </c>
      <c r="X3" s="2">
        <f>('FL Characterization'!X$4-'FL Characterization'!X$2)*VLOOKUP($A3,'FL Ratio'!$A$2:$B$21,2,FALSE)</f>
        <v>2.8803709028520581</v>
      </c>
      <c r="Y3" s="2">
        <f>('FL Characterization'!Y$4-'FL Characterization'!Y$2)*VLOOKUP($A3,'FL Ratio'!$A$2:$B$21,2,FALSE)</f>
        <v>2.7654875042232989</v>
      </c>
    </row>
    <row r="4" spans="1:25" x14ac:dyDescent="0.3">
      <c r="A4">
        <v>3</v>
      </c>
      <c r="B4" s="2">
        <f>('FL Characterization'!B$4-'FL Characterization'!B$2)*VLOOKUP($A4,'FL Ratio'!$A$2:$B$21,2,FALSE)</f>
        <v>3.2344043626809196</v>
      </c>
      <c r="C4" s="2">
        <f>('FL Characterization'!C$4-'FL Characterization'!C$2)*VLOOKUP($A4,'FL Ratio'!$A$2:$B$21,2,FALSE)</f>
        <v>3.5606687359016611</v>
      </c>
      <c r="D4" s="2">
        <f>('FL Characterization'!D$4-'FL Characterization'!D$2)*VLOOKUP($A4,'FL Ratio'!$A$2:$B$21,2,FALSE)</f>
        <v>4.6345485827720134</v>
      </c>
      <c r="E4" s="2">
        <f>('FL Characterization'!E$4-'FL Characterization'!E$2)*VLOOKUP($A4,'FL Ratio'!$A$2:$B$21,2,FALSE)</f>
        <v>5.3133235949431068</v>
      </c>
      <c r="F4" s="2">
        <f>('FL Characterization'!F$4-'FL Characterization'!F$2)*VLOOKUP($A4,'FL Ratio'!$A$2:$B$21,2,FALSE)</f>
        <v>6.2472606819633381</v>
      </c>
      <c r="G4" s="2">
        <f>('FL Characterization'!G$4-'FL Characterization'!G$2)*VLOOKUP($A4,'FL Ratio'!$A$2:$B$21,2,FALSE)</f>
        <v>7.302597945195366</v>
      </c>
      <c r="H4" s="2">
        <f>('FL Characterization'!H$4-'FL Characterization'!H$2)*VLOOKUP($A4,'FL Ratio'!$A$2:$B$21,2,FALSE)</f>
        <v>6.5096113671360332</v>
      </c>
      <c r="I4" s="2">
        <f>('FL Characterization'!I$4-'FL Characterization'!I$2)*VLOOKUP($A4,'FL Ratio'!$A$2:$B$21,2,FALSE)</f>
        <v>9.3062047272453654</v>
      </c>
      <c r="J4" s="2">
        <f>('FL Characterization'!J$4-'FL Characterization'!J$2)*VLOOKUP($A4,'FL Ratio'!$A$2:$B$21,2,FALSE)</f>
        <v>8.5374041278447166</v>
      </c>
      <c r="K4" s="2">
        <f>('FL Characterization'!K$4-'FL Characterization'!K$2)*VLOOKUP($A4,'FL Ratio'!$A$2:$B$21,2,FALSE)</f>
        <v>9.6425018027245208</v>
      </c>
      <c r="L4" s="2">
        <f>('FL Characterization'!L$4-'FL Characterization'!L$2)*VLOOKUP($A4,'FL Ratio'!$A$2:$B$21,2,FALSE)</f>
        <v>9.9099136278757936</v>
      </c>
      <c r="M4" s="2">
        <f>('FL Characterization'!M$4-'FL Characterization'!M$2)*VLOOKUP($A4,'FL Ratio'!$A$2:$B$21,2,FALSE)</f>
        <v>9.1922618944533312</v>
      </c>
      <c r="N4" s="2">
        <f>('FL Characterization'!N$4-'FL Characterization'!N$2)*VLOOKUP($A4,'FL Ratio'!$A$2:$B$21,2,FALSE)</f>
        <v>8.671569126126375</v>
      </c>
      <c r="O4" s="2">
        <f>('FL Characterization'!O$4-'FL Characterization'!O$2)*VLOOKUP($A4,'FL Ratio'!$A$2:$B$21,2,FALSE)</f>
        <v>7.983433244437383</v>
      </c>
      <c r="P4" s="2">
        <f>('FL Characterization'!P$4-'FL Characterization'!P$2)*VLOOKUP($A4,'FL Ratio'!$A$2:$B$21,2,FALSE)</f>
        <v>7.3536124446254449</v>
      </c>
      <c r="Q4" s="2">
        <f>('FL Characterization'!Q$4-'FL Characterization'!Q$2)*VLOOKUP($A4,'FL Ratio'!$A$2:$B$21,2,FALSE)</f>
        <v>6.6181571435792286</v>
      </c>
      <c r="R4" s="2">
        <f>('FL Characterization'!R$4-'FL Characterization'!R$2)*VLOOKUP($A4,'FL Ratio'!$A$2:$B$21,2,FALSE)</f>
        <v>6.5492718932513405</v>
      </c>
      <c r="S4" s="2">
        <f>('FL Characterization'!S$4-'FL Characterization'!S$2)*VLOOKUP($A4,'FL Ratio'!$A$2:$B$21,2,FALSE)</f>
        <v>5.1890569323717637</v>
      </c>
      <c r="T4" s="2">
        <f>('FL Characterization'!T$4-'FL Characterization'!T$2)*VLOOKUP($A4,'FL Ratio'!$A$2:$B$21,2,FALSE)</f>
        <v>4.2933247338623817</v>
      </c>
      <c r="U4" s="2">
        <f>('FL Characterization'!U$4-'FL Characterization'!U$2)*VLOOKUP($A4,'FL Ratio'!$A$2:$B$21,2,FALSE)</f>
        <v>5.0945972490547842</v>
      </c>
      <c r="V4" s="2">
        <f>('FL Characterization'!V$4-'FL Characterization'!V$2)*VLOOKUP($A4,'FL Ratio'!$A$2:$B$21,2,FALSE)</f>
        <v>5.1908932751958492</v>
      </c>
      <c r="W4" s="2">
        <f>('FL Characterization'!W$4-'FL Characterization'!W$2)*VLOOKUP($A4,'FL Ratio'!$A$2:$B$21,2,FALSE)</f>
        <v>5.9321487322352144</v>
      </c>
      <c r="X4" s="2">
        <f>('FL Characterization'!X$4-'FL Characterization'!X$2)*VLOOKUP($A4,'FL Ratio'!$A$2:$B$21,2,FALSE)</f>
        <v>2.8803709028520581</v>
      </c>
      <c r="Y4" s="2">
        <f>('FL Characterization'!Y$4-'FL Characterization'!Y$2)*VLOOKUP($A4,'FL Ratio'!$A$2:$B$21,2,FALSE)</f>
        <v>2.7654875042232989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FC90F-E5D8-4B0C-962A-1D3E48794422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8.9669515877079213</v>
      </c>
      <c r="C2" s="2">
        <f>('FL Characterization'!C$2-'FL Characterization'!C$3)*VLOOKUP($A2,'FL Ratio'!$A$2:$B$21,2,FALSE)</f>
        <v>9.4896374598317514</v>
      </c>
      <c r="D2" s="2">
        <f>('FL Characterization'!D$2-'FL Characterization'!D$3)*VLOOKUP($A2,'FL Ratio'!$A$2:$B$21,2,FALSE)</f>
        <v>10.020833213335489</v>
      </c>
      <c r="E2" s="2">
        <f>('FL Characterization'!E$2-'FL Characterization'!E$3)*VLOOKUP($A2,'FL Ratio'!$A$2:$B$21,2,FALSE)</f>
        <v>10.476335811407413</v>
      </c>
      <c r="F2" s="2">
        <f>('FL Characterization'!F$2-'FL Characterization'!F$3)*VLOOKUP($A2,'FL Ratio'!$A$2:$B$21,2,FALSE)</f>
        <v>10.595250206479289</v>
      </c>
      <c r="G2" s="2">
        <f>('FL Characterization'!G$2-'FL Characterization'!G$3)*VLOOKUP($A2,'FL Ratio'!$A$2:$B$21,2,FALSE)</f>
        <v>11.083224720342965</v>
      </c>
      <c r="H2" s="2">
        <f>('FL Characterization'!H$2-'FL Characterization'!H$3)*VLOOKUP($A2,'FL Ratio'!$A$2:$B$21,2,FALSE)</f>
        <v>11.026566825892527</v>
      </c>
      <c r="I2" s="2">
        <f>('FL Characterization'!I$2-'FL Characterization'!I$3)*VLOOKUP($A2,'FL Ratio'!$A$2:$B$21,2,FALSE)</f>
        <v>10.422678769864625</v>
      </c>
      <c r="J2" s="2">
        <f>('FL Characterization'!J$2-'FL Characterization'!J$3)*VLOOKUP($A2,'FL Ratio'!$A$2:$B$21,2,FALSE)</f>
        <v>9.4433705784346724</v>
      </c>
      <c r="K2" s="2">
        <f>('FL Characterization'!K$2-'FL Characterization'!K$3)*VLOOKUP($A2,'FL Ratio'!$A$2:$B$21,2,FALSE)</f>
        <v>13.867321991478644</v>
      </c>
      <c r="L2" s="2">
        <f>('FL Characterization'!L$2-'FL Characterization'!L$3)*VLOOKUP($A2,'FL Ratio'!$A$2:$B$21,2,FALSE)</f>
        <v>13.541998184094632</v>
      </c>
      <c r="M2" s="2">
        <f>('FL Characterization'!M$2-'FL Characterization'!M$3)*VLOOKUP($A2,'FL Ratio'!$A$2:$B$21,2,FALSE)</f>
        <v>12.469753130226206</v>
      </c>
      <c r="N2" s="2">
        <f>('FL Characterization'!N$2-'FL Characterization'!N$3)*VLOOKUP($A2,'FL Ratio'!$A$2:$B$21,2,FALSE)</f>
        <v>12.166756564252111</v>
      </c>
      <c r="O2" s="2">
        <f>('FL Characterization'!O$2-'FL Characterization'!O$3)*VLOOKUP($A2,'FL Ratio'!$A$2:$B$21,2,FALSE)</f>
        <v>12.216763314571413</v>
      </c>
      <c r="P2" s="2">
        <f>('FL Characterization'!P$2-'FL Characterization'!P$3)*VLOOKUP($A2,'FL Ratio'!$A$2:$B$21,2,FALSE)</f>
        <v>11.637979408614239</v>
      </c>
      <c r="Q2" s="2">
        <f>('FL Characterization'!Q$2-'FL Characterization'!Q$3)*VLOOKUP($A2,'FL Ratio'!$A$2:$B$21,2,FALSE)</f>
        <v>10.667942509003449</v>
      </c>
      <c r="R2" s="2">
        <f>('FL Characterization'!R$2-'FL Characterization'!R$3)*VLOOKUP($A2,'FL Ratio'!$A$2:$B$21,2,FALSE)</f>
        <v>9.5875906733994327</v>
      </c>
      <c r="S2" s="2">
        <f>('FL Characterization'!S$2-'FL Characterization'!S$3)*VLOOKUP($A2,'FL Ratio'!$A$2:$B$21,2,FALSE)</f>
        <v>9.2436570991030393</v>
      </c>
      <c r="T2" s="2">
        <f>('FL Characterization'!T$2-'FL Characterization'!T$3)*VLOOKUP($A2,'FL Ratio'!$A$2:$B$21,2,FALSE)</f>
        <v>5.8105246117765796</v>
      </c>
      <c r="U2" s="2">
        <f>('FL Characterization'!U$2-'FL Characterization'!U$3)*VLOOKUP($A2,'FL Ratio'!$A$2:$B$21,2,FALSE)</f>
        <v>6.2138258059101732</v>
      </c>
      <c r="V2" s="2">
        <f>('FL Characterization'!V$2-'FL Characterization'!V$3)*VLOOKUP($A2,'FL Ratio'!$A$2:$B$21,2,FALSE)</f>
        <v>6.7937070386768585</v>
      </c>
      <c r="W2" s="2">
        <f>('FL Characterization'!W$2-'FL Characterization'!W$3)*VLOOKUP($A2,'FL Ratio'!$A$2:$B$21,2,FALSE)</f>
        <v>6.9558202789641088</v>
      </c>
      <c r="X2" s="2">
        <f>('FL Characterization'!X$2-'FL Characterization'!X$3)*VLOOKUP($A2,'FL Ratio'!$A$2:$B$21,2,FALSE)</f>
        <v>7.2544499321248326</v>
      </c>
      <c r="Y2" s="2">
        <f>('FL Characterization'!Y$2-'FL Characterization'!Y$3)*VLOOKUP($A2,'FL Ratio'!$A$2:$B$21,2,FALSE)</f>
        <v>8.0075744342467008</v>
      </c>
    </row>
    <row r="3" spans="1:25" x14ac:dyDescent="0.3">
      <c r="A3">
        <v>2</v>
      </c>
      <c r="B3" s="2">
        <f>('FL Characterization'!B$2-'FL Characterization'!B$3)*VLOOKUP($A3,'FL Ratio'!$A$2:$B$21,2,FALSE)</f>
        <v>8.9669515877079213</v>
      </c>
      <c r="C3" s="2">
        <f>('FL Characterization'!C$2-'FL Characterization'!C$3)*VLOOKUP($A3,'FL Ratio'!$A$2:$B$21,2,FALSE)</f>
        <v>9.4896374598317514</v>
      </c>
      <c r="D3" s="2">
        <f>('FL Characterization'!D$2-'FL Characterization'!D$3)*VLOOKUP($A3,'FL Ratio'!$A$2:$B$21,2,FALSE)</f>
        <v>10.020833213335489</v>
      </c>
      <c r="E3" s="2">
        <f>('FL Characterization'!E$2-'FL Characterization'!E$3)*VLOOKUP($A3,'FL Ratio'!$A$2:$B$21,2,FALSE)</f>
        <v>10.476335811407413</v>
      </c>
      <c r="F3" s="2">
        <f>('FL Characterization'!F$2-'FL Characterization'!F$3)*VLOOKUP($A3,'FL Ratio'!$A$2:$B$21,2,FALSE)</f>
        <v>10.595250206479289</v>
      </c>
      <c r="G3" s="2">
        <f>('FL Characterization'!G$2-'FL Characterization'!G$3)*VLOOKUP($A3,'FL Ratio'!$A$2:$B$21,2,FALSE)</f>
        <v>11.083224720342965</v>
      </c>
      <c r="H3" s="2">
        <f>('FL Characterization'!H$2-'FL Characterization'!H$3)*VLOOKUP($A3,'FL Ratio'!$A$2:$B$21,2,FALSE)</f>
        <v>11.026566825892527</v>
      </c>
      <c r="I3" s="2">
        <f>('FL Characterization'!I$2-'FL Characterization'!I$3)*VLOOKUP($A3,'FL Ratio'!$A$2:$B$21,2,FALSE)</f>
        <v>10.422678769864625</v>
      </c>
      <c r="J3" s="2">
        <f>('FL Characterization'!J$2-'FL Characterization'!J$3)*VLOOKUP($A3,'FL Ratio'!$A$2:$B$21,2,FALSE)</f>
        <v>9.4433705784346724</v>
      </c>
      <c r="K3" s="2">
        <f>('FL Characterization'!K$2-'FL Characterization'!K$3)*VLOOKUP($A3,'FL Ratio'!$A$2:$B$21,2,FALSE)</f>
        <v>13.867321991478644</v>
      </c>
      <c r="L3" s="2">
        <f>('FL Characterization'!L$2-'FL Characterization'!L$3)*VLOOKUP($A3,'FL Ratio'!$A$2:$B$21,2,FALSE)</f>
        <v>13.541998184094632</v>
      </c>
      <c r="M3" s="2">
        <f>('FL Characterization'!M$2-'FL Characterization'!M$3)*VLOOKUP($A3,'FL Ratio'!$A$2:$B$21,2,FALSE)</f>
        <v>12.469753130226206</v>
      </c>
      <c r="N3" s="2">
        <f>('FL Characterization'!N$2-'FL Characterization'!N$3)*VLOOKUP($A3,'FL Ratio'!$A$2:$B$21,2,FALSE)</f>
        <v>12.166756564252111</v>
      </c>
      <c r="O3" s="2">
        <f>('FL Characterization'!O$2-'FL Characterization'!O$3)*VLOOKUP($A3,'FL Ratio'!$A$2:$B$21,2,FALSE)</f>
        <v>12.216763314571413</v>
      </c>
      <c r="P3" s="2">
        <f>('FL Characterization'!P$2-'FL Characterization'!P$3)*VLOOKUP($A3,'FL Ratio'!$A$2:$B$21,2,FALSE)</f>
        <v>11.637979408614239</v>
      </c>
      <c r="Q3" s="2">
        <f>('FL Characterization'!Q$2-'FL Characterization'!Q$3)*VLOOKUP($A3,'FL Ratio'!$A$2:$B$21,2,FALSE)</f>
        <v>10.667942509003449</v>
      </c>
      <c r="R3" s="2">
        <f>('FL Characterization'!R$2-'FL Characterization'!R$3)*VLOOKUP($A3,'FL Ratio'!$A$2:$B$21,2,FALSE)</f>
        <v>9.5875906733994327</v>
      </c>
      <c r="S3" s="2">
        <f>('FL Characterization'!S$2-'FL Characterization'!S$3)*VLOOKUP($A3,'FL Ratio'!$A$2:$B$21,2,FALSE)</f>
        <v>9.2436570991030393</v>
      </c>
      <c r="T3" s="2">
        <f>('FL Characterization'!T$2-'FL Characterization'!T$3)*VLOOKUP($A3,'FL Ratio'!$A$2:$B$21,2,FALSE)</f>
        <v>5.8105246117765796</v>
      </c>
      <c r="U3" s="2">
        <f>('FL Characterization'!U$2-'FL Characterization'!U$3)*VLOOKUP($A3,'FL Ratio'!$A$2:$B$21,2,FALSE)</f>
        <v>6.2138258059101732</v>
      </c>
      <c r="V3" s="2">
        <f>('FL Characterization'!V$2-'FL Characterization'!V$3)*VLOOKUP($A3,'FL Ratio'!$A$2:$B$21,2,FALSE)</f>
        <v>6.7937070386768585</v>
      </c>
      <c r="W3" s="2">
        <f>('FL Characterization'!W$2-'FL Characterization'!W$3)*VLOOKUP($A3,'FL Ratio'!$A$2:$B$21,2,FALSE)</f>
        <v>6.9558202789641088</v>
      </c>
      <c r="X3" s="2">
        <f>('FL Characterization'!X$2-'FL Characterization'!X$3)*VLOOKUP($A3,'FL Ratio'!$A$2:$B$21,2,FALSE)</f>
        <v>7.2544499321248326</v>
      </c>
      <c r="Y3" s="2">
        <f>('FL Characterization'!Y$2-'FL Characterization'!Y$3)*VLOOKUP($A3,'FL Ratio'!$A$2:$B$21,2,FALSE)</f>
        <v>8.0075744342467008</v>
      </c>
    </row>
    <row r="4" spans="1:25" x14ac:dyDescent="0.3">
      <c r="A4">
        <v>3</v>
      </c>
      <c r="B4" s="2">
        <f>('FL Characterization'!B$2-'FL Characterization'!B$3)*VLOOKUP($A4,'FL Ratio'!$A$2:$B$21,2,FALSE)</f>
        <v>8.9669515877079213</v>
      </c>
      <c r="C4" s="2">
        <f>('FL Characterization'!C$2-'FL Characterization'!C$3)*VLOOKUP($A4,'FL Ratio'!$A$2:$B$21,2,FALSE)</f>
        <v>9.4896374598317514</v>
      </c>
      <c r="D4" s="2">
        <f>('FL Characterization'!D$2-'FL Characterization'!D$3)*VLOOKUP($A4,'FL Ratio'!$A$2:$B$21,2,FALSE)</f>
        <v>10.020833213335489</v>
      </c>
      <c r="E4" s="2">
        <f>('FL Characterization'!E$2-'FL Characterization'!E$3)*VLOOKUP($A4,'FL Ratio'!$A$2:$B$21,2,FALSE)</f>
        <v>10.476335811407413</v>
      </c>
      <c r="F4" s="2">
        <f>('FL Characterization'!F$2-'FL Characterization'!F$3)*VLOOKUP($A4,'FL Ratio'!$A$2:$B$21,2,FALSE)</f>
        <v>10.595250206479289</v>
      </c>
      <c r="G4" s="2">
        <f>('FL Characterization'!G$2-'FL Characterization'!G$3)*VLOOKUP($A4,'FL Ratio'!$A$2:$B$21,2,FALSE)</f>
        <v>11.083224720342965</v>
      </c>
      <c r="H4" s="2">
        <f>('FL Characterization'!H$2-'FL Characterization'!H$3)*VLOOKUP($A4,'FL Ratio'!$A$2:$B$21,2,FALSE)</f>
        <v>11.026566825892527</v>
      </c>
      <c r="I4" s="2">
        <f>('FL Characterization'!I$2-'FL Characterization'!I$3)*VLOOKUP($A4,'FL Ratio'!$A$2:$B$21,2,FALSE)</f>
        <v>10.422678769864625</v>
      </c>
      <c r="J4" s="2">
        <f>('FL Characterization'!J$2-'FL Characterization'!J$3)*VLOOKUP($A4,'FL Ratio'!$A$2:$B$21,2,FALSE)</f>
        <v>9.4433705784346724</v>
      </c>
      <c r="K4" s="2">
        <f>('FL Characterization'!K$2-'FL Characterization'!K$3)*VLOOKUP($A4,'FL Ratio'!$A$2:$B$21,2,FALSE)</f>
        <v>13.867321991478644</v>
      </c>
      <c r="L4" s="2">
        <f>('FL Characterization'!L$2-'FL Characterization'!L$3)*VLOOKUP($A4,'FL Ratio'!$A$2:$B$21,2,FALSE)</f>
        <v>13.541998184094632</v>
      </c>
      <c r="M4" s="2">
        <f>('FL Characterization'!M$2-'FL Characterization'!M$3)*VLOOKUP($A4,'FL Ratio'!$A$2:$B$21,2,FALSE)</f>
        <v>12.469753130226206</v>
      </c>
      <c r="N4" s="2">
        <f>('FL Characterization'!N$2-'FL Characterization'!N$3)*VLOOKUP($A4,'FL Ratio'!$A$2:$B$21,2,FALSE)</f>
        <v>12.166756564252111</v>
      </c>
      <c r="O4" s="2">
        <f>('FL Characterization'!O$2-'FL Characterization'!O$3)*VLOOKUP($A4,'FL Ratio'!$A$2:$B$21,2,FALSE)</f>
        <v>12.216763314571413</v>
      </c>
      <c r="P4" s="2">
        <f>('FL Characterization'!P$2-'FL Characterization'!P$3)*VLOOKUP($A4,'FL Ratio'!$A$2:$B$21,2,FALSE)</f>
        <v>11.637979408614239</v>
      </c>
      <c r="Q4" s="2">
        <f>('FL Characterization'!Q$2-'FL Characterization'!Q$3)*VLOOKUP($A4,'FL Ratio'!$A$2:$B$21,2,FALSE)</f>
        <v>10.667942509003449</v>
      </c>
      <c r="R4" s="2">
        <f>('FL Characterization'!R$2-'FL Characterization'!R$3)*VLOOKUP($A4,'FL Ratio'!$A$2:$B$21,2,FALSE)</f>
        <v>9.5875906733994327</v>
      </c>
      <c r="S4" s="2">
        <f>('FL Characterization'!S$2-'FL Characterization'!S$3)*VLOOKUP($A4,'FL Ratio'!$A$2:$B$21,2,FALSE)</f>
        <v>9.2436570991030393</v>
      </c>
      <c r="T4" s="2">
        <f>('FL Characterization'!T$2-'FL Characterization'!T$3)*VLOOKUP($A4,'FL Ratio'!$A$2:$B$21,2,FALSE)</f>
        <v>5.8105246117765796</v>
      </c>
      <c r="U4" s="2">
        <f>('FL Characterization'!U$2-'FL Characterization'!U$3)*VLOOKUP($A4,'FL Ratio'!$A$2:$B$21,2,FALSE)</f>
        <v>6.2138258059101732</v>
      </c>
      <c r="V4" s="2">
        <f>('FL Characterization'!V$2-'FL Characterization'!V$3)*VLOOKUP($A4,'FL Ratio'!$A$2:$B$21,2,FALSE)</f>
        <v>6.7937070386768585</v>
      </c>
      <c r="W4" s="2">
        <f>('FL Characterization'!W$2-'FL Characterization'!W$3)*VLOOKUP($A4,'FL Ratio'!$A$2:$B$21,2,FALSE)</f>
        <v>6.9558202789641088</v>
      </c>
      <c r="X4" s="2">
        <f>('FL Characterization'!X$2-'FL Characterization'!X$3)*VLOOKUP($A4,'FL Ratio'!$A$2:$B$21,2,FALSE)</f>
        <v>7.2544499321248326</v>
      </c>
      <c r="Y4" s="2">
        <f>('FL Characterization'!Y$2-'FL Characterization'!Y$3)*VLOOKUP($A4,'FL Ratio'!$A$2:$B$21,2,FALSE)</f>
        <v>8.0075744342467008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7BEDA-3CED-4A36-B8B5-3C997C5803E9}">
  <dimension ref="A1:Y10"/>
  <sheetViews>
    <sheetView workbookViewId="0">
      <selection activeCell="B5" sqref="B5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11.615816940987557</v>
      </c>
      <c r="C5" s="9">
        <f>VLOOKUP($A5,'RES installed'!$A$2:$C$7,3,FALSE)*'[1]Profiles, RES, Spring'!C$5</f>
        <v>10.784825371336813</v>
      </c>
      <c r="D5" s="9">
        <f>VLOOKUP($A5,'RES installed'!$A$2:$C$7,3,FALSE)*'[1]Profiles, RES, Spring'!D$5</f>
        <v>10.839020473705339</v>
      </c>
      <c r="E5" s="9">
        <f>VLOOKUP($A5,'RES installed'!$A$2:$C$7,3,FALSE)*'[1]Profiles, RES, Spring'!E$5</f>
        <v>10.405459654757125</v>
      </c>
      <c r="F5" s="9">
        <f>VLOOKUP($A5,'RES installed'!$A$2:$C$7,3,FALSE)*'[1]Profiles, RES, Spring'!F$5</f>
        <v>10.306101967081492</v>
      </c>
      <c r="G5" s="9">
        <f>VLOOKUP($A5,'RES installed'!$A$2:$C$7,3,FALSE)*'[1]Profiles, RES, Spring'!G$5</f>
        <v>10.486752308309915</v>
      </c>
      <c r="H5" s="9">
        <f>VLOOKUP($A5,'RES installed'!$A$2:$C$7,3,FALSE)*'[1]Profiles, RES, Spring'!H$5</f>
        <v>9.4118827780008036</v>
      </c>
      <c r="I5" s="9">
        <f>VLOOKUP($A5,'RES installed'!$A$2:$C$7,3,FALSE)*'[1]Profiles, RES, Spring'!I$5</f>
        <v>7.5511842633480528</v>
      </c>
      <c r="J5" s="9">
        <f>VLOOKUP($A5,'RES installed'!$A$2:$C$7,3,FALSE)*'[1]Profiles, RES, Spring'!J$5</f>
        <v>5.9524287434765153</v>
      </c>
      <c r="K5" s="9">
        <f>VLOOKUP($A5,'RES installed'!$A$2:$C$7,3,FALSE)*'[1]Profiles, RES, Spring'!K$5</f>
        <v>4.4981934965877164</v>
      </c>
      <c r="L5" s="9">
        <f>VLOOKUP($A5,'RES installed'!$A$2:$C$7,3,FALSE)*'[1]Profiles, RES, Spring'!L$5</f>
        <v>4.2723805700521877</v>
      </c>
      <c r="M5" s="9">
        <f>VLOOKUP($A5,'RES installed'!$A$2:$C$7,3,FALSE)*'[1]Profiles, RES, Spring'!M$5</f>
        <v>5.2027298273785627</v>
      </c>
      <c r="N5" s="9">
        <f>VLOOKUP($A5,'RES installed'!$A$2:$C$7,3,FALSE)*'[1]Profiles, RES, Spring'!N$5</f>
        <v>6.8737454837414687</v>
      </c>
      <c r="O5" s="9">
        <f>VLOOKUP($A5,'RES installed'!$A$2:$C$7,3,FALSE)*'[1]Profiles, RES, Spring'!O$5</f>
        <v>9.5022079486150144</v>
      </c>
      <c r="P5" s="9">
        <f>VLOOKUP($A5,'RES installed'!$A$2:$C$7,3,FALSE)*'[1]Profiles, RES, Spring'!P$5</f>
        <v>12.401645925331193</v>
      </c>
      <c r="Q5" s="9">
        <f>VLOOKUP($A5,'RES installed'!$A$2:$C$7,3,FALSE)*'[1]Profiles, RES, Spring'!Q$5</f>
        <v>15.472701726214373</v>
      </c>
      <c r="R5" s="9">
        <f>VLOOKUP($A5,'RES installed'!$A$2:$C$7,3,FALSE)*'[1]Profiles, RES, Spring'!R$5</f>
        <v>19.26635889201124</v>
      </c>
      <c r="S5" s="9">
        <f>VLOOKUP($A5,'RES installed'!$A$2:$C$7,3,FALSE)*'[1]Profiles, RES, Spring'!S$5</f>
        <v>21.389000401445202</v>
      </c>
      <c r="T5" s="9">
        <f>VLOOKUP($A5,'RES installed'!$A$2:$C$7,3,FALSE)*'[1]Profiles, RES, Spring'!T$5</f>
        <v>21.461260537936575</v>
      </c>
      <c r="U5" s="9">
        <f>VLOOKUP($A5,'RES installed'!$A$2:$C$7,3,FALSE)*'[1]Profiles, RES, Spring'!U$5</f>
        <v>20.901244480128462</v>
      </c>
      <c r="V5" s="9">
        <f>VLOOKUP($A5,'RES installed'!$A$2:$C$7,3,FALSE)*'[1]Profiles, RES, Spring'!V$5</f>
        <v>18.950220794861501</v>
      </c>
      <c r="W5" s="9">
        <f>VLOOKUP($A5,'RES installed'!$A$2:$C$7,3,FALSE)*'[1]Profiles, RES, Spring'!W$5</f>
        <v>17.514050582095543</v>
      </c>
      <c r="X5" s="9">
        <f>VLOOKUP($A5,'RES installed'!$A$2:$C$7,3,FALSE)*'[1]Profiles, RES, Spring'!X$5</f>
        <v>17.48695303091128</v>
      </c>
      <c r="Y5" s="9">
        <f>VLOOKUP($A5,'RES installed'!$A$2:$C$7,3,FALSE)*'[1]Profiles, RES, Spring'!Y$5</f>
        <v>16.583701324769169</v>
      </c>
    </row>
    <row r="6" spans="1:25" x14ac:dyDescent="0.3">
      <c r="A6" s="8">
        <v>5</v>
      </c>
      <c r="B6" s="9">
        <f>VLOOKUP($A6,'RES installed'!$A$2:$C$7,3,FALSE)*'[1]Profiles, RES, Spring'!B$5</f>
        <v>15.487755921316742</v>
      </c>
      <c r="C6" s="9">
        <f>VLOOKUP($A6,'RES installed'!$A$2:$C$7,3,FALSE)*'[1]Profiles, RES, Spring'!C$5</f>
        <v>14.379767161782416</v>
      </c>
      <c r="D6" s="9">
        <f>VLOOKUP($A6,'RES installed'!$A$2:$C$7,3,FALSE)*'[1]Profiles, RES, Spring'!D$5</f>
        <v>14.452027298273785</v>
      </c>
      <c r="E6" s="9">
        <f>VLOOKUP($A6,'RES installed'!$A$2:$C$7,3,FALSE)*'[1]Profiles, RES, Spring'!E$5</f>
        <v>13.873946206342834</v>
      </c>
      <c r="F6" s="9">
        <f>VLOOKUP($A6,'RES installed'!$A$2:$C$7,3,FALSE)*'[1]Profiles, RES, Spring'!F$5</f>
        <v>13.741469289441991</v>
      </c>
      <c r="G6" s="9">
        <f>VLOOKUP($A6,'RES installed'!$A$2:$C$7,3,FALSE)*'[1]Profiles, RES, Spring'!G$5</f>
        <v>13.982336411079887</v>
      </c>
      <c r="H6" s="9">
        <f>VLOOKUP($A6,'RES installed'!$A$2:$C$7,3,FALSE)*'[1]Profiles, RES, Spring'!H$5</f>
        <v>12.549177037334404</v>
      </c>
      <c r="I6" s="9">
        <f>VLOOKUP($A6,'RES installed'!$A$2:$C$7,3,FALSE)*'[1]Profiles, RES, Spring'!I$5</f>
        <v>10.06824568446407</v>
      </c>
      <c r="J6" s="9">
        <f>VLOOKUP($A6,'RES installed'!$A$2:$C$7,3,FALSE)*'[1]Profiles, RES, Spring'!J$5</f>
        <v>7.9365716579686874</v>
      </c>
      <c r="K6" s="9">
        <f>VLOOKUP($A6,'RES installed'!$A$2:$C$7,3,FALSE)*'[1]Profiles, RES, Spring'!K$5</f>
        <v>5.9975913287836216</v>
      </c>
      <c r="L6" s="9">
        <f>VLOOKUP($A6,'RES installed'!$A$2:$C$7,3,FALSE)*'[1]Profiles, RES, Spring'!L$5</f>
        <v>5.6965074267362503</v>
      </c>
      <c r="M6" s="9">
        <f>VLOOKUP($A6,'RES installed'!$A$2:$C$7,3,FALSE)*'[1]Profiles, RES, Spring'!M$5</f>
        <v>6.9369731031714172</v>
      </c>
      <c r="N6" s="9">
        <f>VLOOKUP($A6,'RES installed'!$A$2:$C$7,3,FALSE)*'[1]Profiles, RES, Spring'!N$5</f>
        <v>9.1649939783219594</v>
      </c>
      <c r="O6" s="9">
        <f>VLOOKUP($A6,'RES installed'!$A$2:$C$7,3,FALSE)*'[1]Profiles, RES, Spring'!O$5</f>
        <v>12.669610598153353</v>
      </c>
      <c r="P6" s="9">
        <f>VLOOKUP($A6,'RES installed'!$A$2:$C$7,3,FALSE)*'[1]Profiles, RES, Spring'!P$5</f>
        <v>16.53552790044159</v>
      </c>
      <c r="Q6" s="9">
        <f>VLOOKUP($A6,'RES installed'!$A$2:$C$7,3,FALSE)*'[1]Profiles, RES, Spring'!Q$5</f>
        <v>20.630268968285829</v>
      </c>
      <c r="R6" s="9">
        <f>VLOOKUP($A6,'RES installed'!$A$2:$C$7,3,FALSE)*'[1]Profiles, RES, Spring'!R$5</f>
        <v>25.688478522681656</v>
      </c>
      <c r="S6" s="9">
        <f>VLOOKUP($A6,'RES installed'!$A$2:$C$7,3,FALSE)*'[1]Profiles, RES, Spring'!S$5</f>
        <v>28.518667201926938</v>
      </c>
      <c r="T6" s="9">
        <f>VLOOKUP($A6,'RES installed'!$A$2:$C$7,3,FALSE)*'[1]Profiles, RES, Spring'!T$5</f>
        <v>28.615014050582097</v>
      </c>
      <c r="U6" s="9">
        <f>VLOOKUP($A6,'RES installed'!$A$2:$C$7,3,FALSE)*'[1]Profiles, RES, Spring'!U$5</f>
        <v>27.868325973504618</v>
      </c>
      <c r="V6" s="9">
        <f>VLOOKUP($A6,'RES installed'!$A$2:$C$7,3,FALSE)*'[1]Profiles, RES, Spring'!V$5</f>
        <v>25.266961059815333</v>
      </c>
      <c r="W6" s="9">
        <f>VLOOKUP($A6,'RES installed'!$A$2:$C$7,3,FALSE)*'[1]Profiles, RES, Spring'!W$5</f>
        <v>23.352067442794059</v>
      </c>
      <c r="X6" s="9">
        <f>VLOOKUP($A6,'RES installed'!$A$2:$C$7,3,FALSE)*'[1]Profiles, RES, Spring'!X$5</f>
        <v>23.315937374548376</v>
      </c>
      <c r="Y6" s="9">
        <f>VLOOKUP($A6,'RES installed'!$A$2:$C$7,3,FALSE)*'[1]Profiles, RES, Spring'!Y$5</f>
        <v>22.111601766358891</v>
      </c>
    </row>
    <row r="7" spans="1:25" x14ac:dyDescent="0.3">
      <c r="A7" s="8">
        <v>6</v>
      </c>
      <c r="B7" s="9">
        <f>VLOOKUP($A7,'RES installed'!$A$2:$C$7,3,FALSE)*'[1]Profiles, RES, Spring'!B$5</f>
        <v>11.615816940987557</v>
      </c>
      <c r="C7" s="9">
        <f>VLOOKUP($A7,'RES installed'!$A$2:$C$7,3,FALSE)*'[1]Profiles, RES, Spring'!C$5</f>
        <v>10.784825371336813</v>
      </c>
      <c r="D7" s="9">
        <f>VLOOKUP($A7,'RES installed'!$A$2:$C$7,3,FALSE)*'[1]Profiles, RES, Spring'!D$5</f>
        <v>10.839020473705339</v>
      </c>
      <c r="E7" s="9">
        <f>VLOOKUP($A7,'RES installed'!$A$2:$C$7,3,FALSE)*'[1]Profiles, RES, Spring'!E$5</f>
        <v>10.405459654757125</v>
      </c>
      <c r="F7" s="9">
        <f>VLOOKUP($A7,'RES installed'!$A$2:$C$7,3,FALSE)*'[1]Profiles, RES, Spring'!F$5</f>
        <v>10.306101967081492</v>
      </c>
      <c r="G7" s="9">
        <f>VLOOKUP($A7,'RES installed'!$A$2:$C$7,3,FALSE)*'[1]Profiles, RES, Spring'!G$5</f>
        <v>10.486752308309915</v>
      </c>
      <c r="H7" s="9">
        <f>VLOOKUP($A7,'RES installed'!$A$2:$C$7,3,FALSE)*'[1]Profiles, RES, Spring'!H$5</f>
        <v>9.4118827780008036</v>
      </c>
      <c r="I7" s="9">
        <f>VLOOKUP($A7,'RES installed'!$A$2:$C$7,3,FALSE)*'[1]Profiles, RES, Spring'!I$5</f>
        <v>7.5511842633480528</v>
      </c>
      <c r="J7" s="9">
        <f>VLOOKUP($A7,'RES installed'!$A$2:$C$7,3,FALSE)*'[1]Profiles, RES, Spring'!J$5</f>
        <v>5.9524287434765153</v>
      </c>
      <c r="K7" s="9">
        <f>VLOOKUP($A7,'RES installed'!$A$2:$C$7,3,FALSE)*'[1]Profiles, RES, Spring'!K$5</f>
        <v>4.4981934965877164</v>
      </c>
      <c r="L7" s="9">
        <f>VLOOKUP($A7,'RES installed'!$A$2:$C$7,3,FALSE)*'[1]Profiles, RES, Spring'!L$5</f>
        <v>4.2723805700521877</v>
      </c>
      <c r="M7" s="9">
        <f>VLOOKUP($A7,'RES installed'!$A$2:$C$7,3,FALSE)*'[1]Profiles, RES, Spring'!M$5</f>
        <v>5.2027298273785627</v>
      </c>
      <c r="N7" s="9">
        <f>VLOOKUP($A7,'RES installed'!$A$2:$C$7,3,FALSE)*'[1]Profiles, RES, Spring'!N$5</f>
        <v>6.8737454837414687</v>
      </c>
      <c r="O7" s="9">
        <f>VLOOKUP($A7,'RES installed'!$A$2:$C$7,3,FALSE)*'[1]Profiles, RES, Spring'!O$5</f>
        <v>9.5022079486150144</v>
      </c>
      <c r="P7" s="9">
        <f>VLOOKUP($A7,'RES installed'!$A$2:$C$7,3,FALSE)*'[1]Profiles, RES, Spring'!P$5</f>
        <v>12.401645925331193</v>
      </c>
      <c r="Q7" s="9">
        <f>VLOOKUP($A7,'RES installed'!$A$2:$C$7,3,FALSE)*'[1]Profiles, RES, Spring'!Q$5</f>
        <v>15.472701726214373</v>
      </c>
      <c r="R7" s="9">
        <f>VLOOKUP($A7,'RES installed'!$A$2:$C$7,3,FALSE)*'[1]Profiles, RES, Spring'!R$5</f>
        <v>19.26635889201124</v>
      </c>
      <c r="S7" s="9">
        <f>VLOOKUP($A7,'RES installed'!$A$2:$C$7,3,FALSE)*'[1]Profiles, RES, Spring'!S$5</f>
        <v>21.389000401445202</v>
      </c>
      <c r="T7" s="9">
        <f>VLOOKUP($A7,'RES installed'!$A$2:$C$7,3,FALSE)*'[1]Profiles, RES, Spring'!T$5</f>
        <v>21.461260537936575</v>
      </c>
      <c r="U7" s="9">
        <f>VLOOKUP($A7,'RES installed'!$A$2:$C$7,3,FALSE)*'[1]Profiles, RES, Spring'!U$5</f>
        <v>20.901244480128462</v>
      </c>
      <c r="V7" s="9">
        <f>VLOOKUP($A7,'RES installed'!$A$2:$C$7,3,FALSE)*'[1]Profiles, RES, Spring'!V$5</f>
        <v>18.950220794861501</v>
      </c>
      <c r="W7" s="9">
        <f>VLOOKUP($A7,'RES installed'!$A$2:$C$7,3,FALSE)*'[1]Profiles, RES, Spring'!W$5</f>
        <v>17.514050582095543</v>
      </c>
      <c r="X7" s="9">
        <f>VLOOKUP($A7,'RES installed'!$A$2:$C$7,3,FALSE)*'[1]Profiles, RES, Spring'!X$5</f>
        <v>17.48695303091128</v>
      </c>
      <c r="Y7" s="9">
        <f>VLOOKUP($A7,'RES installed'!$A$2:$C$7,3,FALSE)*'[1]Profiles, RES, Spring'!Y$5</f>
        <v>16.583701324769169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0.71076573161485967</v>
      </c>
      <c r="H8" s="6">
        <f>VLOOKUP($A8,'RES installed'!$A$2:$C$7,3,FALSE)*'[1]Profiles, RES, Spring'!H$2</f>
        <v>7.136087945413192</v>
      </c>
      <c r="I8" s="6">
        <f>VLOOKUP($A8,'RES installed'!$A$2:$C$7,3,FALSE)*'[1]Profiles, RES, Spring'!I$2</f>
        <v>19.929871114480665</v>
      </c>
      <c r="J8" s="6">
        <f>VLOOKUP($A8,'RES installed'!$A$2:$C$7,3,FALSE)*'[1]Profiles, RES, Spring'!J$2</f>
        <v>30.790371493555725</v>
      </c>
      <c r="K8" s="6">
        <f>VLOOKUP($A8,'RES installed'!$A$2:$C$7,3,FALSE)*'[1]Profiles, RES, Spring'!K$2</f>
        <v>36.021607278241092</v>
      </c>
      <c r="L8" s="6">
        <f>VLOOKUP($A8,'RES installed'!$A$2:$C$7,3,FALSE)*'[1]Profiles, RES, Spring'!L$2</f>
        <v>41.167551175132679</v>
      </c>
      <c r="M8" s="6">
        <f>VLOOKUP($A8,'RES installed'!$A$2:$C$7,3,FALSE)*'[1]Profiles, RES, Spring'!M$2</f>
        <v>43.385140257771042</v>
      </c>
      <c r="N8" s="6">
        <f>VLOOKUP($A8,'RES installed'!$A$2:$C$7,3,FALSE)*'[1]Profiles, RES, Spring'!N$2</f>
        <v>46.796815769522368</v>
      </c>
      <c r="O8" s="6">
        <f>VLOOKUP($A8,'RES installed'!$A$2:$C$7,3,FALSE)*'[1]Profiles, RES, Spring'!O$2</f>
        <v>47.052691432903721</v>
      </c>
      <c r="P8" s="6">
        <f>VLOOKUP($A8,'RES installed'!$A$2:$C$7,3,FALSE)*'[1]Profiles, RES, Spring'!P$2</f>
        <v>47.30856709628506</v>
      </c>
      <c r="Q8" s="6">
        <f>VLOOKUP($A8,'RES installed'!$A$2:$C$7,3,FALSE)*'[1]Profiles, RES, Spring'!Q$2</f>
        <v>43.271417740712657</v>
      </c>
      <c r="R8" s="6">
        <f>VLOOKUP($A8,'RES installed'!$A$2:$C$7,3,FALSE)*'[1]Profiles, RES, Spring'!R$2</f>
        <v>34.429492039423806</v>
      </c>
      <c r="S8" s="6">
        <f>VLOOKUP($A8,'RES installed'!$A$2:$C$7,3,FALSE)*'[1]Profiles, RES, Spring'!S$2</f>
        <v>22.687642153146324</v>
      </c>
      <c r="T8" s="6">
        <f>VLOOKUP($A8,'RES installed'!$A$2:$C$7,3,FALSE)*'[1]Profiles, RES, Spring'!T$2</f>
        <v>8.3586050037907516</v>
      </c>
      <c r="U8" s="6">
        <f>VLOOKUP($A8,'RES installed'!$A$2:$C$7,3,FALSE)*'[1]Profiles, RES, Spring'!U$2</f>
        <v>0.73919636087945406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0.47384382107657314</v>
      </c>
      <c r="H9" s="6">
        <f>VLOOKUP($A9,'RES installed'!$A$2:$C$7,3,FALSE)*'[1]Profiles, RES, Spring'!H$2</f>
        <v>4.7573919636087947</v>
      </c>
      <c r="I9" s="6">
        <f>VLOOKUP($A9,'RES installed'!$A$2:$C$7,3,FALSE)*'[1]Profiles, RES, Spring'!I$2</f>
        <v>13.286580742987111</v>
      </c>
      <c r="J9" s="6">
        <f>VLOOKUP($A9,'RES installed'!$A$2:$C$7,3,FALSE)*'[1]Profiles, RES, Spring'!J$2</f>
        <v>20.526914329037147</v>
      </c>
      <c r="K9" s="6">
        <f>VLOOKUP($A9,'RES installed'!$A$2:$C$7,3,FALSE)*'[1]Profiles, RES, Spring'!K$2</f>
        <v>24.014404852160727</v>
      </c>
      <c r="L9" s="6">
        <f>VLOOKUP($A9,'RES installed'!$A$2:$C$7,3,FALSE)*'[1]Profiles, RES, Spring'!L$2</f>
        <v>27.445034116755117</v>
      </c>
      <c r="M9" s="6">
        <f>VLOOKUP($A9,'RES installed'!$A$2:$C$7,3,FALSE)*'[1]Profiles, RES, Spring'!M$2</f>
        <v>28.923426838514025</v>
      </c>
      <c r="N9" s="6">
        <f>VLOOKUP($A9,'RES installed'!$A$2:$C$7,3,FALSE)*'[1]Profiles, RES, Spring'!N$2</f>
        <v>31.197877179681576</v>
      </c>
      <c r="O9" s="6">
        <f>VLOOKUP($A9,'RES installed'!$A$2:$C$7,3,FALSE)*'[1]Profiles, RES, Spring'!O$2</f>
        <v>31.368460955269146</v>
      </c>
      <c r="P9" s="6">
        <f>VLOOKUP($A9,'RES installed'!$A$2:$C$7,3,FALSE)*'[1]Profiles, RES, Spring'!P$2</f>
        <v>31.539044730856709</v>
      </c>
      <c r="Q9" s="6">
        <f>VLOOKUP($A9,'RES installed'!$A$2:$C$7,3,FALSE)*'[1]Profiles, RES, Spring'!Q$2</f>
        <v>28.847611827141773</v>
      </c>
      <c r="R9" s="6">
        <f>VLOOKUP($A9,'RES installed'!$A$2:$C$7,3,FALSE)*'[1]Profiles, RES, Spring'!R$2</f>
        <v>22.952994692949204</v>
      </c>
      <c r="S9" s="6">
        <f>VLOOKUP($A9,'RES installed'!$A$2:$C$7,3,FALSE)*'[1]Profiles, RES, Spring'!S$2</f>
        <v>15.125094768764216</v>
      </c>
      <c r="T9" s="6">
        <f>VLOOKUP($A9,'RES installed'!$A$2:$C$7,3,FALSE)*'[1]Profiles, RES, Spring'!T$2</f>
        <v>5.5724033358605007</v>
      </c>
      <c r="U9" s="6">
        <f>VLOOKUP($A9,'RES installed'!$A$2:$C$7,3,FALSE)*'[1]Profiles, RES, Spring'!U$2</f>
        <v>0.49279757391963608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0.56861258529188774</v>
      </c>
      <c r="H10" s="6">
        <f>VLOOKUP($A10,'RES installed'!$A$2:$C$7,3,FALSE)*'[1]Profiles, RES, Spring'!H$2</f>
        <v>5.7088703563305536</v>
      </c>
      <c r="I10" s="6">
        <f>VLOOKUP($A10,'RES installed'!$A$2:$C$7,3,FALSE)*'[1]Profiles, RES, Spring'!I$2</f>
        <v>15.943896891584533</v>
      </c>
      <c r="J10" s="6">
        <f>VLOOKUP($A10,'RES installed'!$A$2:$C$7,3,FALSE)*'[1]Profiles, RES, Spring'!J$2</f>
        <v>24.632297194844579</v>
      </c>
      <c r="K10" s="6">
        <f>VLOOKUP($A10,'RES installed'!$A$2:$C$7,3,FALSE)*'[1]Profiles, RES, Spring'!K$2</f>
        <v>28.817285822592876</v>
      </c>
      <c r="L10" s="6">
        <f>VLOOKUP($A10,'RES installed'!$A$2:$C$7,3,FALSE)*'[1]Profiles, RES, Spring'!L$2</f>
        <v>32.934040940106144</v>
      </c>
      <c r="M10" s="6">
        <f>VLOOKUP($A10,'RES installed'!$A$2:$C$7,3,FALSE)*'[1]Profiles, RES, Spring'!M$2</f>
        <v>34.708112206216832</v>
      </c>
      <c r="N10" s="6">
        <f>VLOOKUP($A10,'RES installed'!$A$2:$C$7,3,FALSE)*'[1]Profiles, RES, Spring'!N$2</f>
        <v>37.437452615617893</v>
      </c>
      <c r="O10" s="6">
        <f>VLOOKUP($A10,'RES installed'!$A$2:$C$7,3,FALSE)*'[1]Profiles, RES, Spring'!O$2</f>
        <v>37.642153146322975</v>
      </c>
      <c r="P10" s="6">
        <f>VLOOKUP($A10,'RES installed'!$A$2:$C$7,3,FALSE)*'[1]Profiles, RES, Spring'!P$2</f>
        <v>37.846853677028051</v>
      </c>
      <c r="Q10" s="6">
        <f>VLOOKUP($A10,'RES installed'!$A$2:$C$7,3,FALSE)*'[1]Profiles, RES, Spring'!Q$2</f>
        <v>34.617134192570127</v>
      </c>
      <c r="R10" s="6">
        <f>VLOOKUP($A10,'RES installed'!$A$2:$C$7,3,FALSE)*'[1]Profiles, RES, Spring'!R$2</f>
        <v>27.543593631539046</v>
      </c>
      <c r="S10" s="6">
        <f>VLOOKUP($A10,'RES installed'!$A$2:$C$7,3,FALSE)*'[1]Profiles, RES, Spring'!S$2</f>
        <v>18.150113722517059</v>
      </c>
      <c r="T10" s="6">
        <f>VLOOKUP($A10,'RES installed'!$A$2:$C$7,3,FALSE)*'[1]Profiles, RES, Spring'!T$2</f>
        <v>6.6868840030326009</v>
      </c>
      <c r="U10" s="6">
        <f>VLOOKUP($A10,'RES installed'!$A$2:$C$7,3,FALSE)*'[1]Profiles, RES, Spring'!U$2</f>
        <v>0.59135708870356329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8DCCF-8843-49E7-A2BE-F57333158CF0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15.228823765556003</v>
      </c>
      <c r="C5" s="9">
        <f>VLOOKUP($A5,'RES installed'!$A$2:$C$7,3,FALSE)*'[1]Profiles, RES, Spring'!C$6</f>
        <v>13.819751103974308</v>
      </c>
      <c r="D5" s="9">
        <f>VLOOKUP($A5,'RES installed'!$A$2:$C$7,3,FALSE)*'[1]Profiles, RES, Spring'!D$6</f>
        <v>12.058410276997192</v>
      </c>
      <c r="E5" s="9">
        <f>VLOOKUP($A5,'RES installed'!$A$2:$C$7,3,FALSE)*'[1]Profiles, RES, Spring'!E$6</f>
        <v>10.857085507828181</v>
      </c>
      <c r="F5" s="9">
        <f>VLOOKUP($A5,'RES installed'!$A$2:$C$7,3,FALSE)*'[1]Profiles, RES, Spring'!F$6</f>
        <v>10.613207547169811</v>
      </c>
      <c r="G5" s="9">
        <f>VLOOKUP($A5,'RES installed'!$A$2:$C$7,3,FALSE)*'[1]Profiles, RES, Spring'!G$6</f>
        <v>10.730630268968287</v>
      </c>
      <c r="H5" s="9">
        <f>VLOOKUP($A5,'RES installed'!$A$2:$C$7,3,FALSE)*'[1]Profiles, RES, Spring'!H$6</f>
        <v>9.1589723002810111</v>
      </c>
      <c r="I5" s="9">
        <f>VLOOKUP($A5,'RES installed'!$A$2:$C$7,3,FALSE)*'[1]Profiles, RES, Spring'!I$6</f>
        <v>6.8918105178643119</v>
      </c>
      <c r="J5" s="9">
        <f>VLOOKUP($A5,'RES installed'!$A$2:$C$7,3,FALSE)*'[1]Profiles, RES, Spring'!J$6</f>
        <v>6.2775993576876754</v>
      </c>
      <c r="K5" s="9">
        <f>VLOOKUP($A5,'RES installed'!$A$2:$C$7,3,FALSE)*'[1]Profiles, RES, Spring'!K$6</f>
        <v>6.5395423524688878</v>
      </c>
      <c r="L5" s="9">
        <f>VLOOKUP($A5,'RES installed'!$A$2:$C$7,3,FALSE)*'[1]Profiles, RES, Spring'!L$6</f>
        <v>7.3253713368125251</v>
      </c>
      <c r="M5" s="9">
        <f>VLOOKUP($A5,'RES installed'!$A$2:$C$7,3,FALSE)*'[1]Profiles, RES, Spring'!M$6</f>
        <v>8.4002408671216386</v>
      </c>
      <c r="N5" s="9">
        <f>VLOOKUP($A5,'RES installed'!$A$2:$C$7,3,FALSE)*'[1]Profiles, RES, Spring'!N$6</f>
        <v>10.92031312725813</v>
      </c>
      <c r="O5" s="9">
        <f>VLOOKUP($A5,'RES installed'!$A$2:$C$7,3,FALSE)*'[1]Profiles, RES, Spring'!O$6</f>
        <v>13.557808109193095</v>
      </c>
      <c r="P5" s="9">
        <f>VLOOKUP($A5,'RES installed'!$A$2:$C$7,3,FALSE)*'[1]Profiles, RES, Spring'!P$6</f>
        <v>15.400441589723002</v>
      </c>
      <c r="Q5" s="9">
        <f>VLOOKUP($A5,'RES installed'!$A$2:$C$7,3,FALSE)*'[1]Profiles, RES, Spring'!Q$6</f>
        <v>16.945002007226016</v>
      </c>
      <c r="R5" s="9">
        <f>VLOOKUP($A5,'RES installed'!$A$2:$C$7,3,FALSE)*'[1]Profiles, RES, Spring'!R$6</f>
        <v>18.570855078281813</v>
      </c>
      <c r="S5" s="9">
        <f>VLOOKUP($A5,'RES installed'!$A$2:$C$7,3,FALSE)*'[1]Profiles, RES, Spring'!S$6</f>
        <v>17.766961059815333</v>
      </c>
      <c r="T5" s="9">
        <f>VLOOKUP($A5,'RES installed'!$A$2:$C$7,3,FALSE)*'[1]Profiles, RES, Spring'!T$6</f>
        <v>15.716579686872743</v>
      </c>
      <c r="U5" s="9">
        <f>VLOOKUP($A5,'RES installed'!$A$2:$C$7,3,FALSE)*'[1]Profiles, RES, Spring'!U$6</f>
        <v>15.120433560818947</v>
      </c>
      <c r="V5" s="9">
        <f>VLOOKUP($A5,'RES installed'!$A$2:$C$7,3,FALSE)*'[1]Profiles, RES, Spring'!V$6</f>
        <v>14.063629064632678</v>
      </c>
      <c r="W5" s="9">
        <f>VLOOKUP($A5,'RES installed'!$A$2:$C$7,3,FALSE)*'[1]Profiles, RES, Spring'!W$6</f>
        <v>13.341027699718989</v>
      </c>
      <c r="X5" s="9">
        <f>VLOOKUP($A5,'RES installed'!$A$2:$C$7,3,FALSE)*'[1]Profiles, RES, Spring'!X$6</f>
        <v>12.094540345242873</v>
      </c>
      <c r="Y5" s="9">
        <f>VLOOKUP($A5,'RES installed'!$A$2:$C$7,3,FALSE)*'[1]Profiles, RES, Spring'!Y$6</f>
        <v>10.784825371336813</v>
      </c>
    </row>
    <row r="6" spans="1:25" x14ac:dyDescent="0.3">
      <c r="A6" s="8">
        <v>5</v>
      </c>
      <c r="B6" s="9">
        <f>VLOOKUP($A6,'RES installed'!$A$2:$C$7,3,FALSE)*'[1]Profiles, RES, Spring'!B$6</f>
        <v>20.305098354074669</v>
      </c>
      <c r="C6" s="9">
        <f>VLOOKUP($A6,'RES installed'!$A$2:$C$7,3,FALSE)*'[1]Profiles, RES, Spring'!C$6</f>
        <v>18.426334805299078</v>
      </c>
      <c r="D6" s="9">
        <f>VLOOKUP($A6,'RES installed'!$A$2:$C$7,3,FALSE)*'[1]Profiles, RES, Spring'!D$6</f>
        <v>16.077880369329588</v>
      </c>
      <c r="E6" s="9">
        <f>VLOOKUP($A6,'RES installed'!$A$2:$C$7,3,FALSE)*'[1]Profiles, RES, Spring'!E$6</f>
        <v>14.476114010437575</v>
      </c>
      <c r="F6" s="9">
        <f>VLOOKUP($A6,'RES installed'!$A$2:$C$7,3,FALSE)*'[1]Profiles, RES, Spring'!F$6</f>
        <v>14.150943396226415</v>
      </c>
      <c r="G6" s="9">
        <f>VLOOKUP($A6,'RES installed'!$A$2:$C$7,3,FALSE)*'[1]Profiles, RES, Spring'!G$6</f>
        <v>14.307507025291049</v>
      </c>
      <c r="H6" s="9">
        <f>VLOOKUP($A6,'RES installed'!$A$2:$C$7,3,FALSE)*'[1]Profiles, RES, Spring'!H$6</f>
        <v>12.211963067041349</v>
      </c>
      <c r="I6" s="9">
        <f>VLOOKUP($A6,'RES installed'!$A$2:$C$7,3,FALSE)*'[1]Profiles, RES, Spring'!I$6</f>
        <v>9.1890806904857492</v>
      </c>
      <c r="J6" s="9">
        <f>VLOOKUP($A6,'RES installed'!$A$2:$C$7,3,FALSE)*'[1]Profiles, RES, Spring'!J$6</f>
        <v>8.3701324769169005</v>
      </c>
      <c r="K6" s="9">
        <f>VLOOKUP($A6,'RES installed'!$A$2:$C$7,3,FALSE)*'[1]Profiles, RES, Spring'!K$6</f>
        <v>8.7193898032918504</v>
      </c>
      <c r="L6" s="9">
        <f>VLOOKUP($A6,'RES installed'!$A$2:$C$7,3,FALSE)*'[1]Profiles, RES, Spring'!L$6</f>
        <v>9.7671617824167001</v>
      </c>
      <c r="M6" s="9">
        <f>VLOOKUP($A6,'RES installed'!$A$2:$C$7,3,FALSE)*'[1]Profiles, RES, Spring'!M$6</f>
        <v>11.200321156162184</v>
      </c>
      <c r="N6" s="9">
        <f>VLOOKUP($A6,'RES installed'!$A$2:$C$7,3,FALSE)*'[1]Profiles, RES, Spring'!N$6</f>
        <v>14.560417503010839</v>
      </c>
      <c r="O6" s="9">
        <f>VLOOKUP($A6,'RES installed'!$A$2:$C$7,3,FALSE)*'[1]Profiles, RES, Spring'!O$6</f>
        <v>18.077077478924128</v>
      </c>
      <c r="P6" s="9">
        <f>VLOOKUP($A6,'RES installed'!$A$2:$C$7,3,FALSE)*'[1]Profiles, RES, Spring'!P$6</f>
        <v>20.53392211963067</v>
      </c>
      <c r="Q6" s="9">
        <f>VLOOKUP($A6,'RES installed'!$A$2:$C$7,3,FALSE)*'[1]Profiles, RES, Spring'!Q$6</f>
        <v>22.593336009634687</v>
      </c>
      <c r="R6" s="9">
        <f>VLOOKUP($A6,'RES installed'!$A$2:$C$7,3,FALSE)*'[1]Profiles, RES, Spring'!R$6</f>
        <v>24.761140104375752</v>
      </c>
      <c r="S6" s="9">
        <f>VLOOKUP($A6,'RES installed'!$A$2:$C$7,3,FALSE)*'[1]Profiles, RES, Spring'!S$6</f>
        <v>23.689281413087112</v>
      </c>
      <c r="T6" s="9">
        <f>VLOOKUP($A6,'RES installed'!$A$2:$C$7,3,FALSE)*'[1]Profiles, RES, Spring'!T$6</f>
        <v>20.955439582496989</v>
      </c>
      <c r="U6" s="9">
        <f>VLOOKUP($A6,'RES installed'!$A$2:$C$7,3,FALSE)*'[1]Profiles, RES, Spring'!U$6</f>
        <v>20.160578081091931</v>
      </c>
      <c r="V6" s="9">
        <f>VLOOKUP($A6,'RES installed'!$A$2:$C$7,3,FALSE)*'[1]Profiles, RES, Spring'!V$6</f>
        <v>18.751505419510238</v>
      </c>
      <c r="W6" s="9">
        <f>VLOOKUP($A6,'RES installed'!$A$2:$C$7,3,FALSE)*'[1]Profiles, RES, Spring'!W$6</f>
        <v>17.788036932958651</v>
      </c>
      <c r="X6" s="9">
        <f>VLOOKUP($A6,'RES installed'!$A$2:$C$7,3,FALSE)*'[1]Profiles, RES, Spring'!X$6</f>
        <v>16.126053793657164</v>
      </c>
      <c r="Y6" s="9">
        <f>VLOOKUP($A6,'RES installed'!$A$2:$C$7,3,FALSE)*'[1]Profiles, RES, Spring'!Y$6</f>
        <v>14.379767161782416</v>
      </c>
    </row>
    <row r="7" spans="1:25" x14ac:dyDescent="0.3">
      <c r="A7" s="8">
        <v>6</v>
      </c>
      <c r="B7" s="9">
        <f>VLOOKUP($A7,'RES installed'!$A$2:$C$7,3,FALSE)*'[1]Profiles, RES, Spring'!B$6</f>
        <v>15.228823765556003</v>
      </c>
      <c r="C7" s="9">
        <f>VLOOKUP($A7,'RES installed'!$A$2:$C$7,3,FALSE)*'[1]Profiles, RES, Spring'!C$6</f>
        <v>13.819751103974308</v>
      </c>
      <c r="D7" s="9">
        <f>VLOOKUP($A7,'RES installed'!$A$2:$C$7,3,FALSE)*'[1]Profiles, RES, Spring'!D$6</f>
        <v>12.058410276997192</v>
      </c>
      <c r="E7" s="9">
        <f>VLOOKUP($A7,'RES installed'!$A$2:$C$7,3,FALSE)*'[1]Profiles, RES, Spring'!E$6</f>
        <v>10.857085507828181</v>
      </c>
      <c r="F7" s="9">
        <f>VLOOKUP($A7,'RES installed'!$A$2:$C$7,3,FALSE)*'[1]Profiles, RES, Spring'!F$6</f>
        <v>10.613207547169811</v>
      </c>
      <c r="G7" s="9">
        <f>VLOOKUP($A7,'RES installed'!$A$2:$C$7,3,FALSE)*'[1]Profiles, RES, Spring'!G$6</f>
        <v>10.730630268968287</v>
      </c>
      <c r="H7" s="9">
        <f>VLOOKUP($A7,'RES installed'!$A$2:$C$7,3,FALSE)*'[1]Profiles, RES, Spring'!H$6</f>
        <v>9.1589723002810111</v>
      </c>
      <c r="I7" s="9">
        <f>VLOOKUP($A7,'RES installed'!$A$2:$C$7,3,FALSE)*'[1]Profiles, RES, Spring'!I$6</f>
        <v>6.8918105178643119</v>
      </c>
      <c r="J7" s="9">
        <f>VLOOKUP($A7,'RES installed'!$A$2:$C$7,3,FALSE)*'[1]Profiles, RES, Spring'!J$6</f>
        <v>6.2775993576876754</v>
      </c>
      <c r="K7" s="9">
        <f>VLOOKUP($A7,'RES installed'!$A$2:$C$7,3,FALSE)*'[1]Profiles, RES, Spring'!K$6</f>
        <v>6.5395423524688878</v>
      </c>
      <c r="L7" s="9">
        <f>VLOOKUP($A7,'RES installed'!$A$2:$C$7,3,FALSE)*'[1]Profiles, RES, Spring'!L$6</f>
        <v>7.3253713368125251</v>
      </c>
      <c r="M7" s="9">
        <f>VLOOKUP($A7,'RES installed'!$A$2:$C$7,3,FALSE)*'[1]Profiles, RES, Spring'!M$6</f>
        <v>8.4002408671216386</v>
      </c>
      <c r="N7" s="9">
        <f>VLOOKUP($A7,'RES installed'!$A$2:$C$7,3,FALSE)*'[1]Profiles, RES, Spring'!N$6</f>
        <v>10.92031312725813</v>
      </c>
      <c r="O7" s="9">
        <f>VLOOKUP($A7,'RES installed'!$A$2:$C$7,3,FALSE)*'[1]Profiles, RES, Spring'!O$6</f>
        <v>13.557808109193095</v>
      </c>
      <c r="P7" s="9">
        <f>VLOOKUP($A7,'RES installed'!$A$2:$C$7,3,FALSE)*'[1]Profiles, RES, Spring'!P$6</f>
        <v>15.400441589723002</v>
      </c>
      <c r="Q7" s="9">
        <f>VLOOKUP($A7,'RES installed'!$A$2:$C$7,3,FALSE)*'[1]Profiles, RES, Spring'!Q$6</f>
        <v>16.945002007226016</v>
      </c>
      <c r="R7" s="9">
        <f>VLOOKUP($A7,'RES installed'!$A$2:$C$7,3,FALSE)*'[1]Profiles, RES, Spring'!R$6</f>
        <v>18.570855078281813</v>
      </c>
      <c r="S7" s="9">
        <f>VLOOKUP($A7,'RES installed'!$A$2:$C$7,3,FALSE)*'[1]Profiles, RES, Spring'!S$6</f>
        <v>17.766961059815333</v>
      </c>
      <c r="T7" s="9">
        <f>VLOOKUP($A7,'RES installed'!$A$2:$C$7,3,FALSE)*'[1]Profiles, RES, Spring'!T$6</f>
        <v>15.716579686872743</v>
      </c>
      <c r="U7" s="9">
        <f>VLOOKUP($A7,'RES installed'!$A$2:$C$7,3,FALSE)*'[1]Profiles, RES, Spring'!U$6</f>
        <v>15.120433560818947</v>
      </c>
      <c r="V7" s="9">
        <f>VLOOKUP($A7,'RES installed'!$A$2:$C$7,3,FALSE)*'[1]Profiles, RES, Spring'!V$6</f>
        <v>14.063629064632678</v>
      </c>
      <c r="W7" s="9">
        <f>VLOOKUP($A7,'RES installed'!$A$2:$C$7,3,FALSE)*'[1]Profiles, RES, Spring'!W$6</f>
        <v>13.341027699718989</v>
      </c>
      <c r="X7" s="9">
        <f>VLOOKUP($A7,'RES installed'!$A$2:$C$7,3,FALSE)*'[1]Profiles, RES, Spring'!X$6</f>
        <v>12.094540345242873</v>
      </c>
      <c r="Y7" s="9">
        <f>VLOOKUP($A7,'RES installed'!$A$2:$C$7,3,FALSE)*'[1]Profiles, RES, Spring'!Y$6</f>
        <v>10.784825371336813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0.85291887793783172</v>
      </c>
      <c r="H8" s="6">
        <f>VLOOKUP($A8,'RES installed'!$A$2:$C$7,3,FALSE)*'[1]Profiles, RES, Spring'!H$3</f>
        <v>7.4772554965883247</v>
      </c>
      <c r="I8" s="6">
        <f>VLOOKUP($A8,'RES installed'!$A$2:$C$7,3,FALSE)*'[1]Profiles, RES, Spring'!I$3</f>
        <v>17.996588324488251</v>
      </c>
      <c r="J8" s="6">
        <f>VLOOKUP($A8,'RES installed'!$A$2:$C$7,3,FALSE)*'[1]Profiles, RES, Spring'!J$3</f>
        <v>27.151250947687643</v>
      </c>
      <c r="K8" s="6">
        <f>VLOOKUP($A8,'RES installed'!$A$2:$C$7,3,FALSE)*'[1]Profiles, RES, Spring'!K$3</f>
        <v>37.812736921910542</v>
      </c>
      <c r="L8" s="6">
        <f>VLOOKUP($A8,'RES installed'!$A$2:$C$7,3,FALSE)*'[1]Profiles, RES, Spring'!L$3</f>
        <v>44.749810462471572</v>
      </c>
      <c r="M8" s="6">
        <f>VLOOKUP($A8,'RES installed'!$A$2:$C$7,3,FALSE)*'[1]Profiles, RES, Spring'!M$3</f>
        <v>45.801743745261561</v>
      </c>
      <c r="N8" s="6">
        <f>VLOOKUP($A8,'RES installed'!$A$2:$C$7,3,FALSE)*'[1]Profiles, RES, Spring'!N$3</f>
        <v>46.882107657316148</v>
      </c>
      <c r="O8" s="6">
        <f>VLOOKUP($A8,'RES installed'!$A$2:$C$7,3,FALSE)*'[1]Profiles, RES, Spring'!O$3</f>
        <v>45.23313115996968</v>
      </c>
      <c r="P8" s="6">
        <f>VLOOKUP($A8,'RES installed'!$A$2:$C$7,3,FALSE)*'[1]Profiles, RES, Spring'!P$3</f>
        <v>48.076194086429112</v>
      </c>
      <c r="Q8" s="6">
        <f>VLOOKUP($A8,'RES installed'!$A$2:$C$7,3,FALSE)*'[1]Profiles, RES, Spring'!Q$3</f>
        <v>42.674374526156178</v>
      </c>
      <c r="R8" s="6">
        <f>VLOOKUP($A8,'RES installed'!$A$2:$C$7,3,FALSE)*'[1]Profiles, RES, Spring'!R$3</f>
        <v>35.794162244124337</v>
      </c>
      <c r="S8" s="6">
        <f>VLOOKUP($A8,'RES installed'!$A$2:$C$7,3,FALSE)*'[1]Profiles, RES, Spring'!S$3</f>
        <v>23.398407884761184</v>
      </c>
      <c r="T8" s="6">
        <f>VLOOKUP($A8,'RES installed'!$A$2:$C$7,3,FALSE)*'[1]Profiles, RES, Spring'!T$3</f>
        <v>8.5291887793783179</v>
      </c>
      <c r="U8" s="6">
        <f>VLOOKUP($A8,'RES installed'!$A$2:$C$7,3,FALSE)*'[1]Profiles, RES, Spring'!U$3</f>
        <v>0.76762699014404845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0.56861258529188785</v>
      </c>
      <c r="H9" s="6">
        <f>VLOOKUP($A9,'RES installed'!$A$2:$C$7,3,FALSE)*'[1]Profiles, RES, Spring'!H$3</f>
        <v>4.9848369977255498</v>
      </c>
      <c r="I9" s="6">
        <f>VLOOKUP($A9,'RES installed'!$A$2:$C$7,3,FALSE)*'[1]Profiles, RES, Spring'!I$3</f>
        <v>11.997725549658833</v>
      </c>
      <c r="J9" s="6">
        <f>VLOOKUP($A9,'RES installed'!$A$2:$C$7,3,FALSE)*'[1]Profiles, RES, Spring'!J$3</f>
        <v>18.100833965125098</v>
      </c>
      <c r="K9" s="6">
        <f>VLOOKUP($A9,'RES installed'!$A$2:$C$7,3,FALSE)*'[1]Profiles, RES, Spring'!K$3</f>
        <v>25.208491281273695</v>
      </c>
      <c r="L9" s="6">
        <f>VLOOKUP($A9,'RES installed'!$A$2:$C$7,3,FALSE)*'[1]Profiles, RES, Spring'!L$3</f>
        <v>29.833206974981046</v>
      </c>
      <c r="M9" s="6">
        <f>VLOOKUP($A9,'RES installed'!$A$2:$C$7,3,FALSE)*'[1]Profiles, RES, Spring'!M$3</f>
        <v>30.534495830174375</v>
      </c>
      <c r="N9" s="6">
        <f>VLOOKUP($A9,'RES installed'!$A$2:$C$7,3,FALSE)*'[1]Profiles, RES, Spring'!N$3</f>
        <v>31.254738438210765</v>
      </c>
      <c r="O9" s="6">
        <f>VLOOKUP($A9,'RES installed'!$A$2:$C$7,3,FALSE)*'[1]Profiles, RES, Spring'!O$3</f>
        <v>30.155420773313118</v>
      </c>
      <c r="P9" s="6">
        <f>VLOOKUP($A9,'RES installed'!$A$2:$C$7,3,FALSE)*'[1]Profiles, RES, Spring'!P$3</f>
        <v>32.050796057619408</v>
      </c>
      <c r="Q9" s="6">
        <f>VLOOKUP($A9,'RES installed'!$A$2:$C$7,3,FALSE)*'[1]Profiles, RES, Spring'!Q$3</f>
        <v>28.449583017437451</v>
      </c>
      <c r="R9" s="6">
        <f>VLOOKUP($A9,'RES installed'!$A$2:$C$7,3,FALSE)*'[1]Profiles, RES, Spring'!R$3</f>
        <v>23.862774829416225</v>
      </c>
      <c r="S9" s="6">
        <f>VLOOKUP($A9,'RES installed'!$A$2:$C$7,3,FALSE)*'[1]Profiles, RES, Spring'!S$3</f>
        <v>15.598938589840788</v>
      </c>
      <c r="T9" s="6">
        <f>VLOOKUP($A9,'RES installed'!$A$2:$C$7,3,FALSE)*'[1]Profiles, RES, Spring'!T$3</f>
        <v>5.6861258529188783</v>
      </c>
      <c r="U9" s="6">
        <f>VLOOKUP($A9,'RES installed'!$A$2:$C$7,3,FALSE)*'[1]Profiles, RES, Spring'!U$3</f>
        <v>0.51175132676269897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0.6823351023502654</v>
      </c>
      <c r="H10" s="6">
        <f>VLOOKUP($A10,'RES installed'!$A$2:$C$7,3,FALSE)*'[1]Profiles, RES, Spring'!H$3</f>
        <v>5.9818043972706594</v>
      </c>
      <c r="I10" s="6">
        <f>VLOOKUP($A10,'RES installed'!$A$2:$C$7,3,FALSE)*'[1]Profiles, RES, Spring'!I$3</f>
        <v>14.3972706595906</v>
      </c>
      <c r="J10" s="6">
        <f>VLOOKUP($A10,'RES installed'!$A$2:$C$7,3,FALSE)*'[1]Profiles, RES, Spring'!J$3</f>
        <v>21.721000758150115</v>
      </c>
      <c r="K10" s="6">
        <f>VLOOKUP($A10,'RES installed'!$A$2:$C$7,3,FALSE)*'[1]Profiles, RES, Spring'!K$3</f>
        <v>30.250189537528431</v>
      </c>
      <c r="L10" s="6">
        <f>VLOOKUP($A10,'RES installed'!$A$2:$C$7,3,FALSE)*'[1]Profiles, RES, Spring'!L$3</f>
        <v>35.799848369977255</v>
      </c>
      <c r="M10" s="6">
        <f>VLOOKUP($A10,'RES installed'!$A$2:$C$7,3,FALSE)*'[1]Profiles, RES, Spring'!M$3</f>
        <v>36.64139499620925</v>
      </c>
      <c r="N10" s="6">
        <f>VLOOKUP($A10,'RES installed'!$A$2:$C$7,3,FALSE)*'[1]Profiles, RES, Spring'!N$3</f>
        <v>37.505686125852918</v>
      </c>
      <c r="O10" s="6">
        <f>VLOOKUP($A10,'RES installed'!$A$2:$C$7,3,FALSE)*'[1]Profiles, RES, Spring'!O$3</f>
        <v>36.18650492797574</v>
      </c>
      <c r="P10" s="6">
        <f>VLOOKUP($A10,'RES installed'!$A$2:$C$7,3,FALSE)*'[1]Profiles, RES, Spring'!P$3</f>
        <v>38.460955269143291</v>
      </c>
      <c r="Q10" s="6">
        <f>VLOOKUP($A10,'RES installed'!$A$2:$C$7,3,FALSE)*'[1]Profiles, RES, Spring'!Q$3</f>
        <v>34.139499620924944</v>
      </c>
      <c r="R10" s="6">
        <f>VLOOKUP($A10,'RES installed'!$A$2:$C$7,3,FALSE)*'[1]Profiles, RES, Spring'!R$3</f>
        <v>28.635329795299469</v>
      </c>
      <c r="S10" s="6">
        <f>VLOOKUP($A10,'RES installed'!$A$2:$C$7,3,FALSE)*'[1]Profiles, RES, Spring'!S$3</f>
        <v>18.718726307808947</v>
      </c>
      <c r="T10" s="6">
        <f>VLOOKUP($A10,'RES installed'!$A$2:$C$7,3,FALSE)*'[1]Profiles, RES, Spring'!T$3</f>
        <v>6.8233510235026538</v>
      </c>
      <c r="U10" s="6">
        <f>VLOOKUP($A10,'RES installed'!$A$2:$C$7,3,FALSE)*'[1]Profiles, RES, Spring'!U$3</f>
        <v>0.61410159211523874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E612B-8B1B-4085-8089-2EC67F7C85E9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11.146126053793658</v>
      </c>
      <c r="C5" s="9">
        <f>VLOOKUP($A5,'RES installed'!$A$2:$C$7,3,FALSE)*'[1]Profiles, RES, Spring'!C$7</f>
        <v>10.568044961862705</v>
      </c>
      <c r="D5" s="9">
        <f>VLOOKUP($A5,'RES installed'!$A$2:$C$7,3,FALSE)*'[1]Profiles, RES, Spring'!D$7</f>
        <v>10.27900441589723</v>
      </c>
      <c r="E5" s="9">
        <f>VLOOKUP($A5,'RES installed'!$A$2:$C$7,3,FALSE)*'[1]Profiles, RES, Spring'!E$7</f>
        <v>10.820955439582496</v>
      </c>
      <c r="F5" s="9">
        <f>VLOOKUP($A5,'RES installed'!$A$2:$C$7,3,FALSE)*'[1]Profiles, RES, Spring'!F$7</f>
        <v>10.84805299076676</v>
      </c>
      <c r="G5" s="9">
        <f>VLOOKUP($A5,'RES installed'!$A$2:$C$7,3,FALSE)*'[1]Profiles, RES, Spring'!G$7</f>
        <v>9.6467282215977512</v>
      </c>
      <c r="H5" s="9">
        <f>VLOOKUP($A5,'RES installed'!$A$2:$C$7,3,FALSE)*'[1]Profiles, RES, Spring'!H$7</f>
        <v>8.2105580088317947</v>
      </c>
      <c r="I5" s="9">
        <f>VLOOKUP($A5,'RES installed'!$A$2:$C$7,3,FALSE)*'[1]Profiles, RES, Spring'!I$7</f>
        <v>6.1872741870734638</v>
      </c>
      <c r="J5" s="9">
        <f>VLOOKUP($A5,'RES installed'!$A$2:$C$7,3,FALSE)*'[1]Profiles, RES, Spring'!J$7</f>
        <v>5.2117623444399843</v>
      </c>
      <c r="K5" s="9">
        <f>VLOOKUP($A5,'RES installed'!$A$2:$C$7,3,FALSE)*'[1]Profiles, RES, Spring'!K$7</f>
        <v>5.6633881975110389</v>
      </c>
      <c r="L5" s="9">
        <f>VLOOKUP($A5,'RES installed'!$A$2:$C$7,3,FALSE)*'[1]Profiles, RES, Spring'!L$7</f>
        <v>6.6930951425130463</v>
      </c>
      <c r="M5" s="9">
        <f>VLOOKUP($A5,'RES installed'!$A$2:$C$7,3,FALSE)*'[1]Profiles, RES, Spring'!M$7</f>
        <v>6.6208350060216778</v>
      </c>
      <c r="N5" s="9">
        <f>VLOOKUP($A5,'RES installed'!$A$2:$C$7,3,FALSE)*'[1]Profiles, RES, Spring'!N$7</f>
        <v>7.6053793657165798</v>
      </c>
      <c r="O5" s="9">
        <f>VLOOKUP($A5,'RES installed'!$A$2:$C$7,3,FALSE)*'[1]Profiles, RES, Spring'!O$7</f>
        <v>9.7009233239662773</v>
      </c>
      <c r="P5" s="9">
        <f>VLOOKUP($A5,'RES installed'!$A$2:$C$7,3,FALSE)*'[1]Profiles, RES, Spring'!P$7</f>
        <v>11.326776395022078</v>
      </c>
      <c r="Q5" s="9">
        <f>VLOOKUP($A5,'RES installed'!$A$2:$C$7,3,FALSE)*'[1]Profiles, RES, Spring'!Q$7</f>
        <v>12.762946607788036</v>
      </c>
      <c r="R5" s="9">
        <f>VLOOKUP($A5,'RES installed'!$A$2:$C$7,3,FALSE)*'[1]Profiles, RES, Spring'!R$7</f>
        <v>14.343637093536733</v>
      </c>
      <c r="S5" s="9">
        <f>VLOOKUP($A5,'RES installed'!$A$2:$C$7,3,FALSE)*'[1]Profiles, RES, Spring'!S$7</f>
        <v>14.930750702529105</v>
      </c>
      <c r="T5" s="9">
        <f>VLOOKUP($A5,'RES installed'!$A$2:$C$7,3,FALSE)*'[1]Profiles, RES, Spring'!T$7</f>
        <v>14.939783219590526</v>
      </c>
      <c r="U5" s="9">
        <f>VLOOKUP($A5,'RES installed'!$A$2:$C$7,3,FALSE)*'[1]Profiles, RES, Spring'!U$7</f>
        <v>13.35909273384183</v>
      </c>
      <c r="V5" s="9">
        <f>VLOOKUP($A5,'RES installed'!$A$2:$C$7,3,FALSE)*'[1]Profiles, RES, Spring'!V$7</f>
        <v>12.753914090726616</v>
      </c>
      <c r="W5" s="9">
        <f>VLOOKUP($A5,'RES installed'!$A$2:$C$7,3,FALSE)*'[1]Profiles, RES, Spring'!W$7</f>
        <v>12.681653954235246</v>
      </c>
      <c r="X5" s="9">
        <f>VLOOKUP($A5,'RES installed'!$A$2:$C$7,3,FALSE)*'[1]Profiles, RES, Spring'!X$7</f>
        <v>12.889401846647933</v>
      </c>
      <c r="Y5" s="9">
        <f>VLOOKUP($A5,'RES installed'!$A$2:$C$7,3,FALSE)*'[1]Profiles, RES, Spring'!Y$7</f>
        <v>13.91910879164994</v>
      </c>
    </row>
    <row r="6" spans="1:25" x14ac:dyDescent="0.3">
      <c r="A6" s="8">
        <v>5</v>
      </c>
      <c r="B6" s="9">
        <f>VLOOKUP($A6,'RES installed'!$A$2:$C$7,3,FALSE)*'[1]Profiles, RES, Spring'!B$7</f>
        <v>14.86150140505821</v>
      </c>
      <c r="C6" s="9">
        <f>VLOOKUP($A6,'RES installed'!$A$2:$C$7,3,FALSE)*'[1]Profiles, RES, Spring'!C$7</f>
        <v>14.090726615816941</v>
      </c>
      <c r="D6" s="9">
        <f>VLOOKUP($A6,'RES installed'!$A$2:$C$7,3,FALSE)*'[1]Profiles, RES, Spring'!D$7</f>
        <v>13.705339221196308</v>
      </c>
      <c r="E6" s="9">
        <f>VLOOKUP($A6,'RES installed'!$A$2:$C$7,3,FALSE)*'[1]Profiles, RES, Spring'!E$7</f>
        <v>14.427940586109996</v>
      </c>
      <c r="F6" s="9">
        <f>VLOOKUP($A6,'RES installed'!$A$2:$C$7,3,FALSE)*'[1]Profiles, RES, Spring'!F$7</f>
        <v>14.46407065435568</v>
      </c>
      <c r="G6" s="9">
        <f>VLOOKUP($A6,'RES installed'!$A$2:$C$7,3,FALSE)*'[1]Profiles, RES, Spring'!G$7</f>
        <v>12.862304295463669</v>
      </c>
      <c r="H6" s="9">
        <f>VLOOKUP($A6,'RES installed'!$A$2:$C$7,3,FALSE)*'[1]Profiles, RES, Spring'!H$7</f>
        <v>10.947410678442393</v>
      </c>
      <c r="I6" s="9">
        <f>VLOOKUP($A6,'RES installed'!$A$2:$C$7,3,FALSE)*'[1]Profiles, RES, Spring'!I$7</f>
        <v>8.2496989160979517</v>
      </c>
      <c r="J6" s="9">
        <f>VLOOKUP($A6,'RES installed'!$A$2:$C$7,3,FALSE)*'[1]Profiles, RES, Spring'!J$7</f>
        <v>6.9490164592533121</v>
      </c>
      <c r="K6" s="9">
        <f>VLOOKUP($A6,'RES installed'!$A$2:$C$7,3,FALSE)*'[1]Profiles, RES, Spring'!K$7</f>
        <v>7.5511842633480528</v>
      </c>
      <c r="L6" s="9">
        <f>VLOOKUP($A6,'RES installed'!$A$2:$C$7,3,FALSE)*'[1]Profiles, RES, Spring'!L$7</f>
        <v>8.9241268566840617</v>
      </c>
      <c r="M6" s="9">
        <f>VLOOKUP($A6,'RES installed'!$A$2:$C$7,3,FALSE)*'[1]Profiles, RES, Spring'!M$7</f>
        <v>8.8277800080289044</v>
      </c>
      <c r="N6" s="9">
        <f>VLOOKUP($A6,'RES installed'!$A$2:$C$7,3,FALSE)*'[1]Profiles, RES, Spring'!N$7</f>
        <v>10.14050582095544</v>
      </c>
      <c r="O6" s="9">
        <f>VLOOKUP($A6,'RES installed'!$A$2:$C$7,3,FALSE)*'[1]Profiles, RES, Spring'!O$7</f>
        <v>12.934564431955037</v>
      </c>
      <c r="P6" s="9">
        <f>VLOOKUP($A6,'RES installed'!$A$2:$C$7,3,FALSE)*'[1]Profiles, RES, Spring'!P$7</f>
        <v>15.102368526696106</v>
      </c>
      <c r="Q6" s="9">
        <f>VLOOKUP($A6,'RES installed'!$A$2:$C$7,3,FALSE)*'[1]Profiles, RES, Spring'!Q$7</f>
        <v>17.017262143717382</v>
      </c>
      <c r="R6" s="9">
        <f>VLOOKUP($A6,'RES installed'!$A$2:$C$7,3,FALSE)*'[1]Profiles, RES, Spring'!R$7</f>
        <v>19.124849458048978</v>
      </c>
      <c r="S6" s="9">
        <f>VLOOKUP($A6,'RES installed'!$A$2:$C$7,3,FALSE)*'[1]Profiles, RES, Spring'!S$7</f>
        <v>19.90766760337214</v>
      </c>
      <c r="T6" s="9">
        <f>VLOOKUP($A6,'RES installed'!$A$2:$C$7,3,FALSE)*'[1]Profiles, RES, Spring'!T$7</f>
        <v>19.919710959454033</v>
      </c>
      <c r="U6" s="9">
        <f>VLOOKUP($A6,'RES installed'!$A$2:$C$7,3,FALSE)*'[1]Profiles, RES, Spring'!U$7</f>
        <v>17.812123645122441</v>
      </c>
      <c r="V6" s="9">
        <f>VLOOKUP($A6,'RES installed'!$A$2:$C$7,3,FALSE)*'[1]Profiles, RES, Spring'!V$7</f>
        <v>17.005218787635489</v>
      </c>
      <c r="W6" s="9">
        <f>VLOOKUP($A6,'RES installed'!$A$2:$C$7,3,FALSE)*'[1]Profiles, RES, Spring'!W$7</f>
        <v>16.908871938980326</v>
      </c>
      <c r="X6" s="9">
        <f>VLOOKUP($A6,'RES installed'!$A$2:$C$7,3,FALSE)*'[1]Profiles, RES, Spring'!X$7</f>
        <v>17.18586912886391</v>
      </c>
      <c r="Y6" s="9">
        <f>VLOOKUP($A6,'RES installed'!$A$2:$C$7,3,FALSE)*'[1]Profiles, RES, Spring'!Y$7</f>
        <v>18.55881172219992</v>
      </c>
    </row>
    <row r="7" spans="1:25" x14ac:dyDescent="0.3">
      <c r="A7" s="8">
        <v>6</v>
      </c>
      <c r="B7" s="9">
        <f>VLOOKUP($A7,'RES installed'!$A$2:$C$7,3,FALSE)*'[1]Profiles, RES, Spring'!B$7</f>
        <v>11.146126053793658</v>
      </c>
      <c r="C7" s="9">
        <f>VLOOKUP($A7,'RES installed'!$A$2:$C$7,3,FALSE)*'[1]Profiles, RES, Spring'!C$7</f>
        <v>10.568044961862705</v>
      </c>
      <c r="D7" s="9">
        <f>VLOOKUP($A7,'RES installed'!$A$2:$C$7,3,FALSE)*'[1]Profiles, RES, Spring'!D$7</f>
        <v>10.27900441589723</v>
      </c>
      <c r="E7" s="9">
        <f>VLOOKUP($A7,'RES installed'!$A$2:$C$7,3,FALSE)*'[1]Profiles, RES, Spring'!E$7</f>
        <v>10.820955439582496</v>
      </c>
      <c r="F7" s="9">
        <f>VLOOKUP($A7,'RES installed'!$A$2:$C$7,3,FALSE)*'[1]Profiles, RES, Spring'!F$7</f>
        <v>10.84805299076676</v>
      </c>
      <c r="G7" s="9">
        <f>VLOOKUP($A7,'RES installed'!$A$2:$C$7,3,FALSE)*'[1]Profiles, RES, Spring'!G$7</f>
        <v>9.6467282215977512</v>
      </c>
      <c r="H7" s="9">
        <f>VLOOKUP($A7,'RES installed'!$A$2:$C$7,3,FALSE)*'[1]Profiles, RES, Spring'!H$7</f>
        <v>8.2105580088317947</v>
      </c>
      <c r="I7" s="9">
        <f>VLOOKUP($A7,'RES installed'!$A$2:$C$7,3,FALSE)*'[1]Profiles, RES, Spring'!I$7</f>
        <v>6.1872741870734638</v>
      </c>
      <c r="J7" s="9">
        <f>VLOOKUP($A7,'RES installed'!$A$2:$C$7,3,FALSE)*'[1]Profiles, RES, Spring'!J$7</f>
        <v>5.2117623444399843</v>
      </c>
      <c r="K7" s="9">
        <f>VLOOKUP($A7,'RES installed'!$A$2:$C$7,3,FALSE)*'[1]Profiles, RES, Spring'!K$7</f>
        <v>5.6633881975110389</v>
      </c>
      <c r="L7" s="9">
        <f>VLOOKUP($A7,'RES installed'!$A$2:$C$7,3,FALSE)*'[1]Profiles, RES, Spring'!L$7</f>
        <v>6.6930951425130463</v>
      </c>
      <c r="M7" s="9">
        <f>VLOOKUP($A7,'RES installed'!$A$2:$C$7,3,FALSE)*'[1]Profiles, RES, Spring'!M$7</f>
        <v>6.6208350060216778</v>
      </c>
      <c r="N7" s="9">
        <f>VLOOKUP($A7,'RES installed'!$A$2:$C$7,3,FALSE)*'[1]Profiles, RES, Spring'!N$7</f>
        <v>7.6053793657165798</v>
      </c>
      <c r="O7" s="9">
        <f>VLOOKUP($A7,'RES installed'!$A$2:$C$7,3,FALSE)*'[1]Profiles, RES, Spring'!O$7</f>
        <v>9.7009233239662773</v>
      </c>
      <c r="P7" s="9">
        <f>VLOOKUP($A7,'RES installed'!$A$2:$C$7,3,FALSE)*'[1]Profiles, RES, Spring'!P$7</f>
        <v>11.326776395022078</v>
      </c>
      <c r="Q7" s="9">
        <f>VLOOKUP($A7,'RES installed'!$A$2:$C$7,3,FALSE)*'[1]Profiles, RES, Spring'!Q$7</f>
        <v>12.762946607788036</v>
      </c>
      <c r="R7" s="9">
        <f>VLOOKUP($A7,'RES installed'!$A$2:$C$7,3,FALSE)*'[1]Profiles, RES, Spring'!R$7</f>
        <v>14.343637093536733</v>
      </c>
      <c r="S7" s="9">
        <f>VLOOKUP($A7,'RES installed'!$A$2:$C$7,3,FALSE)*'[1]Profiles, RES, Spring'!S$7</f>
        <v>14.930750702529105</v>
      </c>
      <c r="T7" s="9">
        <f>VLOOKUP($A7,'RES installed'!$A$2:$C$7,3,FALSE)*'[1]Profiles, RES, Spring'!T$7</f>
        <v>14.939783219590526</v>
      </c>
      <c r="U7" s="9">
        <f>VLOOKUP($A7,'RES installed'!$A$2:$C$7,3,FALSE)*'[1]Profiles, RES, Spring'!U$7</f>
        <v>13.35909273384183</v>
      </c>
      <c r="V7" s="9">
        <f>VLOOKUP($A7,'RES installed'!$A$2:$C$7,3,FALSE)*'[1]Profiles, RES, Spring'!V$7</f>
        <v>12.753914090726616</v>
      </c>
      <c r="W7" s="9">
        <f>VLOOKUP($A7,'RES installed'!$A$2:$C$7,3,FALSE)*'[1]Profiles, RES, Spring'!W$7</f>
        <v>12.681653954235246</v>
      </c>
      <c r="X7" s="9">
        <f>VLOOKUP($A7,'RES installed'!$A$2:$C$7,3,FALSE)*'[1]Profiles, RES, Spring'!X$7</f>
        <v>12.889401846647933</v>
      </c>
      <c r="Y7" s="9">
        <f>VLOOKUP($A7,'RES installed'!$A$2:$C$7,3,FALSE)*'[1]Profiles, RES, Spring'!Y$7</f>
        <v>13.91910879164994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0.82448824867323733</v>
      </c>
      <c r="H8" s="6">
        <f>VLOOKUP($A8,'RES installed'!$A$2:$C$7,3,FALSE)*'[1]Profiles, RES, Spring'!H$4</f>
        <v>7.9037149355572396</v>
      </c>
      <c r="I8" s="6">
        <f>VLOOKUP($A8,'RES installed'!$A$2:$C$7,3,FALSE)*'[1]Profiles, RES, Spring'!I$4</f>
        <v>21.948445792266867</v>
      </c>
      <c r="J8" s="6">
        <f>VLOOKUP($A8,'RES installed'!$A$2:$C$7,3,FALSE)*'[1]Profiles, RES, Spring'!J$4</f>
        <v>35.225549658832449</v>
      </c>
      <c r="K8" s="6">
        <f>VLOOKUP($A8,'RES installed'!$A$2:$C$7,3,FALSE)*'[1]Profiles, RES, Spring'!K$4</f>
        <v>41.764594389689158</v>
      </c>
      <c r="L8" s="6">
        <f>VLOOKUP($A8,'RES installed'!$A$2:$C$7,3,FALSE)*'[1]Profiles, RES, Spring'!L$4</f>
        <v>46.171341925701284</v>
      </c>
      <c r="M8" s="6">
        <f>VLOOKUP($A8,'RES installed'!$A$2:$C$7,3,FALSE)*'[1]Profiles, RES, Spring'!M$4</f>
        <v>51.345716451857463</v>
      </c>
      <c r="N8" s="6">
        <f>VLOOKUP($A8,'RES installed'!$A$2:$C$7,3,FALSE)*'[1]Profiles, RES, Spring'!N$4</f>
        <v>50.123199393479908</v>
      </c>
      <c r="O8" s="6">
        <f>VLOOKUP($A8,'RES installed'!$A$2:$C$7,3,FALSE)*'[1]Profiles, RES, Spring'!O$4</f>
        <v>49.867323730098562</v>
      </c>
      <c r="P8" s="6">
        <f>VLOOKUP($A8,'RES installed'!$A$2:$C$7,3,FALSE)*'[1]Profiles, RES, Spring'!P$4</f>
        <v>50.208491281273687</v>
      </c>
      <c r="Q8" s="6">
        <f>VLOOKUP($A8,'RES installed'!$A$2:$C$7,3,FALSE)*'[1]Profiles, RES, Spring'!Q$4</f>
        <v>46.39878695981804</v>
      </c>
      <c r="R8" s="6">
        <f>VLOOKUP($A8,'RES installed'!$A$2:$C$7,3,FALSE)*'[1]Profiles, RES, Spring'!R$4</f>
        <v>37.727445034116755</v>
      </c>
      <c r="S8" s="6">
        <f>VLOOKUP($A8,'RES installed'!$A$2:$C$7,3,FALSE)*'[1]Profiles, RES, Spring'!S$4</f>
        <v>24.73464746019712</v>
      </c>
      <c r="T8" s="6">
        <f>VLOOKUP($A8,'RES installed'!$A$2:$C$7,3,FALSE)*'[1]Profiles, RES, Spring'!T$4</f>
        <v>8.7850644427596674</v>
      </c>
      <c r="U8" s="6">
        <f>VLOOKUP($A8,'RES installed'!$A$2:$C$7,3,FALSE)*'[1]Profiles, RES, Spring'!U$4</f>
        <v>0.90978013646702049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0.54965883244882485</v>
      </c>
      <c r="H9" s="6">
        <f>VLOOKUP($A9,'RES installed'!$A$2:$C$7,3,FALSE)*'[1]Profiles, RES, Spring'!H$4</f>
        <v>5.2691432903714936</v>
      </c>
      <c r="I9" s="6">
        <f>VLOOKUP($A9,'RES installed'!$A$2:$C$7,3,FALSE)*'[1]Profiles, RES, Spring'!I$4</f>
        <v>14.632297194844579</v>
      </c>
      <c r="J9" s="6">
        <f>VLOOKUP($A9,'RES installed'!$A$2:$C$7,3,FALSE)*'[1]Profiles, RES, Spring'!J$4</f>
        <v>23.483699772554967</v>
      </c>
      <c r="K9" s="6">
        <f>VLOOKUP($A9,'RES installed'!$A$2:$C$7,3,FALSE)*'[1]Profiles, RES, Spring'!K$4</f>
        <v>27.843062926459439</v>
      </c>
      <c r="L9" s="6">
        <f>VLOOKUP($A9,'RES installed'!$A$2:$C$7,3,FALSE)*'[1]Profiles, RES, Spring'!L$4</f>
        <v>30.780894617134191</v>
      </c>
      <c r="M9" s="6">
        <f>VLOOKUP($A9,'RES installed'!$A$2:$C$7,3,FALSE)*'[1]Profiles, RES, Spring'!M$4</f>
        <v>34.230477634571642</v>
      </c>
      <c r="N9" s="6">
        <f>VLOOKUP($A9,'RES installed'!$A$2:$C$7,3,FALSE)*'[1]Profiles, RES, Spring'!N$4</f>
        <v>33.415466262319939</v>
      </c>
      <c r="O9" s="6">
        <f>VLOOKUP($A9,'RES installed'!$A$2:$C$7,3,FALSE)*'[1]Profiles, RES, Spring'!O$4</f>
        <v>33.244882486732372</v>
      </c>
      <c r="P9" s="6">
        <f>VLOOKUP($A9,'RES installed'!$A$2:$C$7,3,FALSE)*'[1]Profiles, RES, Spring'!P$4</f>
        <v>33.472327520849127</v>
      </c>
      <c r="Q9" s="6">
        <f>VLOOKUP($A9,'RES installed'!$A$2:$C$7,3,FALSE)*'[1]Profiles, RES, Spring'!Q$4</f>
        <v>30.932524639878693</v>
      </c>
      <c r="R9" s="6">
        <f>VLOOKUP($A9,'RES installed'!$A$2:$C$7,3,FALSE)*'[1]Profiles, RES, Spring'!R$4</f>
        <v>25.151630022744502</v>
      </c>
      <c r="S9" s="6">
        <f>VLOOKUP($A9,'RES installed'!$A$2:$C$7,3,FALSE)*'[1]Profiles, RES, Spring'!S$4</f>
        <v>16.489764973464744</v>
      </c>
      <c r="T9" s="6">
        <f>VLOOKUP($A9,'RES installed'!$A$2:$C$7,3,FALSE)*'[1]Profiles, RES, Spring'!T$4</f>
        <v>5.8567096285064446</v>
      </c>
      <c r="U9" s="6">
        <f>VLOOKUP($A9,'RES installed'!$A$2:$C$7,3,FALSE)*'[1]Profiles, RES, Spring'!U$4</f>
        <v>0.60652009097801363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0.65959059893858984</v>
      </c>
      <c r="H10" s="6">
        <f>VLOOKUP($A10,'RES installed'!$A$2:$C$7,3,FALSE)*'[1]Profiles, RES, Spring'!H$4</f>
        <v>6.322971948445792</v>
      </c>
      <c r="I10" s="6">
        <f>VLOOKUP($A10,'RES installed'!$A$2:$C$7,3,FALSE)*'[1]Profiles, RES, Spring'!I$4</f>
        <v>17.558756633813495</v>
      </c>
      <c r="J10" s="6">
        <f>VLOOKUP($A10,'RES installed'!$A$2:$C$7,3,FALSE)*'[1]Profiles, RES, Spring'!J$4</f>
        <v>28.180439727065959</v>
      </c>
      <c r="K10" s="6">
        <f>VLOOKUP($A10,'RES installed'!$A$2:$C$7,3,FALSE)*'[1]Profiles, RES, Spring'!K$4</f>
        <v>33.411675511751326</v>
      </c>
      <c r="L10" s="6">
        <f>VLOOKUP($A10,'RES installed'!$A$2:$C$7,3,FALSE)*'[1]Profiles, RES, Spring'!L$4</f>
        <v>36.93707354056103</v>
      </c>
      <c r="M10" s="6">
        <f>VLOOKUP($A10,'RES installed'!$A$2:$C$7,3,FALSE)*'[1]Profiles, RES, Spring'!M$4</f>
        <v>41.076573161485975</v>
      </c>
      <c r="N10" s="6">
        <f>VLOOKUP($A10,'RES installed'!$A$2:$C$7,3,FALSE)*'[1]Profiles, RES, Spring'!N$4</f>
        <v>40.098559514783922</v>
      </c>
      <c r="O10" s="6">
        <f>VLOOKUP($A10,'RES installed'!$A$2:$C$7,3,FALSE)*'[1]Profiles, RES, Spring'!O$4</f>
        <v>39.893858984078847</v>
      </c>
      <c r="P10" s="6">
        <f>VLOOKUP($A10,'RES installed'!$A$2:$C$7,3,FALSE)*'[1]Profiles, RES, Spring'!P$4</f>
        <v>40.166793025018954</v>
      </c>
      <c r="Q10" s="6">
        <f>VLOOKUP($A10,'RES installed'!$A$2:$C$7,3,FALSE)*'[1]Profiles, RES, Spring'!Q$4</f>
        <v>37.119029567854433</v>
      </c>
      <c r="R10" s="6">
        <f>VLOOKUP($A10,'RES installed'!$A$2:$C$7,3,FALSE)*'[1]Profiles, RES, Spring'!R$4</f>
        <v>30.181956027293403</v>
      </c>
      <c r="S10" s="6">
        <f>VLOOKUP($A10,'RES installed'!$A$2:$C$7,3,FALSE)*'[1]Profiles, RES, Spring'!S$4</f>
        <v>19.787717968157697</v>
      </c>
      <c r="T10" s="6">
        <f>VLOOKUP($A10,'RES installed'!$A$2:$C$7,3,FALSE)*'[1]Profiles, RES, Spring'!T$4</f>
        <v>7.0280515542077335</v>
      </c>
      <c r="U10" s="6">
        <f>VLOOKUP($A10,'RES installed'!$A$2:$C$7,3,FALSE)*'[1]Profiles, RES, Spring'!U$4</f>
        <v>0.7278241091736164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AEBAD-52D5-4B74-B4F0-0AD05103540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11.615816940987557</v>
      </c>
      <c r="C5" s="9">
        <f>VLOOKUP($A5,'RES installed'!$A$2:$C$7,3,FALSE)*'[1]Profiles, RES, Spring'!C$5</f>
        <v>10.784825371336813</v>
      </c>
      <c r="D5" s="9">
        <f>VLOOKUP($A5,'RES installed'!$A$2:$C$7,3,FALSE)*'[1]Profiles, RES, Spring'!D$5</f>
        <v>10.839020473705339</v>
      </c>
      <c r="E5" s="9">
        <f>VLOOKUP($A5,'RES installed'!$A$2:$C$7,3,FALSE)*'[1]Profiles, RES, Spring'!E$5</f>
        <v>10.405459654757125</v>
      </c>
      <c r="F5" s="9">
        <f>VLOOKUP($A5,'RES installed'!$A$2:$C$7,3,FALSE)*'[1]Profiles, RES, Spring'!F$5</f>
        <v>10.306101967081492</v>
      </c>
      <c r="G5" s="9">
        <f>VLOOKUP($A5,'RES installed'!$A$2:$C$7,3,FALSE)*'[1]Profiles, RES, Spring'!G$5</f>
        <v>10.486752308309915</v>
      </c>
      <c r="H5" s="9">
        <f>VLOOKUP($A5,'RES installed'!$A$2:$C$7,3,FALSE)*'[1]Profiles, RES, Spring'!H$5</f>
        <v>9.4118827780008036</v>
      </c>
      <c r="I5" s="9">
        <f>VLOOKUP($A5,'RES installed'!$A$2:$C$7,3,FALSE)*'[1]Profiles, RES, Spring'!I$5</f>
        <v>7.5511842633480528</v>
      </c>
      <c r="J5" s="9">
        <f>VLOOKUP($A5,'RES installed'!$A$2:$C$7,3,FALSE)*'[1]Profiles, RES, Spring'!J$5</f>
        <v>5.9524287434765153</v>
      </c>
      <c r="K5" s="9">
        <f>VLOOKUP($A5,'RES installed'!$A$2:$C$7,3,FALSE)*'[1]Profiles, RES, Spring'!K$5</f>
        <v>4.4981934965877164</v>
      </c>
      <c r="L5" s="9">
        <f>VLOOKUP($A5,'RES installed'!$A$2:$C$7,3,FALSE)*'[1]Profiles, RES, Spring'!L$5</f>
        <v>4.2723805700521877</v>
      </c>
      <c r="M5" s="9">
        <f>VLOOKUP($A5,'RES installed'!$A$2:$C$7,3,FALSE)*'[1]Profiles, RES, Spring'!M$5</f>
        <v>5.2027298273785627</v>
      </c>
      <c r="N5" s="9">
        <f>VLOOKUP($A5,'RES installed'!$A$2:$C$7,3,FALSE)*'[1]Profiles, RES, Spring'!N$5</f>
        <v>6.8737454837414687</v>
      </c>
      <c r="O5" s="9">
        <f>VLOOKUP($A5,'RES installed'!$A$2:$C$7,3,FALSE)*'[1]Profiles, RES, Spring'!O$5</f>
        <v>9.5022079486150144</v>
      </c>
      <c r="P5" s="9">
        <f>VLOOKUP($A5,'RES installed'!$A$2:$C$7,3,FALSE)*'[1]Profiles, RES, Spring'!P$5</f>
        <v>12.401645925331193</v>
      </c>
      <c r="Q5" s="9">
        <f>VLOOKUP($A5,'RES installed'!$A$2:$C$7,3,FALSE)*'[1]Profiles, RES, Spring'!Q$5</f>
        <v>15.472701726214373</v>
      </c>
      <c r="R5" s="9">
        <f>VLOOKUP($A5,'RES installed'!$A$2:$C$7,3,FALSE)*'[1]Profiles, RES, Spring'!R$5</f>
        <v>19.26635889201124</v>
      </c>
      <c r="S5" s="9">
        <f>VLOOKUP($A5,'RES installed'!$A$2:$C$7,3,FALSE)*'[1]Profiles, RES, Spring'!S$5</f>
        <v>21.389000401445202</v>
      </c>
      <c r="T5" s="9">
        <f>VLOOKUP($A5,'RES installed'!$A$2:$C$7,3,FALSE)*'[1]Profiles, RES, Spring'!T$5</f>
        <v>21.461260537936575</v>
      </c>
      <c r="U5" s="9">
        <f>VLOOKUP($A5,'RES installed'!$A$2:$C$7,3,FALSE)*'[1]Profiles, RES, Spring'!U$5</f>
        <v>20.901244480128462</v>
      </c>
      <c r="V5" s="9">
        <f>VLOOKUP($A5,'RES installed'!$A$2:$C$7,3,FALSE)*'[1]Profiles, RES, Spring'!V$5</f>
        <v>18.950220794861501</v>
      </c>
      <c r="W5" s="9">
        <f>VLOOKUP($A5,'RES installed'!$A$2:$C$7,3,FALSE)*'[1]Profiles, RES, Spring'!W$5</f>
        <v>17.514050582095543</v>
      </c>
      <c r="X5" s="9">
        <f>VLOOKUP($A5,'RES installed'!$A$2:$C$7,3,FALSE)*'[1]Profiles, RES, Spring'!X$5</f>
        <v>17.48695303091128</v>
      </c>
      <c r="Y5" s="9">
        <f>VLOOKUP($A5,'RES installed'!$A$2:$C$7,3,FALSE)*'[1]Profiles, RES, Spring'!Y$5</f>
        <v>16.583701324769169</v>
      </c>
    </row>
    <row r="6" spans="1:25" x14ac:dyDescent="0.3">
      <c r="A6" s="8">
        <v>5</v>
      </c>
      <c r="B6" s="9">
        <f>VLOOKUP($A6,'RES installed'!$A$2:$C$7,3,FALSE)*'[1]Profiles, RES, Spring'!B$5</f>
        <v>15.487755921316742</v>
      </c>
      <c r="C6" s="9">
        <f>VLOOKUP($A6,'RES installed'!$A$2:$C$7,3,FALSE)*'[1]Profiles, RES, Spring'!C$5</f>
        <v>14.379767161782416</v>
      </c>
      <c r="D6" s="9">
        <f>VLOOKUP($A6,'RES installed'!$A$2:$C$7,3,FALSE)*'[1]Profiles, RES, Spring'!D$5</f>
        <v>14.452027298273785</v>
      </c>
      <c r="E6" s="9">
        <f>VLOOKUP($A6,'RES installed'!$A$2:$C$7,3,FALSE)*'[1]Profiles, RES, Spring'!E$5</f>
        <v>13.873946206342834</v>
      </c>
      <c r="F6" s="9">
        <f>VLOOKUP($A6,'RES installed'!$A$2:$C$7,3,FALSE)*'[1]Profiles, RES, Spring'!F$5</f>
        <v>13.741469289441991</v>
      </c>
      <c r="G6" s="9">
        <f>VLOOKUP($A6,'RES installed'!$A$2:$C$7,3,FALSE)*'[1]Profiles, RES, Spring'!G$5</f>
        <v>13.982336411079887</v>
      </c>
      <c r="H6" s="9">
        <f>VLOOKUP($A6,'RES installed'!$A$2:$C$7,3,FALSE)*'[1]Profiles, RES, Spring'!H$5</f>
        <v>12.549177037334404</v>
      </c>
      <c r="I6" s="9">
        <f>VLOOKUP($A6,'RES installed'!$A$2:$C$7,3,FALSE)*'[1]Profiles, RES, Spring'!I$5</f>
        <v>10.06824568446407</v>
      </c>
      <c r="J6" s="9">
        <f>VLOOKUP($A6,'RES installed'!$A$2:$C$7,3,FALSE)*'[1]Profiles, RES, Spring'!J$5</f>
        <v>7.9365716579686874</v>
      </c>
      <c r="K6" s="9">
        <f>VLOOKUP($A6,'RES installed'!$A$2:$C$7,3,FALSE)*'[1]Profiles, RES, Spring'!K$5</f>
        <v>5.9975913287836216</v>
      </c>
      <c r="L6" s="9">
        <f>VLOOKUP($A6,'RES installed'!$A$2:$C$7,3,FALSE)*'[1]Profiles, RES, Spring'!L$5</f>
        <v>5.6965074267362503</v>
      </c>
      <c r="M6" s="9">
        <f>VLOOKUP($A6,'RES installed'!$A$2:$C$7,3,FALSE)*'[1]Profiles, RES, Spring'!M$5</f>
        <v>6.9369731031714172</v>
      </c>
      <c r="N6" s="9">
        <f>VLOOKUP($A6,'RES installed'!$A$2:$C$7,3,FALSE)*'[1]Profiles, RES, Spring'!N$5</f>
        <v>9.1649939783219594</v>
      </c>
      <c r="O6" s="9">
        <f>VLOOKUP($A6,'RES installed'!$A$2:$C$7,3,FALSE)*'[1]Profiles, RES, Spring'!O$5</f>
        <v>12.669610598153353</v>
      </c>
      <c r="P6" s="9">
        <f>VLOOKUP($A6,'RES installed'!$A$2:$C$7,3,FALSE)*'[1]Profiles, RES, Spring'!P$5</f>
        <v>16.53552790044159</v>
      </c>
      <c r="Q6" s="9">
        <f>VLOOKUP($A6,'RES installed'!$A$2:$C$7,3,FALSE)*'[1]Profiles, RES, Spring'!Q$5</f>
        <v>20.630268968285829</v>
      </c>
      <c r="R6" s="9">
        <f>VLOOKUP($A6,'RES installed'!$A$2:$C$7,3,FALSE)*'[1]Profiles, RES, Spring'!R$5</f>
        <v>25.688478522681656</v>
      </c>
      <c r="S6" s="9">
        <f>VLOOKUP($A6,'RES installed'!$A$2:$C$7,3,FALSE)*'[1]Profiles, RES, Spring'!S$5</f>
        <v>28.518667201926938</v>
      </c>
      <c r="T6" s="9">
        <f>VLOOKUP($A6,'RES installed'!$A$2:$C$7,3,FALSE)*'[1]Profiles, RES, Spring'!T$5</f>
        <v>28.615014050582097</v>
      </c>
      <c r="U6" s="9">
        <f>VLOOKUP($A6,'RES installed'!$A$2:$C$7,3,FALSE)*'[1]Profiles, RES, Spring'!U$5</f>
        <v>27.868325973504618</v>
      </c>
      <c r="V6" s="9">
        <f>VLOOKUP($A6,'RES installed'!$A$2:$C$7,3,FALSE)*'[1]Profiles, RES, Spring'!V$5</f>
        <v>25.266961059815333</v>
      </c>
      <c r="W6" s="9">
        <f>VLOOKUP($A6,'RES installed'!$A$2:$C$7,3,FALSE)*'[1]Profiles, RES, Spring'!W$5</f>
        <v>23.352067442794059</v>
      </c>
      <c r="X6" s="9">
        <f>VLOOKUP($A6,'RES installed'!$A$2:$C$7,3,FALSE)*'[1]Profiles, RES, Spring'!X$5</f>
        <v>23.315937374548376</v>
      </c>
      <c r="Y6" s="9">
        <f>VLOOKUP($A6,'RES installed'!$A$2:$C$7,3,FALSE)*'[1]Profiles, RES, Spring'!Y$5</f>
        <v>22.111601766358891</v>
      </c>
    </row>
    <row r="7" spans="1:25" x14ac:dyDescent="0.3">
      <c r="A7" s="8">
        <v>6</v>
      </c>
      <c r="B7" s="9">
        <f>VLOOKUP($A7,'RES installed'!$A$2:$C$7,3,FALSE)*'[1]Profiles, RES, Spring'!B$5</f>
        <v>11.615816940987557</v>
      </c>
      <c r="C7" s="9">
        <f>VLOOKUP($A7,'RES installed'!$A$2:$C$7,3,FALSE)*'[1]Profiles, RES, Spring'!C$5</f>
        <v>10.784825371336813</v>
      </c>
      <c r="D7" s="9">
        <f>VLOOKUP($A7,'RES installed'!$A$2:$C$7,3,FALSE)*'[1]Profiles, RES, Spring'!D$5</f>
        <v>10.839020473705339</v>
      </c>
      <c r="E7" s="9">
        <f>VLOOKUP($A7,'RES installed'!$A$2:$C$7,3,FALSE)*'[1]Profiles, RES, Spring'!E$5</f>
        <v>10.405459654757125</v>
      </c>
      <c r="F7" s="9">
        <f>VLOOKUP($A7,'RES installed'!$A$2:$C$7,3,FALSE)*'[1]Profiles, RES, Spring'!F$5</f>
        <v>10.306101967081492</v>
      </c>
      <c r="G7" s="9">
        <f>VLOOKUP($A7,'RES installed'!$A$2:$C$7,3,FALSE)*'[1]Profiles, RES, Spring'!G$5</f>
        <v>10.486752308309915</v>
      </c>
      <c r="H7" s="9">
        <f>VLOOKUP($A7,'RES installed'!$A$2:$C$7,3,FALSE)*'[1]Profiles, RES, Spring'!H$5</f>
        <v>9.4118827780008036</v>
      </c>
      <c r="I7" s="9">
        <f>VLOOKUP($A7,'RES installed'!$A$2:$C$7,3,FALSE)*'[1]Profiles, RES, Spring'!I$5</f>
        <v>7.5511842633480528</v>
      </c>
      <c r="J7" s="9">
        <f>VLOOKUP($A7,'RES installed'!$A$2:$C$7,3,FALSE)*'[1]Profiles, RES, Spring'!J$5</f>
        <v>5.9524287434765153</v>
      </c>
      <c r="K7" s="9">
        <f>VLOOKUP($A7,'RES installed'!$A$2:$C$7,3,FALSE)*'[1]Profiles, RES, Spring'!K$5</f>
        <v>4.4981934965877164</v>
      </c>
      <c r="L7" s="9">
        <f>VLOOKUP($A7,'RES installed'!$A$2:$C$7,3,FALSE)*'[1]Profiles, RES, Spring'!L$5</f>
        <v>4.2723805700521877</v>
      </c>
      <c r="M7" s="9">
        <f>VLOOKUP($A7,'RES installed'!$A$2:$C$7,3,FALSE)*'[1]Profiles, RES, Spring'!M$5</f>
        <v>5.2027298273785627</v>
      </c>
      <c r="N7" s="9">
        <f>VLOOKUP($A7,'RES installed'!$A$2:$C$7,3,FALSE)*'[1]Profiles, RES, Spring'!N$5</f>
        <v>6.8737454837414687</v>
      </c>
      <c r="O7" s="9">
        <f>VLOOKUP($A7,'RES installed'!$A$2:$C$7,3,FALSE)*'[1]Profiles, RES, Spring'!O$5</f>
        <v>9.5022079486150144</v>
      </c>
      <c r="P7" s="9">
        <f>VLOOKUP($A7,'RES installed'!$A$2:$C$7,3,FALSE)*'[1]Profiles, RES, Spring'!P$5</f>
        <v>12.401645925331193</v>
      </c>
      <c r="Q7" s="9">
        <f>VLOOKUP($A7,'RES installed'!$A$2:$C$7,3,FALSE)*'[1]Profiles, RES, Spring'!Q$5</f>
        <v>15.472701726214373</v>
      </c>
      <c r="R7" s="9">
        <f>VLOOKUP($A7,'RES installed'!$A$2:$C$7,3,FALSE)*'[1]Profiles, RES, Spring'!R$5</f>
        <v>19.26635889201124</v>
      </c>
      <c r="S7" s="9">
        <f>VLOOKUP($A7,'RES installed'!$A$2:$C$7,3,FALSE)*'[1]Profiles, RES, Spring'!S$5</f>
        <v>21.389000401445202</v>
      </c>
      <c r="T7" s="9">
        <f>VLOOKUP($A7,'RES installed'!$A$2:$C$7,3,FALSE)*'[1]Profiles, RES, Spring'!T$5</f>
        <v>21.461260537936575</v>
      </c>
      <c r="U7" s="9">
        <f>VLOOKUP($A7,'RES installed'!$A$2:$C$7,3,FALSE)*'[1]Profiles, RES, Spring'!U$5</f>
        <v>20.901244480128462</v>
      </c>
      <c r="V7" s="9">
        <f>VLOOKUP($A7,'RES installed'!$A$2:$C$7,3,FALSE)*'[1]Profiles, RES, Spring'!V$5</f>
        <v>18.950220794861501</v>
      </c>
      <c r="W7" s="9">
        <f>VLOOKUP($A7,'RES installed'!$A$2:$C$7,3,FALSE)*'[1]Profiles, RES, Spring'!W$5</f>
        <v>17.514050582095543</v>
      </c>
      <c r="X7" s="9">
        <f>VLOOKUP($A7,'RES installed'!$A$2:$C$7,3,FALSE)*'[1]Profiles, RES, Spring'!X$5</f>
        <v>17.48695303091128</v>
      </c>
      <c r="Y7" s="9">
        <f>VLOOKUP($A7,'RES installed'!$A$2:$C$7,3,FALSE)*'[1]Profiles, RES, Spring'!Y$5</f>
        <v>16.583701324769169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0.71076573161485967</v>
      </c>
      <c r="H8" s="6">
        <f>VLOOKUP($A8,'RES installed'!$A$2:$C$7,3,FALSE)*'[1]Profiles, RES, Spring'!H$2</f>
        <v>7.136087945413192</v>
      </c>
      <c r="I8" s="6">
        <f>VLOOKUP($A8,'RES installed'!$A$2:$C$7,3,FALSE)*'[1]Profiles, RES, Spring'!I$2</f>
        <v>19.929871114480665</v>
      </c>
      <c r="J8" s="6">
        <f>VLOOKUP($A8,'RES installed'!$A$2:$C$7,3,FALSE)*'[1]Profiles, RES, Spring'!J$2</f>
        <v>30.790371493555725</v>
      </c>
      <c r="K8" s="6">
        <f>VLOOKUP($A8,'RES installed'!$A$2:$C$7,3,FALSE)*'[1]Profiles, RES, Spring'!K$2</f>
        <v>36.021607278241092</v>
      </c>
      <c r="L8" s="6">
        <f>VLOOKUP($A8,'RES installed'!$A$2:$C$7,3,FALSE)*'[1]Profiles, RES, Spring'!L$2</f>
        <v>41.167551175132679</v>
      </c>
      <c r="M8" s="6">
        <f>VLOOKUP($A8,'RES installed'!$A$2:$C$7,3,FALSE)*'[1]Profiles, RES, Spring'!M$2</f>
        <v>43.385140257771042</v>
      </c>
      <c r="N8" s="6">
        <f>VLOOKUP($A8,'RES installed'!$A$2:$C$7,3,FALSE)*'[1]Profiles, RES, Spring'!N$2</f>
        <v>46.796815769522368</v>
      </c>
      <c r="O8" s="6">
        <f>VLOOKUP($A8,'RES installed'!$A$2:$C$7,3,FALSE)*'[1]Profiles, RES, Spring'!O$2</f>
        <v>47.052691432903721</v>
      </c>
      <c r="P8" s="6">
        <f>VLOOKUP($A8,'RES installed'!$A$2:$C$7,3,FALSE)*'[1]Profiles, RES, Spring'!P$2</f>
        <v>47.30856709628506</v>
      </c>
      <c r="Q8" s="6">
        <f>VLOOKUP($A8,'RES installed'!$A$2:$C$7,3,FALSE)*'[1]Profiles, RES, Spring'!Q$2</f>
        <v>43.271417740712657</v>
      </c>
      <c r="R8" s="6">
        <f>VLOOKUP($A8,'RES installed'!$A$2:$C$7,3,FALSE)*'[1]Profiles, RES, Spring'!R$2</f>
        <v>34.429492039423806</v>
      </c>
      <c r="S8" s="6">
        <f>VLOOKUP($A8,'RES installed'!$A$2:$C$7,3,FALSE)*'[1]Profiles, RES, Spring'!S$2</f>
        <v>22.687642153146324</v>
      </c>
      <c r="T8" s="6">
        <f>VLOOKUP($A8,'RES installed'!$A$2:$C$7,3,FALSE)*'[1]Profiles, RES, Spring'!T$2</f>
        <v>8.3586050037907516</v>
      </c>
      <c r="U8" s="6">
        <f>VLOOKUP($A8,'RES installed'!$A$2:$C$7,3,FALSE)*'[1]Profiles, RES, Spring'!U$2</f>
        <v>0.73919636087945406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0.47384382107657314</v>
      </c>
      <c r="H9" s="6">
        <f>VLOOKUP($A9,'RES installed'!$A$2:$C$7,3,FALSE)*'[1]Profiles, RES, Spring'!H$2</f>
        <v>4.7573919636087947</v>
      </c>
      <c r="I9" s="6">
        <f>VLOOKUP($A9,'RES installed'!$A$2:$C$7,3,FALSE)*'[1]Profiles, RES, Spring'!I$2</f>
        <v>13.286580742987111</v>
      </c>
      <c r="J9" s="6">
        <f>VLOOKUP($A9,'RES installed'!$A$2:$C$7,3,FALSE)*'[1]Profiles, RES, Spring'!J$2</f>
        <v>20.526914329037147</v>
      </c>
      <c r="K9" s="6">
        <f>VLOOKUP($A9,'RES installed'!$A$2:$C$7,3,FALSE)*'[1]Profiles, RES, Spring'!K$2</f>
        <v>24.014404852160727</v>
      </c>
      <c r="L9" s="6">
        <f>VLOOKUP($A9,'RES installed'!$A$2:$C$7,3,FALSE)*'[1]Profiles, RES, Spring'!L$2</f>
        <v>27.445034116755117</v>
      </c>
      <c r="M9" s="6">
        <f>VLOOKUP($A9,'RES installed'!$A$2:$C$7,3,FALSE)*'[1]Profiles, RES, Spring'!M$2</f>
        <v>28.923426838514025</v>
      </c>
      <c r="N9" s="6">
        <f>VLOOKUP($A9,'RES installed'!$A$2:$C$7,3,FALSE)*'[1]Profiles, RES, Spring'!N$2</f>
        <v>31.197877179681576</v>
      </c>
      <c r="O9" s="6">
        <f>VLOOKUP($A9,'RES installed'!$A$2:$C$7,3,FALSE)*'[1]Profiles, RES, Spring'!O$2</f>
        <v>31.368460955269146</v>
      </c>
      <c r="P9" s="6">
        <f>VLOOKUP($A9,'RES installed'!$A$2:$C$7,3,FALSE)*'[1]Profiles, RES, Spring'!P$2</f>
        <v>31.539044730856709</v>
      </c>
      <c r="Q9" s="6">
        <f>VLOOKUP($A9,'RES installed'!$A$2:$C$7,3,FALSE)*'[1]Profiles, RES, Spring'!Q$2</f>
        <v>28.847611827141773</v>
      </c>
      <c r="R9" s="6">
        <f>VLOOKUP($A9,'RES installed'!$A$2:$C$7,3,FALSE)*'[1]Profiles, RES, Spring'!R$2</f>
        <v>22.952994692949204</v>
      </c>
      <c r="S9" s="6">
        <f>VLOOKUP($A9,'RES installed'!$A$2:$C$7,3,FALSE)*'[1]Profiles, RES, Spring'!S$2</f>
        <v>15.125094768764216</v>
      </c>
      <c r="T9" s="6">
        <f>VLOOKUP($A9,'RES installed'!$A$2:$C$7,3,FALSE)*'[1]Profiles, RES, Spring'!T$2</f>
        <v>5.5724033358605007</v>
      </c>
      <c r="U9" s="6">
        <f>VLOOKUP($A9,'RES installed'!$A$2:$C$7,3,FALSE)*'[1]Profiles, RES, Spring'!U$2</f>
        <v>0.49279757391963608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0.56861258529188774</v>
      </c>
      <c r="H10" s="6">
        <f>VLOOKUP($A10,'RES installed'!$A$2:$C$7,3,FALSE)*'[1]Profiles, RES, Spring'!H$2</f>
        <v>5.7088703563305536</v>
      </c>
      <c r="I10" s="6">
        <f>VLOOKUP($A10,'RES installed'!$A$2:$C$7,3,FALSE)*'[1]Profiles, RES, Spring'!I$2</f>
        <v>15.943896891584533</v>
      </c>
      <c r="J10" s="6">
        <f>VLOOKUP($A10,'RES installed'!$A$2:$C$7,3,FALSE)*'[1]Profiles, RES, Spring'!J$2</f>
        <v>24.632297194844579</v>
      </c>
      <c r="K10" s="6">
        <f>VLOOKUP($A10,'RES installed'!$A$2:$C$7,3,FALSE)*'[1]Profiles, RES, Spring'!K$2</f>
        <v>28.817285822592876</v>
      </c>
      <c r="L10" s="6">
        <f>VLOOKUP($A10,'RES installed'!$A$2:$C$7,3,FALSE)*'[1]Profiles, RES, Spring'!L$2</f>
        <v>32.934040940106144</v>
      </c>
      <c r="M10" s="6">
        <f>VLOOKUP($A10,'RES installed'!$A$2:$C$7,3,FALSE)*'[1]Profiles, RES, Spring'!M$2</f>
        <v>34.708112206216832</v>
      </c>
      <c r="N10" s="6">
        <f>VLOOKUP($A10,'RES installed'!$A$2:$C$7,3,FALSE)*'[1]Profiles, RES, Spring'!N$2</f>
        <v>37.437452615617893</v>
      </c>
      <c r="O10" s="6">
        <f>VLOOKUP($A10,'RES installed'!$A$2:$C$7,3,FALSE)*'[1]Profiles, RES, Spring'!O$2</f>
        <v>37.642153146322975</v>
      </c>
      <c r="P10" s="6">
        <f>VLOOKUP($A10,'RES installed'!$A$2:$C$7,3,FALSE)*'[1]Profiles, RES, Spring'!P$2</f>
        <v>37.846853677028051</v>
      </c>
      <c r="Q10" s="6">
        <f>VLOOKUP($A10,'RES installed'!$A$2:$C$7,3,FALSE)*'[1]Profiles, RES, Spring'!Q$2</f>
        <v>34.617134192570127</v>
      </c>
      <c r="R10" s="6">
        <f>VLOOKUP($A10,'RES installed'!$A$2:$C$7,3,FALSE)*'[1]Profiles, RES, Spring'!R$2</f>
        <v>27.543593631539046</v>
      </c>
      <c r="S10" s="6">
        <f>VLOOKUP($A10,'RES installed'!$A$2:$C$7,3,FALSE)*'[1]Profiles, RES, Spring'!S$2</f>
        <v>18.150113722517059</v>
      </c>
      <c r="T10" s="6">
        <f>VLOOKUP($A10,'RES installed'!$A$2:$C$7,3,FALSE)*'[1]Profiles, RES, Spring'!T$2</f>
        <v>6.6868840030326009</v>
      </c>
      <c r="U10" s="6">
        <f>VLOOKUP($A10,'RES installed'!$A$2:$C$7,3,FALSE)*'[1]Profiles, RES, Spring'!U$2</f>
        <v>0.59135708870356329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B76AB-CAAD-4D01-A6E3-BD56703B3D6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15.228823765556003</v>
      </c>
      <c r="C5" s="9">
        <f>VLOOKUP($A5,'RES installed'!$A$2:$C$7,3,FALSE)*'[1]Profiles, RES, Spring'!C$6</f>
        <v>13.819751103974308</v>
      </c>
      <c r="D5" s="9">
        <f>VLOOKUP($A5,'RES installed'!$A$2:$C$7,3,FALSE)*'[1]Profiles, RES, Spring'!D$6</f>
        <v>12.058410276997192</v>
      </c>
      <c r="E5" s="9">
        <f>VLOOKUP($A5,'RES installed'!$A$2:$C$7,3,FALSE)*'[1]Profiles, RES, Spring'!E$6</f>
        <v>10.857085507828181</v>
      </c>
      <c r="F5" s="9">
        <f>VLOOKUP($A5,'RES installed'!$A$2:$C$7,3,FALSE)*'[1]Profiles, RES, Spring'!F$6</f>
        <v>10.613207547169811</v>
      </c>
      <c r="G5" s="9">
        <f>VLOOKUP($A5,'RES installed'!$A$2:$C$7,3,FALSE)*'[1]Profiles, RES, Spring'!G$6</f>
        <v>10.730630268968287</v>
      </c>
      <c r="H5" s="9">
        <f>VLOOKUP($A5,'RES installed'!$A$2:$C$7,3,FALSE)*'[1]Profiles, RES, Spring'!H$6</f>
        <v>9.1589723002810111</v>
      </c>
      <c r="I5" s="9">
        <f>VLOOKUP($A5,'RES installed'!$A$2:$C$7,3,FALSE)*'[1]Profiles, RES, Spring'!I$6</f>
        <v>6.8918105178643119</v>
      </c>
      <c r="J5" s="9">
        <f>VLOOKUP($A5,'RES installed'!$A$2:$C$7,3,FALSE)*'[1]Profiles, RES, Spring'!J$6</f>
        <v>6.2775993576876754</v>
      </c>
      <c r="K5" s="9">
        <f>VLOOKUP($A5,'RES installed'!$A$2:$C$7,3,FALSE)*'[1]Profiles, RES, Spring'!K$6</f>
        <v>6.5395423524688878</v>
      </c>
      <c r="L5" s="9">
        <f>VLOOKUP($A5,'RES installed'!$A$2:$C$7,3,FALSE)*'[1]Profiles, RES, Spring'!L$6</f>
        <v>7.3253713368125251</v>
      </c>
      <c r="M5" s="9">
        <f>VLOOKUP($A5,'RES installed'!$A$2:$C$7,3,FALSE)*'[1]Profiles, RES, Spring'!M$6</f>
        <v>8.4002408671216386</v>
      </c>
      <c r="N5" s="9">
        <f>VLOOKUP($A5,'RES installed'!$A$2:$C$7,3,FALSE)*'[1]Profiles, RES, Spring'!N$6</f>
        <v>10.92031312725813</v>
      </c>
      <c r="O5" s="9">
        <f>VLOOKUP($A5,'RES installed'!$A$2:$C$7,3,FALSE)*'[1]Profiles, RES, Spring'!O$6</f>
        <v>13.557808109193095</v>
      </c>
      <c r="P5" s="9">
        <f>VLOOKUP($A5,'RES installed'!$A$2:$C$7,3,FALSE)*'[1]Profiles, RES, Spring'!P$6</f>
        <v>15.400441589723002</v>
      </c>
      <c r="Q5" s="9">
        <f>VLOOKUP($A5,'RES installed'!$A$2:$C$7,3,FALSE)*'[1]Profiles, RES, Spring'!Q$6</f>
        <v>16.945002007226016</v>
      </c>
      <c r="R5" s="9">
        <f>VLOOKUP($A5,'RES installed'!$A$2:$C$7,3,FALSE)*'[1]Profiles, RES, Spring'!R$6</f>
        <v>18.570855078281813</v>
      </c>
      <c r="S5" s="9">
        <f>VLOOKUP($A5,'RES installed'!$A$2:$C$7,3,FALSE)*'[1]Profiles, RES, Spring'!S$6</f>
        <v>17.766961059815333</v>
      </c>
      <c r="T5" s="9">
        <f>VLOOKUP($A5,'RES installed'!$A$2:$C$7,3,FALSE)*'[1]Profiles, RES, Spring'!T$6</f>
        <v>15.716579686872743</v>
      </c>
      <c r="U5" s="9">
        <f>VLOOKUP($A5,'RES installed'!$A$2:$C$7,3,FALSE)*'[1]Profiles, RES, Spring'!U$6</f>
        <v>15.120433560818947</v>
      </c>
      <c r="V5" s="9">
        <f>VLOOKUP($A5,'RES installed'!$A$2:$C$7,3,FALSE)*'[1]Profiles, RES, Spring'!V$6</f>
        <v>14.063629064632678</v>
      </c>
      <c r="W5" s="9">
        <f>VLOOKUP($A5,'RES installed'!$A$2:$C$7,3,FALSE)*'[1]Profiles, RES, Spring'!W$6</f>
        <v>13.341027699718989</v>
      </c>
      <c r="X5" s="9">
        <f>VLOOKUP($A5,'RES installed'!$A$2:$C$7,3,FALSE)*'[1]Profiles, RES, Spring'!X$6</f>
        <v>12.094540345242873</v>
      </c>
      <c r="Y5" s="9">
        <f>VLOOKUP($A5,'RES installed'!$A$2:$C$7,3,FALSE)*'[1]Profiles, RES, Spring'!Y$6</f>
        <v>10.784825371336813</v>
      </c>
    </row>
    <row r="6" spans="1:25" x14ac:dyDescent="0.3">
      <c r="A6" s="8">
        <v>5</v>
      </c>
      <c r="B6" s="9">
        <f>VLOOKUP($A6,'RES installed'!$A$2:$C$7,3,FALSE)*'[1]Profiles, RES, Spring'!B$6</f>
        <v>20.305098354074669</v>
      </c>
      <c r="C6" s="9">
        <f>VLOOKUP($A6,'RES installed'!$A$2:$C$7,3,FALSE)*'[1]Profiles, RES, Spring'!C$6</f>
        <v>18.426334805299078</v>
      </c>
      <c r="D6" s="9">
        <f>VLOOKUP($A6,'RES installed'!$A$2:$C$7,3,FALSE)*'[1]Profiles, RES, Spring'!D$6</f>
        <v>16.077880369329588</v>
      </c>
      <c r="E6" s="9">
        <f>VLOOKUP($A6,'RES installed'!$A$2:$C$7,3,FALSE)*'[1]Profiles, RES, Spring'!E$6</f>
        <v>14.476114010437575</v>
      </c>
      <c r="F6" s="9">
        <f>VLOOKUP($A6,'RES installed'!$A$2:$C$7,3,FALSE)*'[1]Profiles, RES, Spring'!F$6</f>
        <v>14.150943396226415</v>
      </c>
      <c r="G6" s="9">
        <f>VLOOKUP($A6,'RES installed'!$A$2:$C$7,3,FALSE)*'[1]Profiles, RES, Spring'!G$6</f>
        <v>14.307507025291049</v>
      </c>
      <c r="H6" s="9">
        <f>VLOOKUP($A6,'RES installed'!$A$2:$C$7,3,FALSE)*'[1]Profiles, RES, Spring'!H$6</f>
        <v>12.211963067041349</v>
      </c>
      <c r="I6" s="9">
        <f>VLOOKUP($A6,'RES installed'!$A$2:$C$7,3,FALSE)*'[1]Profiles, RES, Spring'!I$6</f>
        <v>9.1890806904857492</v>
      </c>
      <c r="J6" s="9">
        <f>VLOOKUP($A6,'RES installed'!$A$2:$C$7,3,FALSE)*'[1]Profiles, RES, Spring'!J$6</f>
        <v>8.3701324769169005</v>
      </c>
      <c r="K6" s="9">
        <f>VLOOKUP($A6,'RES installed'!$A$2:$C$7,3,FALSE)*'[1]Profiles, RES, Spring'!K$6</f>
        <v>8.7193898032918504</v>
      </c>
      <c r="L6" s="9">
        <f>VLOOKUP($A6,'RES installed'!$A$2:$C$7,3,FALSE)*'[1]Profiles, RES, Spring'!L$6</f>
        <v>9.7671617824167001</v>
      </c>
      <c r="M6" s="9">
        <f>VLOOKUP($A6,'RES installed'!$A$2:$C$7,3,FALSE)*'[1]Profiles, RES, Spring'!M$6</f>
        <v>11.200321156162184</v>
      </c>
      <c r="N6" s="9">
        <f>VLOOKUP($A6,'RES installed'!$A$2:$C$7,3,FALSE)*'[1]Profiles, RES, Spring'!N$6</f>
        <v>14.560417503010839</v>
      </c>
      <c r="O6" s="9">
        <f>VLOOKUP($A6,'RES installed'!$A$2:$C$7,3,FALSE)*'[1]Profiles, RES, Spring'!O$6</f>
        <v>18.077077478924128</v>
      </c>
      <c r="P6" s="9">
        <f>VLOOKUP($A6,'RES installed'!$A$2:$C$7,3,FALSE)*'[1]Profiles, RES, Spring'!P$6</f>
        <v>20.53392211963067</v>
      </c>
      <c r="Q6" s="9">
        <f>VLOOKUP($A6,'RES installed'!$A$2:$C$7,3,FALSE)*'[1]Profiles, RES, Spring'!Q$6</f>
        <v>22.593336009634687</v>
      </c>
      <c r="R6" s="9">
        <f>VLOOKUP($A6,'RES installed'!$A$2:$C$7,3,FALSE)*'[1]Profiles, RES, Spring'!R$6</f>
        <v>24.761140104375752</v>
      </c>
      <c r="S6" s="9">
        <f>VLOOKUP($A6,'RES installed'!$A$2:$C$7,3,FALSE)*'[1]Profiles, RES, Spring'!S$6</f>
        <v>23.689281413087112</v>
      </c>
      <c r="T6" s="9">
        <f>VLOOKUP($A6,'RES installed'!$A$2:$C$7,3,FALSE)*'[1]Profiles, RES, Spring'!T$6</f>
        <v>20.955439582496989</v>
      </c>
      <c r="U6" s="9">
        <f>VLOOKUP($A6,'RES installed'!$A$2:$C$7,3,FALSE)*'[1]Profiles, RES, Spring'!U$6</f>
        <v>20.160578081091931</v>
      </c>
      <c r="V6" s="9">
        <f>VLOOKUP($A6,'RES installed'!$A$2:$C$7,3,FALSE)*'[1]Profiles, RES, Spring'!V$6</f>
        <v>18.751505419510238</v>
      </c>
      <c r="W6" s="9">
        <f>VLOOKUP($A6,'RES installed'!$A$2:$C$7,3,FALSE)*'[1]Profiles, RES, Spring'!W$6</f>
        <v>17.788036932958651</v>
      </c>
      <c r="X6" s="9">
        <f>VLOOKUP($A6,'RES installed'!$A$2:$C$7,3,FALSE)*'[1]Profiles, RES, Spring'!X$6</f>
        <v>16.126053793657164</v>
      </c>
      <c r="Y6" s="9">
        <f>VLOOKUP($A6,'RES installed'!$A$2:$C$7,3,FALSE)*'[1]Profiles, RES, Spring'!Y$6</f>
        <v>14.379767161782416</v>
      </c>
    </row>
    <row r="7" spans="1:25" x14ac:dyDescent="0.3">
      <c r="A7" s="8">
        <v>6</v>
      </c>
      <c r="B7" s="9">
        <f>VLOOKUP($A7,'RES installed'!$A$2:$C$7,3,FALSE)*'[1]Profiles, RES, Spring'!B$6</f>
        <v>15.228823765556003</v>
      </c>
      <c r="C7" s="9">
        <f>VLOOKUP($A7,'RES installed'!$A$2:$C$7,3,FALSE)*'[1]Profiles, RES, Spring'!C$6</f>
        <v>13.819751103974308</v>
      </c>
      <c r="D7" s="9">
        <f>VLOOKUP($A7,'RES installed'!$A$2:$C$7,3,FALSE)*'[1]Profiles, RES, Spring'!D$6</f>
        <v>12.058410276997192</v>
      </c>
      <c r="E7" s="9">
        <f>VLOOKUP($A7,'RES installed'!$A$2:$C$7,3,FALSE)*'[1]Profiles, RES, Spring'!E$6</f>
        <v>10.857085507828181</v>
      </c>
      <c r="F7" s="9">
        <f>VLOOKUP($A7,'RES installed'!$A$2:$C$7,3,FALSE)*'[1]Profiles, RES, Spring'!F$6</f>
        <v>10.613207547169811</v>
      </c>
      <c r="G7" s="9">
        <f>VLOOKUP($A7,'RES installed'!$A$2:$C$7,3,FALSE)*'[1]Profiles, RES, Spring'!G$6</f>
        <v>10.730630268968287</v>
      </c>
      <c r="H7" s="9">
        <f>VLOOKUP($A7,'RES installed'!$A$2:$C$7,3,FALSE)*'[1]Profiles, RES, Spring'!H$6</f>
        <v>9.1589723002810111</v>
      </c>
      <c r="I7" s="9">
        <f>VLOOKUP($A7,'RES installed'!$A$2:$C$7,3,FALSE)*'[1]Profiles, RES, Spring'!I$6</f>
        <v>6.8918105178643119</v>
      </c>
      <c r="J7" s="9">
        <f>VLOOKUP($A7,'RES installed'!$A$2:$C$7,3,FALSE)*'[1]Profiles, RES, Spring'!J$6</f>
        <v>6.2775993576876754</v>
      </c>
      <c r="K7" s="9">
        <f>VLOOKUP($A7,'RES installed'!$A$2:$C$7,3,FALSE)*'[1]Profiles, RES, Spring'!K$6</f>
        <v>6.5395423524688878</v>
      </c>
      <c r="L7" s="9">
        <f>VLOOKUP($A7,'RES installed'!$A$2:$C$7,3,FALSE)*'[1]Profiles, RES, Spring'!L$6</f>
        <v>7.3253713368125251</v>
      </c>
      <c r="M7" s="9">
        <f>VLOOKUP($A7,'RES installed'!$A$2:$C$7,3,FALSE)*'[1]Profiles, RES, Spring'!M$6</f>
        <v>8.4002408671216386</v>
      </c>
      <c r="N7" s="9">
        <f>VLOOKUP($A7,'RES installed'!$A$2:$C$7,3,FALSE)*'[1]Profiles, RES, Spring'!N$6</f>
        <v>10.92031312725813</v>
      </c>
      <c r="O7" s="9">
        <f>VLOOKUP($A7,'RES installed'!$A$2:$C$7,3,FALSE)*'[1]Profiles, RES, Spring'!O$6</f>
        <v>13.557808109193095</v>
      </c>
      <c r="P7" s="9">
        <f>VLOOKUP($A7,'RES installed'!$A$2:$C$7,3,FALSE)*'[1]Profiles, RES, Spring'!P$6</f>
        <v>15.400441589723002</v>
      </c>
      <c r="Q7" s="9">
        <f>VLOOKUP($A7,'RES installed'!$A$2:$C$7,3,FALSE)*'[1]Profiles, RES, Spring'!Q$6</f>
        <v>16.945002007226016</v>
      </c>
      <c r="R7" s="9">
        <f>VLOOKUP($A7,'RES installed'!$A$2:$C$7,3,FALSE)*'[1]Profiles, RES, Spring'!R$6</f>
        <v>18.570855078281813</v>
      </c>
      <c r="S7" s="9">
        <f>VLOOKUP($A7,'RES installed'!$A$2:$C$7,3,FALSE)*'[1]Profiles, RES, Spring'!S$6</f>
        <v>17.766961059815333</v>
      </c>
      <c r="T7" s="9">
        <f>VLOOKUP($A7,'RES installed'!$A$2:$C$7,3,FALSE)*'[1]Profiles, RES, Spring'!T$6</f>
        <v>15.716579686872743</v>
      </c>
      <c r="U7" s="9">
        <f>VLOOKUP($A7,'RES installed'!$A$2:$C$7,3,FALSE)*'[1]Profiles, RES, Spring'!U$6</f>
        <v>15.120433560818947</v>
      </c>
      <c r="V7" s="9">
        <f>VLOOKUP($A7,'RES installed'!$A$2:$C$7,3,FALSE)*'[1]Profiles, RES, Spring'!V$6</f>
        <v>14.063629064632678</v>
      </c>
      <c r="W7" s="9">
        <f>VLOOKUP($A7,'RES installed'!$A$2:$C$7,3,FALSE)*'[1]Profiles, RES, Spring'!W$6</f>
        <v>13.341027699718989</v>
      </c>
      <c r="X7" s="9">
        <f>VLOOKUP($A7,'RES installed'!$A$2:$C$7,3,FALSE)*'[1]Profiles, RES, Spring'!X$6</f>
        <v>12.094540345242873</v>
      </c>
      <c r="Y7" s="9">
        <f>VLOOKUP($A7,'RES installed'!$A$2:$C$7,3,FALSE)*'[1]Profiles, RES, Spring'!Y$6</f>
        <v>10.784825371336813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0.85291887793783172</v>
      </c>
      <c r="H8" s="6">
        <f>VLOOKUP($A8,'RES installed'!$A$2:$C$7,3,FALSE)*'[1]Profiles, RES, Spring'!H$3</f>
        <v>7.4772554965883247</v>
      </c>
      <c r="I8" s="6">
        <f>VLOOKUP($A8,'RES installed'!$A$2:$C$7,3,FALSE)*'[1]Profiles, RES, Spring'!I$3</f>
        <v>17.996588324488251</v>
      </c>
      <c r="J8" s="6">
        <f>VLOOKUP($A8,'RES installed'!$A$2:$C$7,3,FALSE)*'[1]Profiles, RES, Spring'!J$3</f>
        <v>27.151250947687643</v>
      </c>
      <c r="K8" s="6">
        <f>VLOOKUP($A8,'RES installed'!$A$2:$C$7,3,FALSE)*'[1]Profiles, RES, Spring'!K$3</f>
        <v>37.812736921910542</v>
      </c>
      <c r="L8" s="6">
        <f>VLOOKUP($A8,'RES installed'!$A$2:$C$7,3,FALSE)*'[1]Profiles, RES, Spring'!L$3</f>
        <v>44.749810462471572</v>
      </c>
      <c r="M8" s="6">
        <f>VLOOKUP($A8,'RES installed'!$A$2:$C$7,3,FALSE)*'[1]Profiles, RES, Spring'!M$3</f>
        <v>45.801743745261561</v>
      </c>
      <c r="N8" s="6">
        <f>VLOOKUP($A8,'RES installed'!$A$2:$C$7,3,FALSE)*'[1]Profiles, RES, Spring'!N$3</f>
        <v>46.882107657316148</v>
      </c>
      <c r="O8" s="6">
        <f>VLOOKUP($A8,'RES installed'!$A$2:$C$7,3,FALSE)*'[1]Profiles, RES, Spring'!O$3</f>
        <v>45.23313115996968</v>
      </c>
      <c r="P8" s="6">
        <f>VLOOKUP($A8,'RES installed'!$A$2:$C$7,3,FALSE)*'[1]Profiles, RES, Spring'!P$3</f>
        <v>48.076194086429112</v>
      </c>
      <c r="Q8" s="6">
        <f>VLOOKUP($A8,'RES installed'!$A$2:$C$7,3,FALSE)*'[1]Profiles, RES, Spring'!Q$3</f>
        <v>42.674374526156178</v>
      </c>
      <c r="R8" s="6">
        <f>VLOOKUP($A8,'RES installed'!$A$2:$C$7,3,FALSE)*'[1]Profiles, RES, Spring'!R$3</f>
        <v>35.794162244124337</v>
      </c>
      <c r="S8" s="6">
        <f>VLOOKUP($A8,'RES installed'!$A$2:$C$7,3,FALSE)*'[1]Profiles, RES, Spring'!S$3</f>
        <v>23.398407884761184</v>
      </c>
      <c r="T8" s="6">
        <f>VLOOKUP($A8,'RES installed'!$A$2:$C$7,3,FALSE)*'[1]Profiles, RES, Spring'!T$3</f>
        <v>8.5291887793783179</v>
      </c>
      <c r="U8" s="6">
        <f>VLOOKUP($A8,'RES installed'!$A$2:$C$7,3,FALSE)*'[1]Profiles, RES, Spring'!U$3</f>
        <v>0.76762699014404845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0.56861258529188785</v>
      </c>
      <c r="H9" s="6">
        <f>VLOOKUP($A9,'RES installed'!$A$2:$C$7,3,FALSE)*'[1]Profiles, RES, Spring'!H$3</f>
        <v>4.9848369977255498</v>
      </c>
      <c r="I9" s="6">
        <f>VLOOKUP($A9,'RES installed'!$A$2:$C$7,3,FALSE)*'[1]Profiles, RES, Spring'!I$3</f>
        <v>11.997725549658833</v>
      </c>
      <c r="J9" s="6">
        <f>VLOOKUP($A9,'RES installed'!$A$2:$C$7,3,FALSE)*'[1]Profiles, RES, Spring'!J$3</f>
        <v>18.100833965125098</v>
      </c>
      <c r="K9" s="6">
        <f>VLOOKUP($A9,'RES installed'!$A$2:$C$7,3,FALSE)*'[1]Profiles, RES, Spring'!K$3</f>
        <v>25.208491281273695</v>
      </c>
      <c r="L9" s="6">
        <f>VLOOKUP($A9,'RES installed'!$A$2:$C$7,3,FALSE)*'[1]Profiles, RES, Spring'!L$3</f>
        <v>29.833206974981046</v>
      </c>
      <c r="M9" s="6">
        <f>VLOOKUP($A9,'RES installed'!$A$2:$C$7,3,FALSE)*'[1]Profiles, RES, Spring'!M$3</f>
        <v>30.534495830174375</v>
      </c>
      <c r="N9" s="6">
        <f>VLOOKUP($A9,'RES installed'!$A$2:$C$7,3,FALSE)*'[1]Profiles, RES, Spring'!N$3</f>
        <v>31.254738438210765</v>
      </c>
      <c r="O9" s="6">
        <f>VLOOKUP($A9,'RES installed'!$A$2:$C$7,3,FALSE)*'[1]Profiles, RES, Spring'!O$3</f>
        <v>30.155420773313118</v>
      </c>
      <c r="P9" s="6">
        <f>VLOOKUP($A9,'RES installed'!$A$2:$C$7,3,FALSE)*'[1]Profiles, RES, Spring'!P$3</f>
        <v>32.050796057619408</v>
      </c>
      <c r="Q9" s="6">
        <f>VLOOKUP($A9,'RES installed'!$A$2:$C$7,3,FALSE)*'[1]Profiles, RES, Spring'!Q$3</f>
        <v>28.449583017437451</v>
      </c>
      <c r="R9" s="6">
        <f>VLOOKUP($A9,'RES installed'!$A$2:$C$7,3,FALSE)*'[1]Profiles, RES, Spring'!R$3</f>
        <v>23.862774829416225</v>
      </c>
      <c r="S9" s="6">
        <f>VLOOKUP($A9,'RES installed'!$A$2:$C$7,3,FALSE)*'[1]Profiles, RES, Spring'!S$3</f>
        <v>15.598938589840788</v>
      </c>
      <c r="T9" s="6">
        <f>VLOOKUP($A9,'RES installed'!$A$2:$C$7,3,FALSE)*'[1]Profiles, RES, Spring'!T$3</f>
        <v>5.6861258529188783</v>
      </c>
      <c r="U9" s="6">
        <f>VLOOKUP($A9,'RES installed'!$A$2:$C$7,3,FALSE)*'[1]Profiles, RES, Spring'!U$3</f>
        <v>0.51175132676269897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0.6823351023502654</v>
      </c>
      <c r="H10" s="6">
        <f>VLOOKUP($A10,'RES installed'!$A$2:$C$7,3,FALSE)*'[1]Profiles, RES, Spring'!H$3</f>
        <v>5.9818043972706594</v>
      </c>
      <c r="I10" s="6">
        <f>VLOOKUP($A10,'RES installed'!$A$2:$C$7,3,FALSE)*'[1]Profiles, RES, Spring'!I$3</f>
        <v>14.3972706595906</v>
      </c>
      <c r="J10" s="6">
        <f>VLOOKUP($A10,'RES installed'!$A$2:$C$7,3,FALSE)*'[1]Profiles, RES, Spring'!J$3</f>
        <v>21.721000758150115</v>
      </c>
      <c r="K10" s="6">
        <f>VLOOKUP($A10,'RES installed'!$A$2:$C$7,3,FALSE)*'[1]Profiles, RES, Spring'!K$3</f>
        <v>30.250189537528431</v>
      </c>
      <c r="L10" s="6">
        <f>VLOOKUP($A10,'RES installed'!$A$2:$C$7,3,FALSE)*'[1]Profiles, RES, Spring'!L$3</f>
        <v>35.799848369977255</v>
      </c>
      <c r="M10" s="6">
        <f>VLOOKUP($A10,'RES installed'!$A$2:$C$7,3,FALSE)*'[1]Profiles, RES, Spring'!M$3</f>
        <v>36.64139499620925</v>
      </c>
      <c r="N10" s="6">
        <f>VLOOKUP($A10,'RES installed'!$A$2:$C$7,3,FALSE)*'[1]Profiles, RES, Spring'!N$3</f>
        <v>37.505686125852918</v>
      </c>
      <c r="O10" s="6">
        <f>VLOOKUP($A10,'RES installed'!$A$2:$C$7,3,FALSE)*'[1]Profiles, RES, Spring'!O$3</f>
        <v>36.18650492797574</v>
      </c>
      <c r="P10" s="6">
        <f>VLOOKUP($A10,'RES installed'!$A$2:$C$7,3,FALSE)*'[1]Profiles, RES, Spring'!P$3</f>
        <v>38.460955269143291</v>
      </c>
      <c r="Q10" s="6">
        <f>VLOOKUP($A10,'RES installed'!$A$2:$C$7,3,FALSE)*'[1]Profiles, RES, Spring'!Q$3</f>
        <v>34.139499620924944</v>
      </c>
      <c r="R10" s="6">
        <f>VLOOKUP($A10,'RES installed'!$A$2:$C$7,3,FALSE)*'[1]Profiles, RES, Spring'!R$3</f>
        <v>28.635329795299469</v>
      </c>
      <c r="S10" s="6">
        <f>VLOOKUP($A10,'RES installed'!$A$2:$C$7,3,FALSE)*'[1]Profiles, RES, Spring'!S$3</f>
        <v>18.718726307808947</v>
      </c>
      <c r="T10" s="6">
        <f>VLOOKUP($A10,'RES installed'!$A$2:$C$7,3,FALSE)*'[1]Profiles, RES, Spring'!T$3</f>
        <v>6.8233510235026538</v>
      </c>
      <c r="U10" s="6">
        <f>VLOOKUP($A10,'RES installed'!$A$2:$C$7,3,FALSE)*'[1]Profiles, RES, Spring'!U$3</f>
        <v>0.61410159211523874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7D921-D097-4973-885E-7DCB80C972A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11.146126053793658</v>
      </c>
      <c r="C5" s="9">
        <f>VLOOKUP($A5,'RES installed'!$A$2:$C$7,3,FALSE)*'[1]Profiles, RES, Spring'!C$7</f>
        <v>10.568044961862705</v>
      </c>
      <c r="D5" s="9">
        <f>VLOOKUP($A5,'RES installed'!$A$2:$C$7,3,FALSE)*'[1]Profiles, RES, Spring'!D$7</f>
        <v>10.27900441589723</v>
      </c>
      <c r="E5" s="9">
        <f>VLOOKUP($A5,'RES installed'!$A$2:$C$7,3,FALSE)*'[1]Profiles, RES, Spring'!E$7</f>
        <v>10.820955439582496</v>
      </c>
      <c r="F5" s="9">
        <f>VLOOKUP($A5,'RES installed'!$A$2:$C$7,3,FALSE)*'[1]Profiles, RES, Spring'!F$7</f>
        <v>10.84805299076676</v>
      </c>
      <c r="G5" s="9">
        <f>VLOOKUP($A5,'RES installed'!$A$2:$C$7,3,FALSE)*'[1]Profiles, RES, Spring'!G$7</f>
        <v>9.6467282215977512</v>
      </c>
      <c r="H5" s="9">
        <f>VLOOKUP($A5,'RES installed'!$A$2:$C$7,3,FALSE)*'[1]Profiles, RES, Spring'!H$7</f>
        <v>8.2105580088317947</v>
      </c>
      <c r="I5" s="9">
        <f>VLOOKUP($A5,'RES installed'!$A$2:$C$7,3,FALSE)*'[1]Profiles, RES, Spring'!I$7</f>
        <v>6.1872741870734638</v>
      </c>
      <c r="J5" s="9">
        <f>VLOOKUP($A5,'RES installed'!$A$2:$C$7,3,FALSE)*'[1]Profiles, RES, Spring'!J$7</f>
        <v>5.2117623444399843</v>
      </c>
      <c r="K5" s="9">
        <f>VLOOKUP($A5,'RES installed'!$A$2:$C$7,3,FALSE)*'[1]Profiles, RES, Spring'!K$7</f>
        <v>5.6633881975110389</v>
      </c>
      <c r="L5" s="9">
        <f>VLOOKUP($A5,'RES installed'!$A$2:$C$7,3,FALSE)*'[1]Profiles, RES, Spring'!L$7</f>
        <v>6.6930951425130463</v>
      </c>
      <c r="M5" s="9">
        <f>VLOOKUP($A5,'RES installed'!$A$2:$C$7,3,FALSE)*'[1]Profiles, RES, Spring'!M$7</f>
        <v>6.6208350060216778</v>
      </c>
      <c r="N5" s="9">
        <f>VLOOKUP($A5,'RES installed'!$A$2:$C$7,3,FALSE)*'[1]Profiles, RES, Spring'!N$7</f>
        <v>7.6053793657165798</v>
      </c>
      <c r="O5" s="9">
        <f>VLOOKUP($A5,'RES installed'!$A$2:$C$7,3,FALSE)*'[1]Profiles, RES, Spring'!O$7</f>
        <v>9.7009233239662773</v>
      </c>
      <c r="P5" s="9">
        <f>VLOOKUP($A5,'RES installed'!$A$2:$C$7,3,FALSE)*'[1]Profiles, RES, Spring'!P$7</f>
        <v>11.326776395022078</v>
      </c>
      <c r="Q5" s="9">
        <f>VLOOKUP($A5,'RES installed'!$A$2:$C$7,3,FALSE)*'[1]Profiles, RES, Spring'!Q$7</f>
        <v>12.762946607788036</v>
      </c>
      <c r="R5" s="9">
        <f>VLOOKUP($A5,'RES installed'!$A$2:$C$7,3,FALSE)*'[1]Profiles, RES, Spring'!R$7</f>
        <v>14.343637093536733</v>
      </c>
      <c r="S5" s="9">
        <f>VLOOKUP($A5,'RES installed'!$A$2:$C$7,3,FALSE)*'[1]Profiles, RES, Spring'!S$7</f>
        <v>14.930750702529105</v>
      </c>
      <c r="T5" s="9">
        <f>VLOOKUP($A5,'RES installed'!$A$2:$C$7,3,FALSE)*'[1]Profiles, RES, Spring'!T$7</f>
        <v>14.939783219590526</v>
      </c>
      <c r="U5" s="9">
        <f>VLOOKUP($A5,'RES installed'!$A$2:$C$7,3,FALSE)*'[1]Profiles, RES, Spring'!U$7</f>
        <v>13.35909273384183</v>
      </c>
      <c r="V5" s="9">
        <f>VLOOKUP($A5,'RES installed'!$A$2:$C$7,3,FALSE)*'[1]Profiles, RES, Spring'!V$7</f>
        <v>12.753914090726616</v>
      </c>
      <c r="W5" s="9">
        <f>VLOOKUP($A5,'RES installed'!$A$2:$C$7,3,FALSE)*'[1]Profiles, RES, Spring'!W$7</f>
        <v>12.681653954235246</v>
      </c>
      <c r="X5" s="9">
        <f>VLOOKUP($A5,'RES installed'!$A$2:$C$7,3,FALSE)*'[1]Profiles, RES, Spring'!X$7</f>
        <v>12.889401846647933</v>
      </c>
      <c r="Y5" s="9">
        <f>VLOOKUP($A5,'RES installed'!$A$2:$C$7,3,FALSE)*'[1]Profiles, RES, Spring'!Y$7</f>
        <v>13.91910879164994</v>
      </c>
    </row>
    <row r="6" spans="1:25" x14ac:dyDescent="0.3">
      <c r="A6" s="8">
        <v>5</v>
      </c>
      <c r="B6" s="9">
        <f>VLOOKUP($A6,'RES installed'!$A$2:$C$7,3,FALSE)*'[1]Profiles, RES, Spring'!B$7</f>
        <v>14.86150140505821</v>
      </c>
      <c r="C6" s="9">
        <f>VLOOKUP($A6,'RES installed'!$A$2:$C$7,3,FALSE)*'[1]Profiles, RES, Spring'!C$7</f>
        <v>14.090726615816941</v>
      </c>
      <c r="D6" s="9">
        <f>VLOOKUP($A6,'RES installed'!$A$2:$C$7,3,FALSE)*'[1]Profiles, RES, Spring'!D$7</f>
        <v>13.705339221196308</v>
      </c>
      <c r="E6" s="9">
        <f>VLOOKUP($A6,'RES installed'!$A$2:$C$7,3,FALSE)*'[1]Profiles, RES, Spring'!E$7</f>
        <v>14.427940586109996</v>
      </c>
      <c r="F6" s="9">
        <f>VLOOKUP($A6,'RES installed'!$A$2:$C$7,3,FALSE)*'[1]Profiles, RES, Spring'!F$7</f>
        <v>14.46407065435568</v>
      </c>
      <c r="G6" s="9">
        <f>VLOOKUP($A6,'RES installed'!$A$2:$C$7,3,FALSE)*'[1]Profiles, RES, Spring'!G$7</f>
        <v>12.862304295463669</v>
      </c>
      <c r="H6" s="9">
        <f>VLOOKUP($A6,'RES installed'!$A$2:$C$7,3,FALSE)*'[1]Profiles, RES, Spring'!H$7</f>
        <v>10.947410678442393</v>
      </c>
      <c r="I6" s="9">
        <f>VLOOKUP($A6,'RES installed'!$A$2:$C$7,3,FALSE)*'[1]Profiles, RES, Spring'!I$7</f>
        <v>8.2496989160979517</v>
      </c>
      <c r="J6" s="9">
        <f>VLOOKUP($A6,'RES installed'!$A$2:$C$7,3,FALSE)*'[1]Profiles, RES, Spring'!J$7</f>
        <v>6.9490164592533121</v>
      </c>
      <c r="K6" s="9">
        <f>VLOOKUP($A6,'RES installed'!$A$2:$C$7,3,FALSE)*'[1]Profiles, RES, Spring'!K$7</f>
        <v>7.5511842633480528</v>
      </c>
      <c r="L6" s="9">
        <f>VLOOKUP($A6,'RES installed'!$A$2:$C$7,3,FALSE)*'[1]Profiles, RES, Spring'!L$7</f>
        <v>8.9241268566840617</v>
      </c>
      <c r="M6" s="9">
        <f>VLOOKUP($A6,'RES installed'!$A$2:$C$7,3,FALSE)*'[1]Profiles, RES, Spring'!M$7</f>
        <v>8.8277800080289044</v>
      </c>
      <c r="N6" s="9">
        <f>VLOOKUP($A6,'RES installed'!$A$2:$C$7,3,FALSE)*'[1]Profiles, RES, Spring'!N$7</f>
        <v>10.14050582095544</v>
      </c>
      <c r="O6" s="9">
        <f>VLOOKUP($A6,'RES installed'!$A$2:$C$7,3,FALSE)*'[1]Profiles, RES, Spring'!O$7</f>
        <v>12.934564431955037</v>
      </c>
      <c r="P6" s="9">
        <f>VLOOKUP($A6,'RES installed'!$A$2:$C$7,3,FALSE)*'[1]Profiles, RES, Spring'!P$7</f>
        <v>15.102368526696106</v>
      </c>
      <c r="Q6" s="9">
        <f>VLOOKUP($A6,'RES installed'!$A$2:$C$7,3,FALSE)*'[1]Profiles, RES, Spring'!Q$7</f>
        <v>17.017262143717382</v>
      </c>
      <c r="R6" s="9">
        <f>VLOOKUP($A6,'RES installed'!$A$2:$C$7,3,FALSE)*'[1]Profiles, RES, Spring'!R$7</f>
        <v>19.124849458048978</v>
      </c>
      <c r="S6" s="9">
        <f>VLOOKUP($A6,'RES installed'!$A$2:$C$7,3,FALSE)*'[1]Profiles, RES, Spring'!S$7</f>
        <v>19.90766760337214</v>
      </c>
      <c r="T6" s="9">
        <f>VLOOKUP($A6,'RES installed'!$A$2:$C$7,3,FALSE)*'[1]Profiles, RES, Spring'!T$7</f>
        <v>19.919710959454033</v>
      </c>
      <c r="U6" s="9">
        <f>VLOOKUP($A6,'RES installed'!$A$2:$C$7,3,FALSE)*'[1]Profiles, RES, Spring'!U$7</f>
        <v>17.812123645122441</v>
      </c>
      <c r="V6" s="9">
        <f>VLOOKUP($A6,'RES installed'!$A$2:$C$7,3,FALSE)*'[1]Profiles, RES, Spring'!V$7</f>
        <v>17.005218787635489</v>
      </c>
      <c r="W6" s="9">
        <f>VLOOKUP($A6,'RES installed'!$A$2:$C$7,3,FALSE)*'[1]Profiles, RES, Spring'!W$7</f>
        <v>16.908871938980326</v>
      </c>
      <c r="X6" s="9">
        <f>VLOOKUP($A6,'RES installed'!$A$2:$C$7,3,FALSE)*'[1]Profiles, RES, Spring'!X$7</f>
        <v>17.18586912886391</v>
      </c>
      <c r="Y6" s="9">
        <f>VLOOKUP($A6,'RES installed'!$A$2:$C$7,3,FALSE)*'[1]Profiles, RES, Spring'!Y$7</f>
        <v>18.55881172219992</v>
      </c>
    </row>
    <row r="7" spans="1:25" x14ac:dyDescent="0.3">
      <c r="A7" s="8">
        <v>6</v>
      </c>
      <c r="B7" s="9">
        <f>VLOOKUP($A7,'RES installed'!$A$2:$C$7,3,FALSE)*'[1]Profiles, RES, Spring'!B$7</f>
        <v>11.146126053793658</v>
      </c>
      <c r="C7" s="9">
        <f>VLOOKUP($A7,'RES installed'!$A$2:$C$7,3,FALSE)*'[1]Profiles, RES, Spring'!C$7</f>
        <v>10.568044961862705</v>
      </c>
      <c r="D7" s="9">
        <f>VLOOKUP($A7,'RES installed'!$A$2:$C$7,3,FALSE)*'[1]Profiles, RES, Spring'!D$7</f>
        <v>10.27900441589723</v>
      </c>
      <c r="E7" s="9">
        <f>VLOOKUP($A7,'RES installed'!$A$2:$C$7,3,FALSE)*'[1]Profiles, RES, Spring'!E$7</f>
        <v>10.820955439582496</v>
      </c>
      <c r="F7" s="9">
        <f>VLOOKUP($A7,'RES installed'!$A$2:$C$7,3,FALSE)*'[1]Profiles, RES, Spring'!F$7</f>
        <v>10.84805299076676</v>
      </c>
      <c r="G7" s="9">
        <f>VLOOKUP($A7,'RES installed'!$A$2:$C$7,3,FALSE)*'[1]Profiles, RES, Spring'!G$7</f>
        <v>9.6467282215977512</v>
      </c>
      <c r="H7" s="9">
        <f>VLOOKUP($A7,'RES installed'!$A$2:$C$7,3,FALSE)*'[1]Profiles, RES, Spring'!H$7</f>
        <v>8.2105580088317947</v>
      </c>
      <c r="I7" s="9">
        <f>VLOOKUP($A7,'RES installed'!$A$2:$C$7,3,FALSE)*'[1]Profiles, RES, Spring'!I$7</f>
        <v>6.1872741870734638</v>
      </c>
      <c r="J7" s="9">
        <f>VLOOKUP($A7,'RES installed'!$A$2:$C$7,3,FALSE)*'[1]Profiles, RES, Spring'!J$7</f>
        <v>5.2117623444399843</v>
      </c>
      <c r="K7" s="9">
        <f>VLOOKUP($A7,'RES installed'!$A$2:$C$7,3,FALSE)*'[1]Profiles, RES, Spring'!K$7</f>
        <v>5.6633881975110389</v>
      </c>
      <c r="L7" s="9">
        <f>VLOOKUP($A7,'RES installed'!$A$2:$C$7,3,FALSE)*'[1]Profiles, RES, Spring'!L$7</f>
        <v>6.6930951425130463</v>
      </c>
      <c r="M7" s="9">
        <f>VLOOKUP($A7,'RES installed'!$A$2:$C$7,3,FALSE)*'[1]Profiles, RES, Spring'!M$7</f>
        <v>6.6208350060216778</v>
      </c>
      <c r="N7" s="9">
        <f>VLOOKUP($A7,'RES installed'!$A$2:$C$7,3,FALSE)*'[1]Profiles, RES, Spring'!N$7</f>
        <v>7.6053793657165798</v>
      </c>
      <c r="O7" s="9">
        <f>VLOOKUP($A7,'RES installed'!$A$2:$C$7,3,FALSE)*'[1]Profiles, RES, Spring'!O$7</f>
        <v>9.7009233239662773</v>
      </c>
      <c r="P7" s="9">
        <f>VLOOKUP($A7,'RES installed'!$A$2:$C$7,3,FALSE)*'[1]Profiles, RES, Spring'!P$7</f>
        <v>11.326776395022078</v>
      </c>
      <c r="Q7" s="9">
        <f>VLOOKUP($A7,'RES installed'!$A$2:$C$7,3,FALSE)*'[1]Profiles, RES, Spring'!Q$7</f>
        <v>12.762946607788036</v>
      </c>
      <c r="R7" s="9">
        <f>VLOOKUP($A7,'RES installed'!$A$2:$C$7,3,FALSE)*'[1]Profiles, RES, Spring'!R$7</f>
        <v>14.343637093536733</v>
      </c>
      <c r="S7" s="9">
        <f>VLOOKUP($A7,'RES installed'!$A$2:$C$7,3,FALSE)*'[1]Profiles, RES, Spring'!S$7</f>
        <v>14.930750702529105</v>
      </c>
      <c r="T7" s="9">
        <f>VLOOKUP($A7,'RES installed'!$A$2:$C$7,3,FALSE)*'[1]Profiles, RES, Spring'!T$7</f>
        <v>14.939783219590526</v>
      </c>
      <c r="U7" s="9">
        <f>VLOOKUP($A7,'RES installed'!$A$2:$C$7,3,FALSE)*'[1]Profiles, RES, Spring'!U$7</f>
        <v>13.35909273384183</v>
      </c>
      <c r="V7" s="9">
        <f>VLOOKUP($A7,'RES installed'!$A$2:$C$7,3,FALSE)*'[1]Profiles, RES, Spring'!V$7</f>
        <v>12.753914090726616</v>
      </c>
      <c r="W7" s="9">
        <f>VLOOKUP($A7,'RES installed'!$A$2:$C$7,3,FALSE)*'[1]Profiles, RES, Spring'!W$7</f>
        <v>12.681653954235246</v>
      </c>
      <c r="X7" s="9">
        <f>VLOOKUP($A7,'RES installed'!$A$2:$C$7,3,FALSE)*'[1]Profiles, RES, Spring'!X$7</f>
        <v>12.889401846647933</v>
      </c>
      <c r="Y7" s="9">
        <f>VLOOKUP($A7,'RES installed'!$A$2:$C$7,3,FALSE)*'[1]Profiles, RES, Spring'!Y$7</f>
        <v>13.91910879164994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0.82448824867323733</v>
      </c>
      <c r="H8" s="6">
        <f>VLOOKUP($A8,'RES installed'!$A$2:$C$7,3,FALSE)*'[1]Profiles, RES, Spring'!H$4</f>
        <v>7.9037149355572396</v>
      </c>
      <c r="I8" s="6">
        <f>VLOOKUP($A8,'RES installed'!$A$2:$C$7,3,FALSE)*'[1]Profiles, RES, Spring'!I$4</f>
        <v>21.948445792266867</v>
      </c>
      <c r="J8" s="6">
        <f>VLOOKUP($A8,'RES installed'!$A$2:$C$7,3,FALSE)*'[1]Profiles, RES, Spring'!J$4</f>
        <v>35.225549658832449</v>
      </c>
      <c r="K8" s="6">
        <f>VLOOKUP($A8,'RES installed'!$A$2:$C$7,3,FALSE)*'[1]Profiles, RES, Spring'!K$4</f>
        <v>41.764594389689158</v>
      </c>
      <c r="L8" s="6">
        <f>VLOOKUP($A8,'RES installed'!$A$2:$C$7,3,FALSE)*'[1]Profiles, RES, Spring'!L$4</f>
        <v>46.171341925701284</v>
      </c>
      <c r="M8" s="6">
        <f>VLOOKUP($A8,'RES installed'!$A$2:$C$7,3,FALSE)*'[1]Profiles, RES, Spring'!M$4</f>
        <v>51.345716451857463</v>
      </c>
      <c r="N8" s="6">
        <f>VLOOKUP($A8,'RES installed'!$A$2:$C$7,3,FALSE)*'[1]Profiles, RES, Spring'!N$4</f>
        <v>50.123199393479908</v>
      </c>
      <c r="O8" s="6">
        <f>VLOOKUP($A8,'RES installed'!$A$2:$C$7,3,FALSE)*'[1]Profiles, RES, Spring'!O$4</f>
        <v>49.867323730098562</v>
      </c>
      <c r="P8" s="6">
        <f>VLOOKUP($A8,'RES installed'!$A$2:$C$7,3,FALSE)*'[1]Profiles, RES, Spring'!P$4</f>
        <v>50.208491281273687</v>
      </c>
      <c r="Q8" s="6">
        <f>VLOOKUP($A8,'RES installed'!$A$2:$C$7,3,FALSE)*'[1]Profiles, RES, Spring'!Q$4</f>
        <v>46.39878695981804</v>
      </c>
      <c r="R8" s="6">
        <f>VLOOKUP($A8,'RES installed'!$A$2:$C$7,3,FALSE)*'[1]Profiles, RES, Spring'!R$4</f>
        <v>37.727445034116755</v>
      </c>
      <c r="S8" s="6">
        <f>VLOOKUP($A8,'RES installed'!$A$2:$C$7,3,FALSE)*'[1]Profiles, RES, Spring'!S$4</f>
        <v>24.73464746019712</v>
      </c>
      <c r="T8" s="6">
        <f>VLOOKUP($A8,'RES installed'!$A$2:$C$7,3,FALSE)*'[1]Profiles, RES, Spring'!T$4</f>
        <v>8.7850644427596674</v>
      </c>
      <c r="U8" s="6">
        <f>VLOOKUP($A8,'RES installed'!$A$2:$C$7,3,FALSE)*'[1]Profiles, RES, Spring'!U$4</f>
        <v>0.90978013646702049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0.54965883244882485</v>
      </c>
      <c r="H9" s="6">
        <f>VLOOKUP($A9,'RES installed'!$A$2:$C$7,3,FALSE)*'[1]Profiles, RES, Spring'!H$4</f>
        <v>5.2691432903714936</v>
      </c>
      <c r="I9" s="6">
        <f>VLOOKUP($A9,'RES installed'!$A$2:$C$7,3,FALSE)*'[1]Profiles, RES, Spring'!I$4</f>
        <v>14.632297194844579</v>
      </c>
      <c r="J9" s="6">
        <f>VLOOKUP($A9,'RES installed'!$A$2:$C$7,3,FALSE)*'[1]Profiles, RES, Spring'!J$4</f>
        <v>23.483699772554967</v>
      </c>
      <c r="K9" s="6">
        <f>VLOOKUP($A9,'RES installed'!$A$2:$C$7,3,FALSE)*'[1]Profiles, RES, Spring'!K$4</f>
        <v>27.843062926459439</v>
      </c>
      <c r="L9" s="6">
        <f>VLOOKUP($A9,'RES installed'!$A$2:$C$7,3,FALSE)*'[1]Profiles, RES, Spring'!L$4</f>
        <v>30.780894617134191</v>
      </c>
      <c r="M9" s="6">
        <f>VLOOKUP($A9,'RES installed'!$A$2:$C$7,3,FALSE)*'[1]Profiles, RES, Spring'!M$4</f>
        <v>34.230477634571642</v>
      </c>
      <c r="N9" s="6">
        <f>VLOOKUP($A9,'RES installed'!$A$2:$C$7,3,FALSE)*'[1]Profiles, RES, Spring'!N$4</f>
        <v>33.415466262319939</v>
      </c>
      <c r="O9" s="6">
        <f>VLOOKUP($A9,'RES installed'!$A$2:$C$7,3,FALSE)*'[1]Profiles, RES, Spring'!O$4</f>
        <v>33.244882486732372</v>
      </c>
      <c r="P9" s="6">
        <f>VLOOKUP($A9,'RES installed'!$A$2:$C$7,3,FALSE)*'[1]Profiles, RES, Spring'!P$4</f>
        <v>33.472327520849127</v>
      </c>
      <c r="Q9" s="6">
        <f>VLOOKUP($A9,'RES installed'!$A$2:$C$7,3,FALSE)*'[1]Profiles, RES, Spring'!Q$4</f>
        <v>30.932524639878693</v>
      </c>
      <c r="R9" s="6">
        <f>VLOOKUP($A9,'RES installed'!$A$2:$C$7,3,FALSE)*'[1]Profiles, RES, Spring'!R$4</f>
        <v>25.151630022744502</v>
      </c>
      <c r="S9" s="6">
        <f>VLOOKUP($A9,'RES installed'!$A$2:$C$7,3,FALSE)*'[1]Profiles, RES, Spring'!S$4</f>
        <v>16.489764973464744</v>
      </c>
      <c r="T9" s="6">
        <f>VLOOKUP($A9,'RES installed'!$A$2:$C$7,3,FALSE)*'[1]Profiles, RES, Spring'!T$4</f>
        <v>5.8567096285064446</v>
      </c>
      <c r="U9" s="6">
        <f>VLOOKUP($A9,'RES installed'!$A$2:$C$7,3,FALSE)*'[1]Profiles, RES, Spring'!U$4</f>
        <v>0.60652009097801363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0.65959059893858984</v>
      </c>
      <c r="H10" s="6">
        <f>VLOOKUP($A10,'RES installed'!$A$2:$C$7,3,FALSE)*'[1]Profiles, RES, Spring'!H$4</f>
        <v>6.322971948445792</v>
      </c>
      <c r="I10" s="6">
        <f>VLOOKUP($A10,'RES installed'!$A$2:$C$7,3,FALSE)*'[1]Profiles, RES, Spring'!I$4</f>
        <v>17.558756633813495</v>
      </c>
      <c r="J10" s="6">
        <f>VLOOKUP($A10,'RES installed'!$A$2:$C$7,3,FALSE)*'[1]Profiles, RES, Spring'!J$4</f>
        <v>28.180439727065959</v>
      </c>
      <c r="K10" s="6">
        <f>VLOOKUP($A10,'RES installed'!$A$2:$C$7,3,FALSE)*'[1]Profiles, RES, Spring'!K$4</f>
        <v>33.411675511751326</v>
      </c>
      <c r="L10" s="6">
        <f>VLOOKUP($A10,'RES installed'!$A$2:$C$7,3,FALSE)*'[1]Profiles, RES, Spring'!L$4</f>
        <v>36.93707354056103</v>
      </c>
      <c r="M10" s="6">
        <f>VLOOKUP($A10,'RES installed'!$A$2:$C$7,3,FALSE)*'[1]Profiles, RES, Spring'!M$4</f>
        <v>41.076573161485975</v>
      </c>
      <c r="N10" s="6">
        <f>VLOOKUP($A10,'RES installed'!$A$2:$C$7,3,FALSE)*'[1]Profiles, RES, Spring'!N$4</f>
        <v>40.098559514783922</v>
      </c>
      <c r="O10" s="6">
        <f>VLOOKUP($A10,'RES installed'!$A$2:$C$7,3,FALSE)*'[1]Profiles, RES, Spring'!O$4</f>
        <v>39.893858984078847</v>
      </c>
      <c r="P10" s="6">
        <f>VLOOKUP($A10,'RES installed'!$A$2:$C$7,3,FALSE)*'[1]Profiles, RES, Spring'!P$4</f>
        <v>40.166793025018954</v>
      </c>
      <c r="Q10" s="6">
        <f>VLOOKUP($A10,'RES installed'!$A$2:$C$7,3,FALSE)*'[1]Profiles, RES, Spring'!Q$4</f>
        <v>37.119029567854433</v>
      </c>
      <c r="R10" s="6">
        <f>VLOOKUP($A10,'RES installed'!$A$2:$C$7,3,FALSE)*'[1]Profiles, RES, Spring'!R$4</f>
        <v>30.181956027293403</v>
      </c>
      <c r="S10" s="6">
        <f>VLOOKUP($A10,'RES installed'!$A$2:$C$7,3,FALSE)*'[1]Profiles, RES, Spring'!S$4</f>
        <v>19.787717968157697</v>
      </c>
      <c r="T10" s="6">
        <f>VLOOKUP($A10,'RES installed'!$A$2:$C$7,3,FALSE)*'[1]Profiles, RES, Spring'!T$4</f>
        <v>7.0280515542077335</v>
      </c>
      <c r="U10" s="6">
        <f>VLOOKUP($A10,'RES installed'!$A$2:$C$7,3,FALSE)*'[1]Profiles, RES, Spring'!U$4</f>
        <v>0.7278241091736164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B5C99-6CFD-4194-9CB5-EC46C97B209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11.615816940987557</v>
      </c>
      <c r="C5" s="9">
        <f>VLOOKUP($A5,'RES installed'!$A$2:$C$7,3,FALSE)*'[1]Profiles, RES, Spring'!C$5</f>
        <v>10.784825371336813</v>
      </c>
      <c r="D5" s="9">
        <f>VLOOKUP($A5,'RES installed'!$A$2:$C$7,3,FALSE)*'[1]Profiles, RES, Spring'!D$5</f>
        <v>10.839020473705339</v>
      </c>
      <c r="E5" s="9">
        <f>VLOOKUP($A5,'RES installed'!$A$2:$C$7,3,FALSE)*'[1]Profiles, RES, Spring'!E$5</f>
        <v>10.405459654757125</v>
      </c>
      <c r="F5" s="9">
        <f>VLOOKUP($A5,'RES installed'!$A$2:$C$7,3,FALSE)*'[1]Profiles, RES, Spring'!F$5</f>
        <v>10.306101967081492</v>
      </c>
      <c r="G5" s="9">
        <f>VLOOKUP($A5,'RES installed'!$A$2:$C$7,3,FALSE)*'[1]Profiles, RES, Spring'!G$5</f>
        <v>10.486752308309915</v>
      </c>
      <c r="H5" s="9">
        <f>VLOOKUP($A5,'RES installed'!$A$2:$C$7,3,FALSE)*'[1]Profiles, RES, Spring'!H$5</f>
        <v>9.4118827780008036</v>
      </c>
      <c r="I5" s="9">
        <f>VLOOKUP($A5,'RES installed'!$A$2:$C$7,3,FALSE)*'[1]Profiles, RES, Spring'!I$5</f>
        <v>7.5511842633480528</v>
      </c>
      <c r="J5" s="9">
        <f>VLOOKUP($A5,'RES installed'!$A$2:$C$7,3,FALSE)*'[1]Profiles, RES, Spring'!J$5</f>
        <v>5.9524287434765153</v>
      </c>
      <c r="K5" s="9">
        <f>VLOOKUP($A5,'RES installed'!$A$2:$C$7,3,FALSE)*'[1]Profiles, RES, Spring'!K$5</f>
        <v>4.4981934965877164</v>
      </c>
      <c r="L5" s="9">
        <f>VLOOKUP($A5,'RES installed'!$A$2:$C$7,3,FALSE)*'[1]Profiles, RES, Spring'!L$5</f>
        <v>4.2723805700521877</v>
      </c>
      <c r="M5" s="9">
        <f>VLOOKUP($A5,'RES installed'!$A$2:$C$7,3,FALSE)*'[1]Profiles, RES, Spring'!M$5</f>
        <v>5.2027298273785627</v>
      </c>
      <c r="N5" s="9">
        <f>VLOOKUP($A5,'RES installed'!$A$2:$C$7,3,FALSE)*'[1]Profiles, RES, Spring'!N$5</f>
        <v>6.8737454837414687</v>
      </c>
      <c r="O5" s="9">
        <f>VLOOKUP($A5,'RES installed'!$A$2:$C$7,3,FALSE)*'[1]Profiles, RES, Spring'!O$5</f>
        <v>9.5022079486150144</v>
      </c>
      <c r="P5" s="9">
        <f>VLOOKUP($A5,'RES installed'!$A$2:$C$7,3,FALSE)*'[1]Profiles, RES, Spring'!P$5</f>
        <v>12.401645925331193</v>
      </c>
      <c r="Q5" s="9">
        <f>VLOOKUP($A5,'RES installed'!$A$2:$C$7,3,FALSE)*'[1]Profiles, RES, Spring'!Q$5</f>
        <v>15.472701726214373</v>
      </c>
      <c r="R5" s="9">
        <f>VLOOKUP($A5,'RES installed'!$A$2:$C$7,3,FALSE)*'[1]Profiles, RES, Spring'!R$5</f>
        <v>19.26635889201124</v>
      </c>
      <c r="S5" s="9">
        <f>VLOOKUP($A5,'RES installed'!$A$2:$C$7,3,FALSE)*'[1]Profiles, RES, Spring'!S$5</f>
        <v>21.389000401445202</v>
      </c>
      <c r="T5" s="9">
        <f>VLOOKUP($A5,'RES installed'!$A$2:$C$7,3,FALSE)*'[1]Profiles, RES, Spring'!T$5</f>
        <v>21.461260537936575</v>
      </c>
      <c r="U5" s="9">
        <f>VLOOKUP($A5,'RES installed'!$A$2:$C$7,3,FALSE)*'[1]Profiles, RES, Spring'!U$5</f>
        <v>20.901244480128462</v>
      </c>
      <c r="V5" s="9">
        <f>VLOOKUP($A5,'RES installed'!$A$2:$C$7,3,FALSE)*'[1]Profiles, RES, Spring'!V$5</f>
        <v>18.950220794861501</v>
      </c>
      <c r="W5" s="9">
        <f>VLOOKUP($A5,'RES installed'!$A$2:$C$7,3,FALSE)*'[1]Profiles, RES, Spring'!W$5</f>
        <v>17.514050582095543</v>
      </c>
      <c r="X5" s="9">
        <f>VLOOKUP($A5,'RES installed'!$A$2:$C$7,3,FALSE)*'[1]Profiles, RES, Spring'!X$5</f>
        <v>17.48695303091128</v>
      </c>
      <c r="Y5" s="9">
        <f>VLOOKUP($A5,'RES installed'!$A$2:$C$7,3,FALSE)*'[1]Profiles, RES, Spring'!Y$5</f>
        <v>16.583701324769169</v>
      </c>
    </row>
    <row r="6" spans="1:25" x14ac:dyDescent="0.3">
      <c r="A6" s="8">
        <v>5</v>
      </c>
      <c r="B6" s="9">
        <f>VLOOKUP($A6,'RES installed'!$A$2:$C$7,3,FALSE)*'[1]Profiles, RES, Spring'!B$5</f>
        <v>15.487755921316742</v>
      </c>
      <c r="C6" s="9">
        <f>VLOOKUP($A6,'RES installed'!$A$2:$C$7,3,FALSE)*'[1]Profiles, RES, Spring'!C$5</f>
        <v>14.379767161782416</v>
      </c>
      <c r="D6" s="9">
        <f>VLOOKUP($A6,'RES installed'!$A$2:$C$7,3,FALSE)*'[1]Profiles, RES, Spring'!D$5</f>
        <v>14.452027298273785</v>
      </c>
      <c r="E6" s="9">
        <f>VLOOKUP($A6,'RES installed'!$A$2:$C$7,3,FALSE)*'[1]Profiles, RES, Spring'!E$5</f>
        <v>13.873946206342834</v>
      </c>
      <c r="F6" s="9">
        <f>VLOOKUP($A6,'RES installed'!$A$2:$C$7,3,FALSE)*'[1]Profiles, RES, Spring'!F$5</f>
        <v>13.741469289441991</v>
      </c>
      <c r="G6" s="9">
        <f>VLOOKUP($A6,'RES installed'!$A$2:$C$7,3,FALSE)*'[1]Profiles, RES, Spring'!G$5</f>
        <v>13.982336411079887</v>
      </c>
      <c r="H6" s="9">
        <f>VLOOKUP($A6,'RES installed'!$A$2:$C$7,3,FALSE)*'[1]Profiles, RES, Spring'!H$5</f>
        <v>12.549177037334404</v>
      </c>
      <c r="I6" s="9">
        <f>VLOOKUP($A6,'RES installed'!$A$2:$C$7,3,FALSE)*'[1]Profiles, RES, Spring'!I$5</f>
        <v>10.06824568446407</v>
      </c>
      <c r="J6" s="9">
        <f>VLOOKUP($A6,'RES installed'!$A$2:$C$7,3,FALSE)*'[1]Profiles, RES, Spring'!J$5</f>
        <v>7.9365716579686874</v>
      </c>
      <c r="K6" s="9">
        <f>VLOOKUP($A6,'RES installed'!$A$2:$C$7,3,FALSE)*'[1]Profiles, RES, Spring'!K$5</f>
        <v>5.9975913287836216</v>
      </c>
      <c r="L6" s="9">
        <f>VLOOKUP($A6,'RES installed'!$A$2:$C$7,3,FALSE)*'[1]Profiles, RES, Spring'!L$5</f>
        <v>5.6965074267362503</v>
      </c>
      <c r="M6" s="9">
        <f>VLOOKUP($A6,'RES installed'!$A$2:$C$7,3,FALSE)*'[1]Profiles, RES, Spring'!M$5</f>
        <v>6.9369731031714172</v>
      </c>
      <c r="N6" s="9">
        <f>VLOOKUP($A6,'RES installed'!$A$2:$C$7,3,FALSE)*'[1]Profiles, RES, Spring'!N$5</f>
        <v>9.1649939783219594</v>
      </c>
      <c r="O6" s="9">
        <f>VLOOKUP($A6,'RES installed'!$A$2:$C$7,3,FALSE)*'[1]Profiles, RES, Spring'!O$5</f>
        <v>12.669610598153353</v>
      </c>
      <c r="P6" s="9">
        <f>VLOOKUP($A6,'RES installed'!$A$2:$C$7,3,FALSE)*'[1]Profiles, RES, Spring'!P$5</f>
        <v>16.53552790044159</v>
      </c>
      <c r="Q6" s="9">
        <f>VLOOKUP($A6,'RES installed'!$A$2:$C$7,3,FALSE)*'[1]Profiles, RES, Spring'!Q$5</f>
        <v>20.630268968285829</v>
      </c>
      <c r="R6" s="9">
        <f>VLOOKUP($A6,'RES installed'!$A$2:$C$7,3,FALSE)*'[1]Profiles, RES, Spring'!R$5</f>
        <v>25.688478522681656</v>
      </c>
      <c r="S6" s="9">
        <f>VLOOKUP($A6,'RES installed'!$A$2:$C$7,3,FALSE)*'[1]Profiles, RES, Spring'!S$5</f>
        <v>28.518667201926938</v>
      </c>
      <c r="T6" s="9">
        <f>VLOOKUP($A6,'RES installed'!$A$2:$C$7,3,FALSE)*'[1]Profiles, RES, Spring'!T$5</f>
        <v>28.615014050582097</v>
      </c>
      <c r="U6" s="9">
        <f>VLOOKUP($A6,'RES installed'!$A$2:$C$7,3,FALSE)*'[1]Profiles, RES, Spring'!U$5</f>
        <v>27.868325973504618</v>
      </c>
      <c r="V6" s="9">
        <f>VLOOKUP($A6,'RES installed'!$A$2:$C$7,3,FALSE)*'[1]Profiles, RES, Spring'!V$5</f>
        <v>25.266961059815333</v>
      </c>
      <c r="W6" s="9">
        <f>VLOOKUP($A6,'RES installed'!$A$2:$C$7,3,FALSE)*'[1]Profiles, RES, Spring'!W$5</f>
        <v>23.352067442794059</v>
      </c>
      <c r="X6" s="9">
        <f>VLOOKUP($A6,'RES installed'!$A$2:$C$7,3,FALSE)*'[1]Profiles, RES, Spring'!X$5</f>
        <v>23.315937374548376</v>
      </c>
      <c r="Y6" s="9">
        <f>VLOOKUP($A6,'RES installed'!$A$2:$C$7,3,FALSE)*'[1]Profiles, RES, Spring'!Y$5</f>
        <v>22.111601766358891</v>
      </c>
    </row>
    <row r="7" spans="1:25" x14ac:dyDescent="0.3">
      <c r="A7" s="8">
        <v>6</v>
      </c>
      <c r="B7" s="9">
        <f>VLOOKUP($A7,'RES installed'!$A$2:$C$7,3,FALSE)*'[1]Profiles, RES, Spring'!B$5</f>
        <v>11.615816940987557</v>
      </c>
      <c r="C7" s="9">
        <f>VLOOKUP($A7,'RES installed'!$A$2:$C$7,3,FALSE)*'[1]Profiles, RES, Spring'!C$5</f>
        <v>10.784825371336813</v>
      </c>
      <c r="D7" s="9">
        <f>VLOOKUP($A7,'RES installed'!$A$2:$C$7,3,FALSE)*'[1]Profiles, RES, Spring'!D$5</f>
        <v>10.839020473705339</v>
      </c>
      <c r="E7" s="9">
        <f>VLOOKUP($A7,'RES installed'!$A$2:$C$7,3,FALSE)*'[1]Profiles, RES, Spring'!E$5</f>
        <v>10.405459654757125</v>
      </c>
      <c r="F7" s="9">
        <f>VLOOKUP($A7,'RES installed'!$A$2:$C$7,3,FALSE)*'[1]Profiles, RES, Spring'!F$5</f>
        <v>10.306101967081492</v>
      </c>
      <c r="G7" s="9">
        <f>VLOOKUP($A7,'RES installed'!$A$2:$C$7,3,FALSE)*'[1]Profiles, RES, Spring'!G$5</f>
        <v>10.486752308309915</v>
      </c>
      <c r="H7" s="9">
        <f>VLOOKUP($A7,'RES installed'!$A$2:$C$7,3,FALSE)*'[1]Profiles, RES, Spring'!H$5</f>
        <v>9.4118827780008036</v>
      </c>
      <c r="I7" s="9">
        <f>VLOOKUP($A7,'RES installed'!$A$2:$C$7,3,FALSE)*'[1]Profiles, RES, Spring'!I$5</f>
        <v>7.5511842633480528</v>
      </c>
      <c r="J7" s="9">
        <f>VLOOKUP($A7,'RES installed'!$A$2:$C$7,3,FALSE)*'[1]Profiles, RES, Spring'!J$5</f>
        <v>5.9524287434765153</v>
      </c>
      <c r="K7" s="9">
        <f>VLOOKUP($A7,'RES installed'!$A$2:$C$7,3,FALSE)*'[1]Profiles, RES, Spring'!K$5</f>
        <v>4.4981934965877164</v>
      </c>
      <c r="L7" s="9">
        <f>VLOOKUP($A7,'RES installed'!$A$2:$C$7,3,FALSE)*'[1]Profiles, RES, Spring'!L$5</f>
        <v>4.2723805700521877</v>
      </c>
      <c r="M7" s="9">
        <f>VLOOKUP($A7,'RES installed'!$A$2:$C$7,3,FALSE)*'[1]Profiles, RES, Spring'!M$5</f>
        <v>5.2027298273785627</v>
      </c>
      <c r="N7" s="9">
        <f>VLOOKUP($A7,'RES installed'!$A$2:$C$7,3,FALSE)*'[1]Profiles, RES, Spring'!N$5</f>
        <v>6.8737454837414687</v>
      </c>
      <c r="O7" s="9">
        <f>VLOOKUP($A7,'RES installed'!$A$2:$C$7,3,FALSE)*'[1]Profiles, RES, Spring'!O$5</f>
        <v>9.5022079486150144</v>
      </c>
      <c r="P7" s="9">
        <f>VLOOKUP($A7,'RES installed'!$A$2:$C$7,3,FALSE)*'[1]Profiles, RES, Spring'!P$5</f>
        <v>12.401645925331193</v>
      </c>
      <c r="Q7" s="9">
        <f>VLOOKUP($A7,'RES installed'!$A$2:$C$7,3,FALSE)*'[1]Profiles, RES, Spring'!Q$5</f>
        <v>15.472701726214373</v>
      </c>
      <c r="R7" s="9">
        <f>VLOOKUP($A7,'RES installed'!$A$2:$C$7,3,FALSE)*'[1]Profiles, RES, Spring'!R$5</f>
        <v>19.26635889201124</v>
      </c>
      <c r="S7" s="9">
        <f>VLOOKUP($A7,'RES installed'!$A$2:$C$7,3,FALSE)*'[1]Profiles, RES, Spring'!S$5</f>
        <v>21.389000401445202</v>
      </c>
      <c r="T7" s="9">
        <f>VLOOKUP($A7,'RES installed'!$A$2:$C$7,3,FALSE)*'[1]Profiles, RES, Spring'!T$5</f>
        <v>21.461260537936575</v>
      </c>
      <c r="U7" s="9">
        <f>VLOOKUP($A7,'RES installed'!$A$2:$C$7,3,FALSE)*'[1]Profiles, RES, Spring'!U$5</f>
        <v>20.901244480128462</v>
      </c>
      <c r="V7" s="9">
        <f>VLOOKUP($A7,'RES installed'!$A$2:$C$7,3,FALSE)*'[1]Profiles, RES, Spring'!V$5</f>
        <v>18.950220794861501</v>
      </c>
      <c r="W7" s="9">
        <f>VLOOKUP($A7,'RES installed'!$A$2:$C$7,3,FALSE)*'[1]Profiles, RES, Spring'!W$5</f>
        <v>17.514050582095543</v>
      </c>
      <c r="X7" s="9">
        <f>VLOOKUP($A7,'RES installed'!$A$2:$C$7,3,FALSE)*'[1]Profiles, RES, Spring'!X$5</f>
        <v>17.48695303091128</v>
      </c>
      <c r="Y7" s="9">
        <f>VLOOKUP($A7,'RES installed'!$A$2:$C$7,3,FALSE)*'[1]Profiles, RES, Spring'!Y$5</f>
        <v>16.583701324769169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0.71076573161485967</v>
      </c>
      <c r="H8" s="6">
        <f>VLOOKUP($A8,'RES installed'!$A$2:$C$7,3,FALSE)*'[1]Profiles, RES, Spring'!H$2</f>
        <v>7.136087945413192</v>
      </c>
      <c r="I8" s="6">
        <f>VLOOKUP($A8,'RES installed'!$A$2:$C$7,3,FALSE)*'[1]Profiles, RES, Spring'!I$2</f>
        <v>19.929871114480665</v>
      </c>
      <c r="J8" s="6">
        <f>VLOOKUP($A8,'RES installed'!$A$2:$C$7,3,FALSE)*'[1]Profiles, RES, Spring'!J$2</f>
        <v>30.790371493555725</v>
      </c>
      <c r="K8" s="6">
        <f>VLOOKUP($A8,'RES installed'!$A$2:$C$7,3,FALSE)*'[1]Profiles, RES, Spring'!K$2</f>
        <v>36.021607278241092</v>
      </c>
      <c r="L8" s="6">
        <f>VLOOKUP($A8,'RES installed'!$A$2:$C$7,3,FALSE)*'[1]Profiles, RES, Spring'!L$2</f>
        <v>41.167551175132679</v>
      </c>
      <c r="M8" s="6">
        <f>VLOOKUP($A8,'RES installed'!$A$2:$C$7,3,FALSE)*'[1]Profiles, RES, Spring'!M$2</f>
        <v>43.385140257771042</v>
      </c>
      <c r="N8" s="6">
        <f>VLOOKUP($A8,'RES installed'!$A$2:$C$7,3,FALSE)*'[1]Profiles, RES, Spring'!N$2</f>
        <v>46.796815769522368</v>
      </c>
      <c r="O8" s="6">
        <f>VLOOKUP($A8,'RES installed'!$A$2:$C$7,3,FALSE)*'[1]Profiles, RES, Spring'!O$2</f>
        <v>47.052691432903721</v>
      </c>
      <c r="P8" s="6">
        <f>VLOOKUP($A8,'RES installed'!$A$2:$C$7,3,FALSE)*'[1]Profiles, RES, Spring'!P$2</f>
        <v>47.30856709628506</v>
      </c>
      <c r="Q8" s="6">
        <f>VLOOKUP($A8,'RES installed'!$A$2:$C$7,3,FALSE)*'[1]Profiles, RES, Spring'!Q$2</f>
        <v>43.271417740712657</v>
      </c>
      <c r="R8" s="6">
        <f>VLOOKUP($A8,'RES installed'!$A$2:$C$7,3,FALSE)*'[1]Profiles, RES, Spring'!R$2</f>
        <v>34.429492039423806</v>
      </c>
      <c r="S8" s="6">
        <f>VLOOKUP($A8,'RES installed'!$A$2:$C$7,3,FALSE)*'[1]Profiles, RES, Spring'!S$2</f>
        <v>22.687642153146324</v>
      </c>
      <c r="T8" s="6">
        <f>VLOOKUP($A8,'RES installed'!$A$2:$C$7,3,FALSE)*'[1]Profiles, RES, Spring'!T$2</f>
        <v>8.3586050037907516</v>
      </c>
      <c r="U8" s="6">
        <f>VLOOKUP($A8,'RES installed'!$A$2:$C$7,3,FALSE)*'[1]Profiles, RES, Spring'!U$2</f>
        <v>0.73919636087945406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0.47384382107657314</v>
      </c>
      <c r="H9" s="6">
        <f>VLOOKUP($A9,'RES installed'!$A$2:$C$7,3,FALSE)*'[1]Profiles, RES, Spring'!H$2</f>
        <v>4.7573919636087947</v>
      </c>
      <c r="I9" s="6">
        <f>VLOOKUP($A9,'RES installed'!$A$2:$C$7,3,FALSE)*'[1]Profiles, RES, Spring'!I$2</f>
        <v>13.286580742987111</v>
      </c>
      <c r="J9" s="6">
        <f>VLOOKUP($A9,'RES installed'!$A$2:$C$7,3,FALSE)*'[1]Profiles, RES, Spring'!J$2</f>
        <v>20.526914329037147</v>
      </c>
      <c r="K9" s="6">
        <f>VLOOKUP($A9,'RES installed'!$A$2:$C$7,3,FALSE)*'[1]Profiles, RES, Spring'!K$2</f>
        <v>24.014404852160727</v>
      </c>
      <c r="L9" s="6">
        <f>VLOOKUP($A9,'RES installed'!$A$2:$C$7,3,FALSE)*'[1]Profiles, RES, Spring'!L$2</f>
        <v>27.445034116755117</v>
      </c>
      <c r="M9" s="6">
        <f>VLOOKUP($A9,'RES installed'!$A$2:$C$7,3,FALSE)*'[1]Profiles, RES, Spring'!M$2</f>
        <v>28.923426838514025</v>
      </c>
      <c r="N9" s="6">
        <f>VLOOKUP($A9,'RES installed'!$A$2:$C$7,3,FALSE)*'[1]Profiles, RES, Spring'!N$2</f>
        <v>31.197877179681576</v>
      </c>
      <c r="O9" s="6">
        <f>VLOOKUP($A9,'RES installed'!$A$2:$C$7,3,FALSE)*'[1]Profiles, RES, Spring'!O$2</f>
        <v>31.368460955269146</v>
      </c>
      <c r="P9" s="6">
        <f>VLOOKUP($A9,'RES installed'!$A$2:$C$7,3,FALSE)*'[1]Profiles, RES, Spring'!P$2</f>
        <v>31.539044730856709</v>
      </c>
      <c r="Q9" s="6">
        <f>VLOOKUP($A9,'RES installed'!$A$2:$C$7,3,FALSE)*'[1]Profiles, RES, Spring'!Q$2</f>
        <v>28.847611827141773</v>
      </c>
      <c r="R9" s="6">
        <f>VLOOKUP($A9,'RES installed'!$A$2:$C$7,3,FALSE)*'[1]Profiles, RES, Spring'!R$2</f>
        <v>22.952994692949204</v>
      </c>
      <c r="S9" s="6">
        <f>VLOOKUP($A9,'RES installed'!$A$2:$C$7,3,FALSE)*'[1]Profiles, RES, Spring'!S$2</f>
        <v>15.125094768764216</v>
      </c>
      <c r="T9" s="6">
        <f>VLOOKUP($A9,'RES installed'!$A$2:$C$7,3,FALSE)*'[1]Profiles, RES, Spring'!T$2</f>
        <v>5.5724033358605007</v>
      </c>
      <c r="U9" s="6">
        <f>VLOOKUP($A9,'RES installed'!$A$2:$C$7,3,FALSE)*'[1]Profiles, RES, Spring'!U$2</f>
        <v>0.49279757391963608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0.56861258529188774</v>
      </c>
      <c r="H10" s="6">
        <f>VLOOKUP($A10,'RES installed'!$A$2:$C$7,3,FALSE)*'[1]Profiles, RES, Spring'!H$2</f>
        <v>5.7088703563305536</v>
      </c>
      <c r="I10" s="6">
        <f>VLOOKUP($A10,'RES installed'!$A$2:$C$7,3,FALSE)*'[1]Profiles, RES, Spring'!I$2</f>
        <v>15.943896891584533</v>
      </c>
      <c r="J10" s="6">
        <f>VLOOKUP($A10,'RES installed'!$A$2:$C$7,3,FALSE)*'[1]Profiles, RES, Spring'!J$2</f>
        <v>24.632297194844579</v>
      </c>
      <c r="K10" s="6">
        <f>VLOOKUP($A10,'RES installed'!$A$2:$C$7,3,FALSE)*'[1]Profiles, RES, Spring'!K$2</f>
        <v>28.817285822592876</v>
      </c>
      <c r="L10" s="6">
        <f>VLOOKUP($A10,'RES installed'!$A$2:$C$7,3,FALSE)*'[1]Profiles, RES, Spring'!L$2</f>
        <v>32.934040940106144</v>
      </c>
      <c r="M10" s="6">
        <f>VLOOKUP($A10,'RES installed'!$A$2:$C$7,3,FALSE)*'[1]Profiles, RES, Spring'!M$2</f>
        <v>34.708112206216832</v>
      </c>
      <c r="N10" s="6">
        <f>VLOOKUP($A10,'RES installed'!$A$2:$C$7,3,FALSE)*'[1]Profiles, RES, Spring'!N$2</f>
        <v>37.437452615617893</v>
      </c>
      <c r="O10" s="6">
        <f>VLOOKUP($A10,'RES installed'!$A$2:$C$7,3,FALSE)*'[1]Profiles, RES, Spring'!O$2</f>
        <v>37.642153146322975</v>
      </c>
      <c r="P10" s="6">
        <f>VLOOKUP($A10,'RES installed'!$A$2:$C$7,3,FALSE)*'[1]Profiles, RES, Spring'!P$2</f>
        <v>37.846853677028051</v>
      </c>
      <c r="Q10" s="6">
        <f>VLOOKUP($A10,'RES installed'!$A$2:$C$7,3,FALSE)*'[1]Profiles, RES, Spring'!Q$2</f>
        <v>34.617134192570127</v>
      </c>
      <c r="R10" s="6">
        <f>VLOOKUP($A10,'RES installed'!$A$2:$C$7,3,FALSE)*'[1]Profiles, RES, Spring'!R$2</f>
        <v>27.543593631539046</v>
      </c>
      <c r="S10" s="6">
        <f>VLOOKUP($A10,'RES installed'!$A$2:$C$7,3,FALSE)*'[1]Profiles, RES, Spring'!S$2</f>
        <v>18.150113722517059</v>
      </c>
      <c r="T10" s="6">
        <f>VLOOKUP($A10,'RES installed'!$A$2:$C$7,3,FALSE)*'[1]Profiles, RES, Spring'!T$2</f>
        <v>6.6868840030326009</v>
      </c>
      <c r="U10" s="6">
        <f>VLOOKUP($A10,'RES installed'!$A$2:$C$7,3,FALSE)*'[1]Profiles, RES, Spring'!U$2</f>
        <v>0.59135708870356329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F42AE-FA04-479C-87E0-280EEE6608D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15.228823765556003</v>
      </c>
      <c r="C5" s="9">
        <f>VLOOKUP($A5,'RES installed'!$A$2:$C$7,3,FALSE)*'[1]Profiles, RES, Spring'!C$6</f>
        <v>13.819751103974308</v>
      </c>
      <c r="D5" s="9">
        <f>VLOOKUP($A5,'RES installed'!$A$2:$C$7,3,FALSE)*'[1]Profiles, RES, Spring'!D$6</f>
        <v>12.058410276997192</v>
      </c>
      <c r="E5" s="9">
        <f>VLOOKUP($A5,'RES installed'!$A$2:$C$7,3,FALSE)*'[1]Profiles, RES, Spring'!E$6</f>
        <v>10.857085507828181</v>
      </c>
      <c r="F5" s="9">
        <f>VLOOKUP($A5,'RES installed'!$A$2:$C$7,3,FALSE)*'[1]Profiles, RES, Spring'!F$6</f>
        <v>10.613207547169811</v>
      </c>
      <c r="G5" s="9">
        <f>VLOOKUP($A5,'RES installed'!$A$2:$C$7,3,FALSE)*'[1]Profiles, RES, Spring'!G$6</f>
        <v>10.730630268968287</v>
      </c>
      <c r="H5" s="9">
        <f>VLOOKUP($A5,'RES installed'!$A$2:$C$7,3,FALSE)*'[1]Profiles, RES, Spring'!H$6</f>
        <v>9.1589723002810111</v>
      </c>
      <c r="I5" s="9">
        <f>VLOOKUP($A5,'RES installed'!$A$2:$C$7,3,FALSE)*'[1]Profiles, RES, Spring'!I$6</f>
        <v>6.8918105178643119</v>
      </c>
      <c r="J5" s="9">
        <f>VLOOKUP($A5,'RES installed'!$A$2:$C$7,3,FALSE)*'[1]Profiles, RES, Spring'!J$6</f>
        <v>6.2775993576876754</v>
      </c>
      <c r="K5" s="9">
        <f>VLOOKUP($A5,'RES installed'!$A$2:$C$7,3,FALSE)*'[1]Profiles, RES, Spring'!K$6</f>
        <v>6.5395423524688878</v>
      </c>
      <c r="L5" s="9">
        <f>VLOOKUP($A5,'RES installed'!$A$2:$C$7,3,FALSE)*'[1]Profiles, RES, Spring'!L$6</f>
        <v>7.3253713368125251</v>
      </c>
      <c r="M5" s="9">
        <f>VLOOKUP($A5,'RES installed'!$A$2:$C$7,3,FALSE)*'[1]Profiles, RES, Spring'!M$6</f>
        <v>8.4002408671216386</v>
      </c>
      <c r="N5" s="9">
        <f>VLOOKUP($A5,'RES installed'!$A$2:$C$7,3,FALSE)*'[1]Profiles, RES, Spring'!N$6</f>
        <v>10.92031312725813</v>
      </c>
      <c r="O5" s="9">
        <f>VLOOKUP($A5,'RES installed'!$A$2:$C$7,3,FALSE)*'[1]Profiles, RES, Spring'!O$6</f>
        <v>13.557808109193095</v>
      </c>
      <c r="P5" s="9">
        <f>VLOOKUP($A5,'RES installed'!$A$2:$C$7,3,FALSE)*'[1]Profiles, RES, Spring'!P$6</f>
        <v>15.400441589723002</v>
      </c>
      <c r="Q5" s="9">
        <f>VLOOKUP($A5,'RES installed'!$A$2:$C$7,3,FALSE)*'[1]Profiles, RES, Spring'!Q$6</f>
        <v>16.945002007226016</v>
      </c>
      <c r="R5" s="9">
        <f>VLOOKUP($A5,'RES installed'!$A$2:$C$7,3,FALSE)*'[1]Profiles, RES, Spring'!R$6</f>
        <v>18.570855078281813</v>
      </c>
      <c r="S5" s="9">
        <f>VLOOKUP($A5,'RES installed'!$A$2:$C$7,3,FALSE)*'[1]Profiles, RES, Spring'!S$6</f>
        <v>17.766961059815333</v>
      </c>
      <c r="T5" s="9">
        <f>VLOOKUP($A5,'RES installed'!$A$2:$C$7,3,FALSE)*'[1]Profiles, RES, Spring'!T$6</f>
        <v>15.716579686872743</v>
      </c>
      <c r="U5" s="9">
        <f>VLOOKUP($A5,'RES installed'!$A$2:$C$7,3,FALSE)*'[1]Profiles, RES, Spring'!U$6</f>
        <v>15.120433560818947</v>
      </c>
      <c r="V5" s="9">
        <f>VLOOKUP($A5,'RES installed'!$A$2:$C$7,3,FALSE)*'[1]Profiles, RES, Spring'!V$6</f>
        <v>14.063629064632678</v>
      </c>
      <c r="W5" s="9">
        <f>VLOOKUP($A5,'RES installed'!$A$2:$C$7,3,FALSE)*'[1]Profiles, RES, Spring'!W$6</f>
        <v>13.341027699718989</v>
      </c>
      <c r="X5" s="9">
        <f>VLOOKUP($A5,'RES installed'!$A$2:$C$7,3,FALSE)*'[1]Profiles, RES, Spring'!X$6</f>
        <v>12.094540345242873</v>
      </c>
      <c r="Y5" s="9">
        <f>VLOOKUP($A5,'RES installed'!$A$2:$C$7,3,FALSE)*'[1]Profiles, RES, Spring'!Y$6</f>
        <v>10.784825371336813</v>
      </c>
    </row>
    <row r="6" spans="1:25" x14ac:dyDescent="0.3">
      <c r="A6" s="8">
        <v>5</v>
      </c>
      <c r="B6" s="9">
        <f>VLOOKUP($A6,'RES installed'!$A$2:$C$7,3,FALSE)*'[1]Profiles, RES, Spring'!B$6</f>
        <v>20.305098354074669</v>
      </c>
      <c r="C6" s="9">
        <f>VLOOKUP($A6,'RES installed'!$A$2:$C$7,3,FALSE)*'[1]Profiles, RES, Spring'!C$6</f>
        <v>18.426334805299078</v>
      </c>
      <c r="D6" s="9">
        <f>VLOOKUP($A6,'RES installed'!$A$2:$C$7,3,FALSE)*'[1]Profiles, RES, Spring'!D$6</f>
        <v>16.077880369329588</v>
      </c>
      <c r="E6" s="9">
        <f>VLOOKUP($A6,'RES installed'!$A$2:$C$7,3,FALSE)*'[1]Profiles, RES, Spring'!E$6</f>
        <v>14.476114010437575</v>
      </c>
      <c r="F6" s="9">
        <f>VLOOKUP($A6,'RES installed'!$A$2:$C$7,3,FALSE)*'[1]Profiles, RES, Spring'!F$6</f>
        <v>14.150943396226415</v>
      </c>
      <c r="G6" s="9">
        <f>VLOOKUP($A6,'RES installed'!$A$2:$C$7,3,FALSE)*'[1]Profiles, RES, Spring'!G$6</f>
        <v>14.307507025291049</v>
      </c>
      <c r="H6" s="9">
        <f>VLOOKUP($A6,'RES installed'!$A$2:$C$7,3,FALSE)*'[1]Profiles, RES, Spring'!H$6</f>
        <v>12.211963067041349</v>
      </c>
      <c r="I6" s="9">
        <f>VLOOKUP($A6,'RES installed'!$A$2:$C$7,3,FALSE)*'[1]Profiles, RES, Spring'!I$6</f>
        <v>9.1890806904857492</v>
      </c>
      <c r="J6" s="9">
        <f>VLOOKUP($A6,'RES installed'!$A$2:$C$7,3,FALSE)*'[1]Profiles, RES, Spring'!J$6</f>
        <v>8.3701324769169005</v>
      </c>
      <c r="K6" s="9">
        <f>VLOOKUP($A6,'RES installed'!$A$2:$C$7,3,FALSE)*'[1]Profiles, RES, Spring'!K$6</f>
        <v>8.7193898032918504</v>
      </c>
      <c r="L6" s="9">
        <f>VLOOKUP($A6,'RES installed'!$A$2:$C$7,3,FALSE)*'[1]Profiles, RES, Spring'!L$6</f>
        <v>9.7671617824167001</v>
      </c>
      <c r="M6" s="9">
        <f>VLOOKUP($A6,'RES installed'!$A$2:$C$7,3,FALSE)*'[1]Profiles, RES, Spring'!M$6</f>
        <v>11.200321156162184</v>
      </c>
      <c r="N6" s="9">
        <f>VLOOKUP($A6,'RES installed'!$A$2:$C$7,3,FALSE)*'[1]Profiles, RES, Spring'!N$6</f>
        <v>14.560417503010839</v>
      </c>
      <c r="O6" s="9">
        <f>VLOOKUP($A6,'RES installed'!$A$2:$C$7,3,FALSE)*'[1]Profiles, RES, Spring'!O$6</f>
        <v>18.077077478924128</v>
      </c>
      <c r="P6" s="9">
        <f>VLOOKUP($A6,'RES installed'!$A$2:$C$7,3,FALSE)*'[1]Profiles, RES, Spring'!P$6</f>
        <v>20.53392211963067</v>
      </c>
      <c r="Q6" s="9">
        <f>VLOOKUP($A6,'RES installed'!$A$2:$C$7,3,FALSE)*'[1]Profiles, RES, Spring'!Q$6</f>
        <v>22.593336009634687</v>
      </c>
      <c r="R6" s="9">
        <f>VLOOKUP($A6,'RES installed'!$A$2:$C$7,3,FALSE)*'[1]Profiles, RES, Spring'!R$6</f>
        <v>24.761140104375752</v>
      </c>
      <c r="S6" s="9">
        <f>VLOOKUP($A6,'RES installed'!$A$2:$C$7,3,FALSE)*'[1]Profiles, RES, Spring'!S$6</f>
        <v>23.689281413087112</v>
      </c>
      <c r="T6" s="9">
        <f>VLOOKUP($A6,'RES installed'!$A$2:$C$7,3,FALSE)*'[1]Profiles, RES, Spring'!T$6</f>
        <v>20.955439582496989</v>
      </c>
      <c r="U6" s="9">
        <f>VLOOKUP($A6,'RES installed'!$A$2:$C$7,3,FALSE)*'[1]Profiles, RES, Spring'!U$6</f>
        <v>20.160578081091931</v>
      </c>
      <c r="V6" s="9">
        <f>VLOOKUP($A6,'RES installed'!$A$2:$C$7,3,FALSE)*'[1]Profiles, RES, Spring'!V$6</f>
        <v>18.751505419510238</v>
      </c>
      <c r="W6" s="9">
        <f>VLOOKUP($A6,'RES installed'!$A$2:$C$7,3,FALSE)*'[1]Profiles, RES, Spring'!W$6</f>
        <v>17.788036932958651</v>
      </c>
      <c r="X6" s="9">
        <f>VLOOKUP($A6,'RES installed'!$A$2:$C$7,3,FALSE)*'[1]Profiles, RES, Spring'!X$6</f>
        <v>16.126053793657164</v>
      </c>
      <c r="Y6" s="9">
        <f>VLOOKUP($A6,'RES installed'!$A$2:$C$7,3,FALSE)*'[1]Profiles, RES, Spring'!Y$6</f>
        <v>14.379767161782416</v>
      </c>
    </row>
    <row r="7" spans="1:25" x14ac:dyDescent="0.3">
      <c r="A7" s="8">
        <v>6</v>
      </c>
      <c r="B7" s="9">
        <f>VLOOKUP($A7,'RES installed'!$A$2:$C$7,3,FALSE)*'[1]Profiles, RES, Spring'!B$6</f>
        <v>15.228823765556003</v>
      </c>
      <c r="C7" s="9">
        <f>VLOOKUP($A7,'RES installed'!$A$2:$C$7,3,FALSE)*'[1]Profiles, RES, Spring'!C$6</f>
        <v>13.819751103974308</v>
      </c>
      <c r="D7" s="9">
        <f>VLOOKUP($A7,'RES installed'!$A$2:$C$7,3,FALSE)*'[1]Profiles, RES, Spring'!D$6</f>
        <v>12.058410276997192</v>
      </c>
      <c r="E7" s="9">
        <f>VLOOKUP($A7,'RES installed'!$A$2:$C$7,3,FALSE)*'[1]Profiles, RES, Spring'!E$6</f>
        <v>10.857085507828181</v>
      </c>
      <c r="F7" s="9">
        <f>VLOOKUP($A7,'RES installed'!$A$2:$C$7,3,FALSE)*'[1]Profiles, RES, Spring'!F$6</f>
        <v>10.613207547169811</v>
      </c>
      <c r="G7" s="9">
        <f>VLOOKUP($A7,'RES installed'!$A$2:$C$7,3,FALSE)*'[1]Profiles, RES, Spring'!G$6</f>
        <v>10.730630268968287</v>
      </c>
      <c r="H7" s="9">
        <f>VLOOKUP($A7,'RES installed'!$A$2:$C$7,3,FALSE)*'[1]Profiles, RES, Spring'!H$6</f>
        <v>9.1589723002810111</v>
      </c>
      <c r="I7" s="9">
        <f>VLOOKUP($A7,'RES installed'!$A$2:$C$7,3,FALSE)*'[1]Profiles, RES, Spring'!I$6</f>
        <v>6.8918105178643119</v>
      </c>
      <c r="J7" s="9">
        <f>VLOOKUP($A7,'RES installed'!$A$2:$C$7,3,FALSE)*'[1]Profiles, RES, Spring'!J$6</f>
        <v>6.2775993576876754</v>
      </c>
      <c r="K7" s="9">
        <f>VLOOKUP($A7,'RES installed'!$A$2:$C$7,3,FALSE)*'[1]Profiles, RES, Spring'!K$6</f>
        <v>6.5395423524688878</v>
      </c>
      <c r="L7" s="9">
        <f>VLOOKUP($A7,'RES installed'!$A$2:$C$7,3,FALSE)*'[1]Profiles, RES, Spring'!L$6</f>
        <v>7.3253713368125251</v>
      </c>
      <c r="M7" s="9">
        <f>VLOOKUP($A7,'RES installed'!$A$2:$C$7,3,FALSE)*'[1]Profiles, RES, Spring'!M$6</f>
        <v>8.4002408671216386</v>
      </c>
      <c r="N7" s="9">
        <f>VLOOKUP($A7,'RES installed'!$A$2:$C$7,3,FALSE)*'[1]Profiles, RES, Spring'!N$6</f>
        <v>10.92031312725813</v>
      </c>
      <c r="O7" s="9">
        <f>VLOOKUP($A7,'RES installed'!$A$2:$C$7,3,FALSE)*'[1]Profiles, RES, Spring'!O$6</f>
        <v>13.557808109193095</v>
      </c>
      <c r="P7" s="9">
        <f>VLOOKUP($A7,'RES installed'!$A$2:$C$7,3,FALSE)*'[1]Profiles, RES, Spring'!P$6</f>
        <v>15.400441589723002</v>
      </c>
      <c r="Q7" s="9">
        <f>VLOOKUP($A7,'RES installed'!$A$2:$C$7,3,FALSE)*'[1]Profiles, RES, Spring'!Q$6</f>
        <v>16.945002007226016</v>
      </c>
      <c r="R7" s="9">
        <f>VLOOKUP($A7,'RES installed'!$A$2:$C$7,3,FALSE)*'[1]Profiles, RES, Spring'!R$6</f>
        <v>18.570855078281813</v>
      </c>
      <c r="S7" s="9">
        <f>VLOOKUP($A7,'RES installed'!$A$2:$C$7,3,FALSE)*'[1]Profiles, RES, Spring'!S$6</f>
        <v>17.766961059815333</v>
      </c>
      <c r="T7" s="9">
        <f>VLOOKUP($A7,'RES installed'!$A$2:$C$7,3,FALSE)*'[1]Profiles, RES, Spring'!T$6</f>
        <v>15.716579686872743</v>
      </c>
      <c r="U7" s="9">
        <f>VLOOKUP($A7,'RES installed'!$A$2:$C$7,3,FALSE)*'[1]Profiles, RES, Spring'!U$6</f>
        <v>15.120433560818947</v>
      </c>
      <c r="V7" s="9">
        <f>VLOOKUP($A7,'RES installed'!$A$2:$C$7,3,FALSE)*'[1]Profiles, RES, Spring'!V$6</f>
        <v>14.063629064632678</v>
      </c>
      <c r="W7" s="9">
        <f>VLOOKUP($A7,'RES installed'!$A$2:$C$7,3,FALSE)*'[1]Profiles, RES, Spring'!W$6</f>
        <v>13.341027699718989</v>
      </c>
      <c r="X7" s="9">
        <f>VLOOKUP($A7,'RES installed'!$A$2:$C$7,3,FALSE)*'[1]Profiles, RES, Spring'!X$6</f>
        <v>12.094540345242873</v>
      </c>
      <c r="Y7" s="9">
        <f>VLOOKUP($A7,'RES installed'!$A$2:$C$7,3,FALSE)*'[1]Profiles, RES, Spring'!Y$6</f>
        <v>10.784825371336813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0.85291887793783172</v>
      </c>
      <c r="H8" s="6">
        <f>VLOOKUP($A8,'RES installed'!$A$2:$C$7,3,FALSE)*'[1]Profiles, RES, Spring'!H$3</f>
        <v>7.4772554965883247</v>
      </c>
      <c r="I8" s="6">
        <f>VLOOKUP($A8,'RES installed'!$A$2:$C$7,3,FALSE)*'[1]Profiles, RES, Spring'!I$3</f>
        <v>17.996588324488251</v>
      </c>
      <c r="J8" s="6">
        <f>VLOOKUP($A8,'RES installed'!$A$2:$C$7,3,FALSE)*'[1]Profiles, RES, Spring'!J$3</f>
        <v>27.151250947687643</v>
      </c>
      <c r="K8" s="6">
        <f>VLOOKUP($A8,'RES installed'!$A$2:$C$7,3,FALSE)*'[1]Profiles, RES, Spring'!K$3</f>
        <v>37.812736921910542</v>
      </c>
      <c r="L8" s="6">
        <f>VLOOKUP($A8,'RES installed'!$A$2:$C$7,3,FALSE)*'[1]Profiles, RES, Spring'!L$3</f>
        <v>44.749810462471572</v>
      </c>
      <c r="M8" s="6">
        <f>VLOOKUP($A8,'RES installed'!$A$2:$C$7,3,FALSE)*'[1]Profiles, RES, Spring'!M$3</f>
        <v>45.801743745261561</v>
      </c>
      <c r="N8" s="6">
        <f>VLOOKUP($A8,'RES installed'!$A$2:$C$7,3,FALSE)*'[1]Profiles, RES, Spring'!N$3</f>
        <v>46.882107657316148</v>
      </c>
      <c r="O8" s="6">
        <f>VLOOKUP($A8,'RES installed'!$A$2:$C$7,3,FALSE)*'[1]Profiles, RES, Spring'!O$3</f>
        <v>45.23313115996968</v>
      </c>
      <c r="P8" s="6">
        <f>VLOOKUP($A8,'RES installed'!$A$2:$C$7,3,FALSE)*'[1]Profiles, RES, Spring'!P$3</f>
        <v>48.076194086429112</v>
      </c>
      <c r="Q8" s="6">
        <f>VLOOKUP($A8,'RES installed'!$A$2:$C$7,3,FALSE)*'[1]Profiles, RES, Spring'!Q$3</f>
        <v>42.674374526156178</v>
      </c>
      <c r="R8" s="6">
        <f>VLOOKUP($A8,'RES installed'!$A$2:$C$7,3,FALSE)*'[1]Profiles, RES, Spring'!R$3</f>
        <v>35.794162244124337</v>
      </c>
      <c r="S8" s="6">
        <f>VLOOKUP($A8,'RES installed'!$A$2:$C$7,3,FALSE)*'[1]Profiles, RES, Spring'!S$3</f>
        <v>23.398407884761184</v>
      </c>
      <c r="T8" s="6">
        <f>VLOOKUP($A8,'RES installed'!$A$2:$C$7,3,FALSE)*'[1]Profiles, RES, Spring'!T$3</f>
        <v>8.5291887793783179</v>
      </c>
      <c r="U8" s="6">
        <f>VLOOKUP($A8,'RES installed'!$A$2:$C$7,3,FALSE)*'[1]Profiles, RES, Spring'!U$3</f>
        <v>0.76762699014404845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0.56861258529188785</v>
      </c>
      <c r="H9" s="6">
        <f>VLOOKUP($A9,'RES installed'!$A$2:$C$7,3,FALSE)*'[1]Profiles, RES, Spring'!H$3</f>
        <v>4.9848369977255498</v>
      </c>
      <c r="I9" s="6">
        <f>VLOOKUP($A9,'RES installed'!$A$2:$C$7,3,FALSE)*'[1]Profiles, RES, Spring'!I$3</f>
        <v>11.997725549658833</v>
      </c>
      <c r="J9" s="6">
        <f>VLOOKUP($A9,'RES installed'!$A$2:$C$7,3,FALSE)*'[1]Profiles, RES, Spring'!J$3</f>
        <v>18.100833965125098</v>
      </c>
      <c r="K9" s="6">
        <f>VLOOKUP($A9,'RES installed'!$A$2:$C$7,3,FALSE)*'[1]Profiles, RES, Spring'!K$3</f>
        <v>25.208491281273695</v>
      </c>
      <c r="L9" s="6">
        <f>VLOOKUP($A9,'RES installed'!$A$2:$C$7,3,FALSE)*'[1]Profiles, RES, Spring'!L$3</f>
        <v>29.833206974981046</v>
      </c>
      <c r="M9" s="6">
        <f>VLOOKUP($A9,'RES installed'!$A$2:$C$7,3,FALSE)*'[1]Profiles, RES, Spring'!M$3</f>
        <v>30.534495830174375</v>
      </c>
      <c r="N9" s="6">
        <f>VLOOKUP($A9,'RES installed'!$A$2:$C$7,3,FALSE)*'[1]Profiles, RES, Spring'!N$3</f>
        <v>31.254738438210765</v>
      </c>
      <c r="O9" s="6">
        <f>VLOOKUP($A9,'RES installed'!$A$2:$C$7,3,FALSE)*'[1]Profiles, RES, Spring'!O$3</f>
        <v>30.155420773313118</v>
      </c>
      <c r="P9" s="6">
        <f>VLOOKUP($A9,'RES installed'!$A$2:$C$7,3,FALSE)*'[1]Profiles, RES, Spring'!P$3</f>
        <v>32.050796057619408</v>
      </c>
      <c r="Q9" s="6">
        <f>VLOOKUP($A9,'RES installed'!$A$2:$C$7,3,FALSE)*'[1]Profiles, RES, Spring'!Q$3</f>
        <v>28.449583017437451</v>
      </c>
      <c r="R9" s="6">
        <f>VLOOKUP($A9,'RES installed'!$A$2:$C$7,3,FALSE)*'[1]Profiles, RES, Spring'!R$3</f>
        <v>23.862774829416225</v>
      </c>
      <c r="S9" s="6">
        <f>VLOOKUP($A9,'RES installed'!$A$2:$C$7,3,FALSE)*'[1]Profiles, RES, Spring'!S$3</f>
        <v>15.598938589840788</v>
      </c>
      <c r="T9" s="6">
        <f>VLOOKUP($A9,'RES installed'!$A$2:$C$7,3,FALSE)*'[1]Profiles, RES, Spring'!T$3</f>
        <v>5.6861258529188783</v>
      </c>
      <c r="U9" s="6">
        <f>VLOOKUP($A9,'RES installed'!$A$2:$C$7,3,FALSE)*'[1]Profiles, RES, Spring'!U$3</f>
        <v>0.51175132676269897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0.6823351023502654</v>
      </c>
      <c r="H10" s="6">
        <f>VLOOKUP($A10,'RES installed'!$A$2:$C$7,3,FALSE)*'[1]Profiles, RES, Spring'!H$3</f>
        <v>5.9818043972706594</v>
      </c>
      <c r="I10" s="6">
        <f>VLOOKUP($A10,'RES installed'!$A$2:$C$7,3,FALSE)*'[1]Profiles, RES, Spring'!I$3</f>
        <v>14.3972706595906</v>
      </c>
      <c r="J10" s="6">
        <f>VLOOKUP($A10,'RES installed'!$A$2:$C$7,3,FALSE)*'[1]Profiles, RES, Spring'!J$3</f>
        <v>21.721000758150115</v>
      </c>
      <c r="K10" s="6">
        <f>VLOOKUP($A10,'RES installed'!$A$2:$C$7,3,FALSE)*'[1]Profiles, RES, Spring'!K$3</f>
        <v>30.250189537528431</v>
      </c>
      <c r="L10" s="6">
        <f>VLOOKUP($A10,'RES installed'!$A$2:$C$7,3,FALSE)*'[1]Profiles, RES, Spring'!L$3</f>
        <v>35.799848369977255</v>
      </c>
      <c r="M10" s="6">
        <f>VLOOKUP($A10,'RES installed'!$A$2:$C$7,3,FALSE)*'[1]Profiles, RES, Spring'!M$3</f>
        <v>36.64139499620925</v>
      </c>
      <c r="N10" s="6">
        <f>VLOOKUP($A10,'RES installed'!$A$2:$C$7,3,FALSE)*'[1]Profiles, RES, Spring'!N$3</f>
        <v>37.505686125852918</v>
      </c>
      <c r="O10" s="6">
        <f>VLOOKUP($A10,'RES installed'!$A$2:$C$7,3,FALSE)*'[1]Profiles, RES, Spring'!O$3</f>
        <v>36.18650492797574</v>
      </c>
      <c r="P10" s="6">
        <f>VLOOKUP($A10,'RES installed'!$A$2:$C$7,3,FALSE)*'[1]Profiles, RES, Spring'!P$3</f>
        <v>38.460955269143291</v>
      </c>
      <c r="Q10" s="6">
        <f>VLOOKUP($A10,'RES installed'!$A$2:$C$7,3,FALSE)*'[1]Profiles, RES, Spring'!Q$3</f>
        <v>34.139499620924944</v>
      </c>
      <c r="R10" s="6">
        <f>VLOOKUP($A10,'RES installed'!$A$2:$C$7,3,FALSE)*'[1]Profiles, RES, Spring'!R$3</f>
        <v>28.635329795299469</v>
      </c>
      <c r="S10" s="6">
        <f>VLOOKUP($A10,'RES installed'!$A$2:$C$7,3,FALSE)*'[1]Profiles, RES, Spring'!S$3</f>
        <v>18.718726307808947</v>
      </c>
      <c r="T10" s="6">
        <f>VLOOKUP($A10,'RES installed'!$A$2:$C$7,3,FALSE)*'[1]Profiles, RES, Spring'!T$3</f>
        <v>6.8233510235026538</v>
      </c>
      <c r="U10" s="6">
        <f>VLOOKUP($A10,'RES installed'!$A$2:$C$7,3,FALSE)*'[1]Profiles, RES, Spring'!U$3</f>
        <v>0.61410159211523874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4C291-8F02-4CFD-8967-9A87F45EB76F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11.146126053793658</v>
      </c>
      <c r="C5" s="9">
        <f>VLOOKUP($A5,'RES installed'!$A$2:$C$7,3,FALSE)*'[1]Profiles, RES, Spring'!C$7</f>
        <v>10.568044961862705</v>
      </c>
      <c r="D5" s="9">
        <f>VLOOKUP($A5,'RES installed'!$A$2:$C$7,3,FALSE)*'[1]Profiles, RES, Spring'!D$7</f>
        <v>10.27900441589723</v>
      </c>
      <c r="E5" s="9">
        <f>VLOOKUP($A5,'RES installed'!$A$2:$C$7,3,FALSE)*'[1]Profiles, RES, Spring'!E$7</f>
        <v>10.820955439582496</v>
      </c>
      <c r="F5" s="9">
        <f>VLOOKUP($A5,'RES installed'!$A$2:$C$7,3,FALSE)*'[1]Profiles, RES, Spring'!F$7</f>
        <v>10.84805299076676</v>
      </c>
      <c r="G5" s="9">
        <f>VLOOKUP($A5,'RES installed'!$A$2:$C$7,3,FALSE)*'[1]Profiles, RES, Spring'!G$7</f>
        <v>9.6467282215977512</v>
      </c>
      <c r="H5" s="9">
        <f>VLOOKUP($A5,'RES installed'!$A$2:$C$7,3,FALSE)*'[1]Profiles, RES, Spring'!H$7</f>
        <v>8.2105580088317947</v>
      </c>
      <c r="I5" s="9">
        <f>VLOOKUP($A5,'RES installed'!$A$2:$C$7,3,FALSE)*'[1]Profiles, RES, Spring'!I$7</f>
        <v>6.1872741870734638</v>
      </c>
      <c r="J5" s="9">
        <f>VLOOKUP($A5,'RES installed'!$A$2:$C$7,3,FALSE)*'[1]Profiles, RES, Spring'!J$7</f>
        <v>5.2117623444399843</v>
      </c>
      <c r="K5" s="9">
        <f>VLOOKUP($A5,'RES installed'!$A$2:$C$7,3,FALSE)*'[1]Profiles, RES, Spring'!K$7</f>
        <v>5.6633881975110389</v>
      </c>
      <c r="L5" s="9">
        <f>VLOOKUP($A5,'RES installed'!$A$2:$C$7,3,FALSE)*'[1]Profiles, RES, Spring'!L$7</f>
        <v>6.6930951425130463</v>
      </c>
      <c r="M5" s="9">
        <f>VLOOKUP($A5,'RES installed'!$A$2:$C$7,3,FALSE)*'[1]Profiles, RES, Spring'!M$7</f>
        <v>6.6208350060216778</v>
      </c>
      <c r="N5" s="9">
        <f>VLOOKUP($A5,'RES installed'!$A$2:$C$7,3,FALSE)*'[1]Profiles, RES, Spring'!N$7</f>
        <v>7.6053793657165798</v>
      </c>
      <c r="O5" s="9">
        <f>VLOOKUP($A5,'RES installed'!$A$2:$C$7,3,FALSE)*'[1]Profiles, RES, Spring'!O$7</f>
        <v>9.7009233239662773</v>
      </c>
      <c r="P5" s="9">
        <f>VLOOKUP($A5,'RES installed'!$A$2:$C$7,3,FALSE)*'[1]Profiles, RES, Spring'!P$7</f>
        <v>11.326776395022078</v>
      </c>
      <c r="Q5" s="9">
        <f>VLOOKUP($A5,'RES installed'!$A$2:$C$7,3,FALSE)*'[1]Profiles, RES, Spring'!Q$7</f>
        <v>12.762946607788036</v>
      </c>
      <c r="R5" s="9">
        <f>VLOOKUP($A5,'RES installed'!$A$2:$C$7,3,FALSE)*'[1]Profiles, RES, Spring'!R$7</f>
        <v>14.343637093536733</v>
      </c>
      <c r="S5" s="9">
        <f>VLOOKUP($A5,'RES installed'!$A$2:$C$7,3,FALSE)*'[1]Profiles, RES, Spring'!S$7</f>
        <v>14.930750702529105</v>
      </c>
      <c r="T5" s="9">
        <f>VLOOKUP($A5,'RES installed'!$A$2:$C$7,3,FALSE)*'[1]Profiles, RES, Spring'!T$7</f>
        <v>14.939783219590526</v>
      </c>
      <c r="U5" s="9">
        <f>VLOOKUP($A5,'RES installed'!$A$2:$C$7,3,FALSE)*'[1]Profiles, RES, Spring'!U$7</f>
        <v>13.35909273384183</v>
      </c>
      <c r="V5" s="9">
        <f>VLOOKUP($A5,'RES installed'!$A$2:$C$7,3,FALSE)*'[1]Profiles, RES, Spring'!V$7</f>
        <v>12.753914090726616</v>
      </c>
      <c r="W5" s="9">
        <f>VLOOKUP($A5,'RES installed'!$A$2:$C$7,3,FALSE)*'[1]Profiles, RES, Spring'!W$7</f>
        <v>12.681653954235246</v>
      </c>
      <c r="X5" s="9">
        <f>VLOOKUP($A5,'RES installed'!$A$2:$C$7,3,FALSE)*'[1]Profiles, RES, Spring'!X$7</f>
        <v>12.889401846647933</v>
      </c>
      <c r="Y5" s="9">
        <f>VLOOKUP($A5,'RES installed'!$A$2:$C$7,3,FALSE)*'[1]Profiles, RES, Spring'!Y$7</f>
        <v>13.91910879164994</v>
      </c>
    </row>
    <row r="6" spans="1:25" x14ac:dyDescent="0.3">
      <c r="A6" s="8">
        <v>5</v>
      </c>
      <c r="B6" s="9">
        <f>VLOOKUP($A6,'RES installed'!$A$2:$C$7,3,FALSE)*'[1]Profiles, RES, Spring'!B$7</f>
        <v>14.86150140505821</v>
      </c>
      <c r="C6" s="9">
        <f>VLOOKUP($A6,'RES installed'!$A$2:$C$7,3,FALSE)*'[1]Profiles, RES, Spring'!C$7</f>
        <v>14.090726615816941</v>
      </c>
      <c r="D6" s="9">
        <f>VLOOKUP($A6,'RES installed'!$A$2:$C$7,3,FALSE)*'[1]Profiles, RES, Spring'!D$7</f>
        <v>13.705339221196308</v>
      </c>
      <c r="E6" s="9">
        <f>VLOOKUP($A6,'RES installed'!$A$2:$C$7,3,FALSE)*'[1]Profiles, RES, Spring'!E$7</f>
        <v>14.427940586109996</v>
      </c>
      <c r="F6" s="9">
        <f>VLOOKUP($A6,'RES installed'!$A$2:$C$7,3,FALSE)*'[1]Profiles, RES, Spring'!F$7</f>
        <v>14.46407065435568</v>
      </c>
      <c r="G6" s="9">
        <f>VLOOKUP($A6,'RES installed'!$A$2:$C$7,3,FALSE)*'[1]Profiles, RES, Spring'!G$7</f>
        <v>12.862304295463669</v>
      </c>
      <c r="H6" s="9">
        <f>VLOOKUP($A6,'RES installed'!$A$2:$C$7,3,FALSE)*'[1]Profiles, RES, Spring'!H$7</f>
        <v>10.947410678442393</v>
      </c>
      <c r="I6" s="9">
        <f>VLOOKUP($A6,'RES installed'!$A$2:$C$7,3,FALSE)*'[1]Profiles, RES, Spring'!I$7</f>
        <v>8.2496989160979517</v>
      </c>
      <c r="J6" s="9">
        <f>VLOOKUP($A6,'RES installed'!$A$2:$C$7,3,FALSE)*'[1]Profiles, RES, Spring'!J$7</f>
        <v>6.9490164592533121</v>
      </c>
      <c r="K6" s="9">
        <f>VLOOKUP($A6,'RES installed'!$A$2:$C$7,3,FALSE)*'[1]Profiles, RES, Spring'!K$7</f>
        <v>7.5511842633480528</v>
      </c>
      <c r="L6" s="9">
        <f>VLOOKUP($A6,'RES installed'!$A$2:$C$7,3,FALSE)*'[1]Profiles, RES, Spring'!L$7</f>
        <v>8.9241268566840617</v>
      </c>
      <c r="M6" s="9">
        <f>VLOOKUP($A6,'RES installed'!$A$2:$C$7,3,FALSE)*'[1]Profiles, RES, Spring'!M$7</f>
        <v>8.8277800080289044</v>
      </c>
      <c r="N6" s="9">
        <f>VLOOKUP($A6,'RES installed'!$A$2:$C$7,3,FALSE)*'[1]Profiles, RES, Spring'!N$7</f>
        <v>10.14050582095544</v>
      </c>
      <c r="O6" s="9">
        <f>VLOOKUP($A6,'RES installed'!$A$2:$C$7,3,FALSE)*'[1]Profiles, RES, Spring'!O$7</f>
        <v>12.934564431955037</v>
      </c>
      <c r="P6" s="9">
        <f>VLOOKUP($A6,'RES installed'!$A$2:$C$7,3,FALSE)*'[1]Profiles, RES, Spring'!P$7</f>
        <v>15.102368526696106</v>
      </c>
      <c r="Q6" s="9">
        <f>VLOOKUP($A6,'RES installed'!$A$2:$C$7,3,FALSE)*'[1]Profiles, RES, Spring'!Q$7</f>
        <v>17.017262143717382</v>
      </c>
      <c r="R6" s="9">
        <f>VLOOKUP($A6,'RES installed'!$A$2:$C$7,3,FALSE)*'[1]Profiles, RES, Spring'!R$7</f>
        <v>19.124849458048978</v>
      </c>
      <c r="S6" s="9">
        <f>VLOOKUP($A6,'RES installed'!$A$2:$C$7,3,FALSE)*'[1]Profiles, RES, Spring'!S$7</f>
        <v>19.90766760337214</v>
      </c>
      <c r="T6" s="9">
        <f>VLOOKUP($A6,'RES installed'!$A$2:$C$7,3,FALSE)*'[1]Profiles, RES, Spring'!T$7</f>
        <v>19.919710959454033</v>
      </c>
      <c r="U6" s="9">
        <f>VLOOKUP($A6,'RES installed'!$A$2:$C$7,3,FALSE)*'[1]Profiles, RES, Spring'!U$7</f>
        <v>17.812123645122441</v>
      </c>
      <c r="V6" s="9">
        <f>VLOOKUP($A6,'RES installed'!$A$2:$C$7,3,FALSE)*'[1]Profiles, RES, Spring'!V$7</f>
        <v>17.005218787635489</v>
      </c>
      <c r="W6" s="9">
        <f>VLOOKUP($A6,'RES installed'!$A$2:$C$7,3,FALSE)*'[1]Profiles, RES, Spring'!W$7</f>
        <v>16.908871938980326</v>
      </c>
      <c r="X6" s="9">
        <f>VLOOKUP($A6,'RES installed'!$A$2:$C$7,3,FALSE)*'[1]Profiles, RES, Spring'!X$7</f>
        <v>17.18586912886391</v>
      </c>
      <c r="Y6" s="9">
        <f>VLOOKUP($A6,'RES installed'!$A$2:$C$7,3,FALSE)*'[1]Profiles, RES, Spring'!Y$7</f>
        <v>18.55881172219992</v>
      </c>
    </row>
    <row r="7" spans="1:25" x14ac:dyDescent="0.3">
      <c r="A7" s="8">
        <v>6</v>
      </c>
      <c r="B7" s="9">
        <f>VLOOKUP($A7,'RES installed'!$A$2:$C$7,3,FALSE)*'[1]Profiles, RES, Spring'!B$7</f>
        <v>11.146126053793658</v>
      </c>
      <c r="C7" s="9">
        <f>VLOOKUP($A7,'RES installed'!$A$2:$C$7,3,FALSE)*'[1]Profiles, RES, Spring'!C$7</f>
        <v>10.568044961862705</v>
      </c>
      <c r="D7" s="9">
        <f>VLOOKUP($A7,'RES installed'!$A$2:$C$7,3,FALSE)*'[1]Profiles, RES, Spring'!D$7</f>
        <v>10.27900441589723</v>
      </c>
      <c r="E7" s="9">
        <f>VLOOKUP($A7,'RES installed'!$A$2:$C$7,3,FALSE)*'[1]Profiles, RES, Spring'!E$7</f>
        <v>10.820955439582496</v>
      </c>
      <c r="F7" s="9">
        <f>VLOOKUP($A7,'RES installed'!$A$2:$C$7,3,FALSE)*'[1]Profiles, RES, Spring'!F$7</f>
        <v>10.84805299076676</v>
      </c>
      <c r="G7" s="9">
        <f>VLOOKUP($A7,'RES installed'!$A$2:$C$7,3,FALSE)*'[1]Profiles, RES, Spring'!G$7</f>
        <v>9.6467282215977512</v>
      </c>
      <c r="H7" s="9">
        <f>VLOOKUP($A7,'RES installed'!$A$2:$C$7,3,FALSE)*'[1]Profiles, RES, Spring'!H$7</f>
        <v>8.2105580088317947</v>
      </c>
      <c r="I7" s="9">
        <f>VLOOKUP($A7,'RES installed'!$A$2:$C$7,3,FALSE)*'[1]Profiles, RES, Spring'!I$7</f>
        <v>6.1872741870734638</v>
      </c>
      <c r="J7" s="9">
        <f>VLOOKUP($A7,'RES installed'!$A$2:$C$7,3,FALSE)*'[1]Profiles, RES, Spring'!J$7</f>
        <v>5.2117623444399843</v>
      </c>
      <c r="K7" s="9">
        <f>VLOOKUP($A7,'RES installed'!$A$2:$C$7,3,FALSE)*'[1]Profiles, RES, Spring'!K$7</f>
        <v>5.6633881975110389</v>
      </c>
      <c r="L7" s="9">
        <f>VLOOKUP($A7,'RES installed'!$A$2:$C$7,3,FALSE)*'[1]Profiles, RES, Spring'!L$7</f>
        <v>6.6930951425130463</v>
      </c>
      <c r="M7" s="9">
        <f>VLOOKUP($A7,'RES installed'!$A$2:$C$7,3,FALSE)*'[1]Profiles, RES, Spring'!M$7</f>
        <v>6.6208350060216778</v>
      </c>
      <c r="N7" s="9">
        <f>VLOOKUP($A7,'RES installed'!$A$2:$C$7,3,FALSE)*'[1]Profiles, RES, Spring'!N$7</f>
        <v>7.6053793657165798</v>
      </c>
      <c r="O7" s="9">
        <f>VLOOKUP($A7,'RES installed'!$A$2:$C$7,3,FALSE)*'[1]Profiles, RES, Spring'!O$7</f>
        <v>9.7009233239662773</v>
      </c>
      <c r="P7" s="9">
        <f>VLOOKUP($A7,'RES installed'!$A$2:$C$7,3,FALSE)*'[1]Profiles, RES, Spring'!P$7</f>
        <v>11.326776395022078</v>
      </c>
      <c r="Q7" s="9">
        <f>VLOOKUP($A7,'RES installed'!$A$2:$C$7,3,FALSE)*'[1]Profiles, RES, Spring'!Q$7</f>
        <v>12.762946607788036</v>
      </c>
      <c r="R7" s="9">
        <f>VLOOKUP($A7,'RES installed'!$A$2:$C$7,3,FALSE)*'[1]Profiles, RES, Spring'!R$7</f>
        <v>14.343637093536733</v>
      </c>
      <c r="S7" s="9">
        <f>VLOOKUP($A7,'RES installed'!$A$2:$C$7,3,FALSE)*'[1]Profiles, RES, Spring'!S$7</f>
        <v>14.930750702529105</v>
      </c>
      <c r="T7" s="9">
        <f>VLOOKUP($A7,'RES installed'!$A$2:$C$7,3,FALSE)*'[1]Profiles, RES, Spring'!T$7</f>
        <v>14.939783219590526</v>
      </c>
      <c r="U7" s="9">
        <f>VLOOKUP($A7,'RES installed'!$A$2:$C$7,3,FALSE)*'[1]Profiles, RES, Spring'!U$7</f>
        <v>13.35909273384183</v>
      </c>
      <c r="V7" s="9">
        <f>VLOOKUP($A7,'RES installed'!$A$2:$C$7,3,FALSE)*'[1]Profiles, RES, Spring'!V$7</f>
        <v>12.753914090726616</v>
      </c>
      <c r="W7" s="9">
        <f>VLOOKUP($A7,'RES installed'!$A$2:$C$7,3,FALSE)*'[1]Profiles, RES, Spring'!W$7</f>
        <v>12.681653954235246</v>
      </c>
      <c r="X7" s="9">
        <f>VLOOKUP($A7,'RES installed'!$A$2:$C$7,3,FALSE)*'[1]Profiles, RES, Spring'!X$7</f>
        <v>12.889401846647933</v>
      </c>
      <c r="Y7" s="9">
        <f>VLOOKUP($A7,'RES installed'!$A$2:$C$7,3,FALSE)*'[1]Profiles, RES, Spring'!Y$7</f>
        <v>13.91910879164994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0.82448824867323733</v>
      </c>
      <c r="H8" s="6">
        <f>VLOOKUP($A8,'RES installed'!$A$2:$C$7,3,FALSE)*'[1]Profiles, RES, Spring'!H$4</f>
        <v>7.9037149355572396</v>
      </c>
      <c r="I8" s="6">
        <f>VLOOKUP($A8,'RES installed'!$A$2:$C$7,3,FALSE)*'[1]Profiles, RES, Spring'!I$4</f>
        <v>21.948445792266867</v>
      </c>
      <c r="J8" s="6">
        <f>VLOOKUP($A8,'RES installed'!$A$2:$C$7,3,FALSE)*'[1]Profiles, RES, Spring'!J$4</f>
        <v>35.225549658832449</v>
      </c>
      <c r="K8" s="6">
        <f>VLOOKUP($A8,'RES installed'!$A$2:$C$7,3,FALSE)*'[1]Profiles, RES, Spring'!K$4</f>
        <v>41.764594389689158</v>
      </c>
      <c r="L8" s="6">
        <f>VLOOKUP($A8,'RES installed'!$A$2:$C$7,3,FALSE)*'[1]Profiles, RES, Spring'!L$4</f>
        <v>46.171341925701284</v>
      </c>
      <c r="M8" s="6">
        <f>VLOOKUP($A8,'RES installed'!$A$2:$C$7,3,FALSE)*'[1]Profiles, RES, Spring'!M$4</f>
        <v>51.345716451857463</v>
      </c>
      <c r="N8" s="6">
        <f>VLOOKUP($A8,'RES installed'!$A$2:$C$7,3,FALSE)*'[1]Profiles, RES, Spring'!N$4</f>
        <v>50.123199393479908</v>
      </c>
      <c r="O8" s="6">
        <f>VLOOKUP($A8,'RES installed'!$A$2:$C$7,3,FALSE)*'[1]Profiles, RES, Spring'!O$4</f>
        <v>49.867323730098562</v>
      </c>
      <c r="P8" s="6">
        <f>VLOOKUP($A8,'RES installed'!$A$2:$C$7,3,FALSE)*'[1]Profiles, RES, Spring'!P$4</f>
        <v>50.208491281273687</v>
      </c>
      <c r="Q8" s="6">
        <f>VLOOKUP($A8,'RES installed'!$A$2:$C$7,3,FALSE)*'[1]Profiles, RES, Spring'!Q$4</f>
        <v>46.39878695981804</v>
      </c>
      <c r="R8" s="6">
        <f>VLOOKUP($A8,'RES installed'!$A$2:$C$7,3,FALSE)*'[1]Profiles, RES, Spring'!R$4</f>
        <v>37.727445034116755</v>
      </c>
      <c r="S8" s="6">
        <f>VLOOKUP($A8,'RES installed'!$A$2:$C$7,3,FALSE)*'[1]Profiles, RES, Spring'!S$4</f>
        <v>24.73464746019712</v>
      </c>
      <c r="T8" s="6">
        <f>VLOOKUP($A8,'RES installed'!$A$2:$C$7,3,FALSE)*'[1]Profiles, RES, Spring'!T$4</f>
        <v>8.7850644427596674</v>
      </c>
      <c r="U8" s="6">
        <f>VLOOKUP($A8,'RES installed'!$A$2:$C$7,3,FALSE)*'[1]Profiles, RES, Spring'!U$4</f>
        <v>0.90978013646702049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0.54965883244882485</v>
      </c>
      <c r="H9" s="6">
        <f>VLOOKUP($A9,'RES installed'!$A$2:$C$7,3,FALSE)*'[1]Profiles, RES, Spring'!H$4</f>
        <v>5.2691432903714936</v>
      </c>
      <c r="I9" s="6">
        <f>VLOOKUP($A9,'RES installed'!$A$2:$C$7,3,FALSE)*'[1]Profiles, RES, Spring'!I$4</f>
        <v>14.632297194844579</v>
      </c>
      <c r="J9" s="6">
        <f>VLOOKUP($A9,'RES installed'!$A$2:$C$7,3,FALSE)*'[1]Profiles, RES, Spring'!J$4</f>
        <v>23.483699772554967</v>
      </c>
      <c r="K9" s="6">
        <f>VLOOKUP($A9,'RES installed'!$A$2:$C$7,3,FALSE)*'[1]Profiles, RES, Spring'!K$4</f>
        <v>27.843062926459439</v>
      </c>
      <c r="L9" s="6">
        <f>VLOOKUP($A9,'RES installed'!$A$2:$C$7,3,FALSE)*'[1]Profiles, RES, Spring'!L$4</f>
        <v>30.780894617134191</v>
      </c>
      <c r="M9" s="6">
        <f>VLOOKUP($A9,'RES installed'!$A$2:$C$7,3,FALSE)*'[1]Profiles, RES, Spring'!M$4</f>
        <v>34.230477634571642</v>
      </c>
      <c r="N9" s="6">
        <f>VLOOKUP($A9,'RES installed'!$A$2:$C$7,3,FALSE)*'[1]Profiles, RES, Spring'!N$4</f>
        <v>33.415466262319939</v>
      </c>
      <c r="O9" s="6">
        <f>VLOOKUP($A9,'RES installed'!$A$2:$C$7,3,FALSE)*'[1]Profiles, RES, Spring'!O$4</f>
        <v>33.244882486732372</v>
      </c>
      <c r="P9" s="6">
        <f>VLOOKUP($A9,'RES installed'!$A$2:$C$7,3,FALSE)*'[1]Profiles, RES, Spring'!P$4</f>
        <v>33.472327520849127</v>
      </c>
      <c r="Q9" s="6">
        <f>VLOOKUP($A9,'RES installed'!$A$2:$C$7,3,FALSE)*'[1]Profiles, RES, Spring'!Q$4</f>
        <v>30.932524639878693</v>
      </c>
      <c r="R9" s="6">
        <f>VLOOKUP($A9,'RES installed'!$A$2:$C$7,3,FALSE)*'[1]Profiles, RES, Spring'!R$4</f>
        <v>25.151630022744502</v>
      </c>
      <c r="S9" s="6">
        <f>VLOOKUP($A9,'RES installed'!$A$2:$C$7,3,FALSE)*'[1]Profiles, RES, Spring'!S$4</f>
        <v>16.489764973464744</v>
      </c>
      <c r="T9" s="6">
        <f>VLOOKUP($A9,'RES installed'!$A$2:$C$7,3,FALSE)*'[1]Profiles, RES, Spring'!T$4</f>
        <v>5.8567096285064446</v>
      </c>
      <c r="U9" s="6">
        <f>VLOOKUP($A9,'RES installed'!$A$2:$C$7,3,FALSE)*'[1]Profiles, RES, Spring'!U$4</f>
        <v>0.60652009097801363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0.65959059893858984</v>
      </c>
      <c r="H10" s="6">
        <f>VLOOKUP($A10,'RES installed'!$A$2:$C$7,3,FALSE)*'[1]Profiles, RES, Spring'!H$4</f>
        <v>6.322971948445792</v>
      </c>
      <c r="I10" s="6">
        <f>VLOOKUP($A10,'RES installed'!$A$2:$C$7,3,FALSE)*'[1]Profiles, RES, Spring'!I$4</f>
        <v>17.558756633813495</v>
      </c>
      <c r="J10" s="6">
        <f>VLOOKUP($A10,'RES installed'!$A$2:$C$7,3,FALSE)*'[1]Profiles, RES, Spring'!J$4</f>
        <v>28.180439727065959</v>
      </c>
      <c r="K10" s="6">
        <f>VLOOKUP($A10,'RES installed'!$A$2:$C$7,3,FALSE)*'[1]Profiles, RES, Spring'!K$4</f>
        <v>33.411675511751326</v>
      </c>
      <c r="L10" s="6">
        <f>VLOOKUP($A10,'RES installed'!$A$2:$C$7,3,FALSE)*'[1]Profiles, RES, Spring'!L$4</f>
        <v>36.93707354056103</v>
      </c>
      <c r="M10" s="6">
        <f>VLOOKUP($A10,'RES installed'!$A$2:$C$7,3,FALSE)*'[1]Profiles, RES, Spring'!M$4</f>
        <v>41.076573161485975</v>
      </c>
      <c r="N10" s="6">
        <f>VLOOKUP($A10,'RES installed'!$A$2:$C$7,3,FALSE)*'[1]Profiles, RES, Spring'!N$4</f>
        <v>40.098559514783922</v>
      </c>
      <c r="O10" s="6">
        <f>VLOOKUP($A10,'RES installed'!$A$2:$C$7,3,FALSE)*'[1]Profiles, RES, Spring'!O$4</f>
        <v>39.893858984078847</v>
      </c>
      <c r="P10" s="6">
        <f>VLOOKUP($A10,'RES installed'!$A$2:$C$7,3,FALSE)*'[1]Profiles, RES, Spring'!P$4</f>
        <v>40.166793025018954</v>
      </c>
      <c r="Q10" s="6">
        <f>VLOOKUP($A10,'RES installed'!$A$2:$C$7,3,FALSE)*'[1]Profiles, RES, Spring'!Q$4</f>
        <v>37.119029567854433</v>
      </c>
      <c r="R10" s="6">
        <f>VLOOKUP($A10,'RES installed'!$A$2:$C$7,3,FALSE)*'[1]Profiles, RES, Spring'!R$4</f>
        <v>30.181956027293403</v>
      </c>
      <c r="S10" s="6">
        <f>VLOOKUP($A10,'RES installed'!$A$2:$C$7,3,FALSE)*'[1]Profiles, RES, Spring'!S$4</f>
        <v>19.787717968157697</v>
      </c>
      <c r="T10" s="6">
        <f>VLOOKUP($A10,'RES installed'!$A$2:$C$7,3,FALSE)*'[1]Profiles, RES, Spring'!T$4</f>
        <v>7.0280515542077335</v>
      </c>
      <c r="U10" s="6">
        <f>VLOOKUP($A10,'RES installed'!$A$2:$C$7,3,FALSE)*'[1]Profiles, RES, Spring'!U$4</f>
        <v>0.7278241091736164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1504A-A722-4235-A916-8500BF5DCFD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2B266-9AF9-4D1C-8001-16512D48BE2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6446D-A4B7-4C21-9AB7-EEB0420E813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1F037-2461-4625-B59F-B0FEB5F9D26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FB5D3-9FFF-47C8-A462-6DD6471A166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A0660-12AF-4198-BF2A-456BAD655B2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7CBB4-4605-4586-A136-29D57872046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87C91-FD0F-41E9-AAF2-509FDA62714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7D011-67AD-4857-A72E-FFBE2D347BCB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BB815-0429-42A9-92EF-4B1286E2BDE5}">
  <dimension ref="A1:Y10"/>
  <sheetViews>
    <sheetView topLeftCell="G1" workbookViewId="0">
      <selection activeCell="J27" sqref="J2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40.443869618192018</v>
      </c>
      <c r="C2" s="2">
        <f>('[1]Pc, Summer, S1'!C2*Main!$B$5)+(_xlfn.IFNA(VLOOKUP($A2,'FL Ratio'!$A$3:$B$10,2,FALSE),0)*'FL Characterization'!C$2)</f>
        <v>36.745065440656099</v>
      </c>
      <c r="D2" s="2">
        <f>('[1]Pc, Summer, S1'!D2*Main!$B$5)+(_xlfn.IFNA(VLOOKUP($A2,'FL Ratio'!$A$3:$B$10,2,FALSE),0)*'FL Characterization'!D$2)</f>
        <v>36.10322464768268</v>
      </c>
      <c r="E2" s="2">
        <f>('[1]Pc, Summer, S1'!E2*Main!$B$5)+(_xlfn.IFNA(VLOOKUP($A2,'FL Ratio'!$A$3:$B$10,2,FALSE),0)*'FL Characterization'!E$2)</f>
        <v>36.010996647964006</v>
      </c>
      <c r="F2" s="2">
        <f>('[1]Pc, Summer, S1'!F2*Main!$B$5)+(_xlfn.IFNA(VLOOKUP($A2,'FL Ratio'!$A$3:$B$10,2,FALSE),0)*'FL Characterization'!F$2)</f>
        <v>36.013835758914318</v>
      </c>
      <c r="G2" s="2">
        <f>('[1]Pc, Summer, S1'!G2*Main!$B$5)+(_xlfn.IFNA(VLOOKUP($A2,'FL Ratio'!$A$3:$B$10,2,FALSE),0)*'FL Characterization'!G$2)</f>
        <v>35.695339918477231</v>
      </c>
      <c r="H2" s="2">
        <f>('[1]Pc, Summer, S1'!H2*Main!$B$5)+(_xlfn.IFNA(VLOOKUP($A2,'FL Ratio'!$A$3:$B$10,2,FALSE),0)*'FL Characterization'!H$2)</f>
        <v>38.536305853521313</v>
      </c>
      <c r="I2" s="2">
        <f>('[1]Pc, Summer, S1'!I2*Main!$B$5)+(_xlfn.IFNA(VLOOKUP($A2,'FL Ratio'!$A$3:$B$10,2,FALSE),0)*'FL Characterization'!I$2)</f>
        <v>45.752009772964556</v>
      </c>
      <c r="J2" s="2">
        <f>('[1]Pc, Summer, S1'!J2*Main!$B$5)+(_xlfn.IFNA(VLOOKUP($A2,'FL Ratio'!$A$3:$B$10,2,FALSE),0)*'FL Characterization'!J$2)</f>
        <v>52.144281703673016</v>
      </c>
      <c r="K2" s="2">
        <f>('[1]Pc, Summer, S1'!K2*Main!$B$5)+(_xlfn.IFNA(VLOOKUP($A2,'FL Ratio'!$A$3:$B$10,2,FALSE),0)*'FL Characterization'!K$2)</f>
        <v>53.746573760336346</v>
      </c>
      <c r="L2" s="2">
        <f>('[1]Pc, Summer, S1'!L2*Main!$B$5)+(_xlfn.IFNA(VLOOKUP($A2,'FL Ratio'!$A$3:$B$10,2,FALSE),0)*'FL Characterization'!L$2)</f>
        <v>53.202672772415909</v>
      </c>
      <c r="M2" s="2">
        <f>('[1]Pc, Summer, S1'!M2*Main!$B$5)+(_xlfn.IFNA(VLOOKUP($A2,'FL Ratio'!$A$3:$B$10,2,FALSE),0)*'FL Characterization'!M$2)</f>
        <v>54.707170289733568</v>
      </c>
      <c r="N2" s="2">
        <f>('[1]Pc, Summer, S1'!N2*Main!$B$5)+(_xlfn.IFNA(VLOOKUP($A2,'FL Ratio'!$A$3:$B$10,2,FALSE),0)*'FL Characterization'!N$2)</f>
        <v>55.457637315635097</v>
      </c>
      <c r="O2" s="2">
        <f>('[1]Pc, Summer, S1'!O2*Main!$B$5)+(_xlfn.IFNA(VLOOKUP($A2,'FL Ratio'!$A$3:$B$10,2,FALSE),0)*'FL Characterization'!O$2)</f>
        <v>54.431774921435284</v>
      </c>
      <c r="P2" s="2">
        <f>('[1]Pc, Summer, S1'!P2*Main!$B$5)+(_xlfn.IFNA(VLOOKUP($A2,'FL Ratio'!$A$3:$B$10,2,FALSE),0)*'FL Characterization'!P$2)</f>
        <v>52.304841955369078</v>
      </c>
      <c r="Q2" s="2">
        <f>('[1]Pc, Summer, S1'!Q2*Main!$B$5)+(_xlfn.IFNA(VLOOKUP($A2,'FL Ratio'!$A$3:$B$10,2,FALSE),0)*'FL Characterization'!Q$2)</f>
        <v>50.199662303598103</v>
      </c>
      <c r="R2" s="2">
        <f>('[1]Pc, Summer, S1'!R2*Main!$B$5)+(_xlfn.IFNA(VLOOKUP($A2,'FL Ratio'!$A$3:$B$10,2,FALSE),0)*'FL Characterization'!R$2)</f>
        <v>51.075481889516261</v>
      </c>
      <c r="S2" s="2">
        <f>('[1]Pc, Summer, S1'!S2*Main!$B$5)+(_xlfn.IFNA(VLOOKUP($A2,'FL Ratio'!$A$3:$B$10,2,FALSE),0)*'FL Characterization'!S$2)</f>
        <v>51.580094891818142</v>
      </c>
      <c r="T2" s="2">
        <f>('[1]Pc, Summer, S1'!T2*Main!$B$5)+(_xlfn.IFNA(VLOOKUP($A2,'FL Ratio'!$A$3:$B$10,2,FALSE),0)*'FL Characterization'!T$2)</f>
        <v>51.79903323361291</v>
      </c>
      <c r="U2" s="2">
        <f>('[1]Pc, Summer, S1'!U2*Main!$B$5)+(_xlfn.IFNA(VLOOKUP($A2,'FL Ratio'!$A$3:$B$10,2,FALSE),0)*'FL Characterization'!U$2)</f>
        <v>50.941521095484788</v>
      </c>
      <c r="V2" s="2">
        <f>('[1]Pc, Summer, S1'!V2*Main!$B$5)+(_xlfn.IFNA(VLOOKUP($A2,'FL Ratio'!$A$3:$B$10,2,FALSE),0)*'FL Characterization'!V$2)</f>
        <v>51.094577926275306</v>
      </c>
      <c r="W2" s="2">
        <f>('[1]Pc, Summer, S1'!W2*Main!$B$5)+(_xlfn.IFNA(VLOOKUP($A2,'FL Ratio'!$A$3:$B$10,2,FALSE),0)*'FL Characterization'!W$2)</f>
        <v>53.210811615513038</v>
      </c>
      <c r="X2" s="2">
        <f>('[1]Pc, Summer, S1'!X2*Main!$B$5)+(_xlfn.IFNA(VLOOKUP($A2,'FL Ratio'!$A$3:$B$10,2,FALSE),0)*'FL Characterization'!X$2)</f>
        <v>49.598916913954682</v>
      </c>
      <c r="Y2" s="2">
        <f>('[1]Pc, Summer, S1'!Y2*Main!$B$5)+(_xlfn.IFNA(VLOOKUP($A2,'FL Ratio'!$A$3:$B$10,2,FALSE),0)*'FL Characterization'!Y$2)</f>
        <v>45.467050576375001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43.760098082039598</v>
      </c>
      <c r="C3" s="2">
        <f>('[1]Pc, Summer, S1'!C3*Main!$B$5)+(_xlfn.IFNA(VLOOKUP($A3,'FL Ratio'!$A$3:$B$10,2,FALSE),0)*'FL Characterization'!C$2)</f>
        <v>40.182967138955973</v>
      </c>
      <c r="D3" s="2">
        <f>('[1]Pc, Summer, S1'!D3*Main!$B$5)+(_xlfn.IFNA(VLOOKUP($A3,'FL Ratio'!$A$3:$B$10,2,FALSE),0)*'FL Characterization'!D$2)</f>
        <v>38.057969019064117</v>
      </c>
      <c r="E3" s="2">
        <f>('[1]Pc, Summer, S1'!E3*Main!$B$5)+(_xlfn.IFNA(VLOOKUP($A3,'FL Ratio'!$A$3:$B$10,2,FALSE),0)*'FL Characterization'!E$2)</f>
        <v>36.660971624421443</v>
      </c>
      <c r="F3" s="2">
        <f>('[1]Pc, Summer, S1'!F3*Main!$B$5)+(_xlfn.IFNA(VLOOKUP($A3,'FL Ratio'!$A$3:$B$10,2,FALSE),0)*'FL Characterization'!F$2)</f>
        <v>36.224728231577728</v>
      </c>
      <c r="G3" s="2">
        <f>('[1]Pc, Summer, S1'!G3*Main!$B$5)+(_xlfn.IFNA(VLOOKUP($A3,'FL Ratio'!$A$3:$B$10,2,FALSE),0)*'FL Characterization'!G$2)</f>
        <v>38.398979962932479</v>
      </c>
      <c r="H3" s="2">
        <f>('[1]Pc, Summer, S1'!H3*Main!$B$5)+(_xlfn.IFNA(VLOOKUP($A3,'FL Ratio'!$A$3:$B$10,2,FALSE),0)*'FL Characterization'!H$2)</f>
        <v>48.06233737198118</v>
      </c>
      <c r="I3" s="2">
        <f>('[1]Pc, Summer, S1'!I3*Main!$B$5)+(_xlfn.IFNA(VLOOKUP($A3,'FL Ratio'!$A$3:$B$10,2,FALSE),0)*'FL Characterization'!I$2)</f>
        <v>56.974254487349342</v>
      </c>
      <c r="J3" s="2">
        <f>('[1]Pc, Summer, S1'!J3*Main!$B$5)+(_xlfn.IFNA(VLOOKUP($A3,'FL Ratio'!$A$3:$B$10,2,FALSE),0)*'FL Characterization'!J$2)</f>
        <v>59.404701400359912</v>
      </c>
      <c r="K3" s="2">
        <f>('[1]Pc, Summer, S1'!K3*Main!$B$5)+(_xlfn.IFNA(VLOOKUP($A3,'FL Ratio'!$A$3:$B$10,2,FALSE),0)*'FL Characterization'!K$2)</f>
        <v>58.311526084483653</v>
      </c>
      <c r="L3" s="2">
        <f>('[1]Pc, Summer, S1'!L3*Main!$B$5)+(_xlfn.IFNA(VLOOKUP($A3,'FL Ratio'!$A$3:$B$10,2,FALSE),0)*'FL Characterization'!L$2)</f>
        <v>58.096159035421707</v>
      </c>
      <c r="M3" s="2">
        <f>('[1]Pc, Summer, S1'!M3*Main!$B$5)+(_xlfn.IFNA(VLOOKUP($A3,'FL Ratio'!$A$3:$B$10,2,FALSE),0)*'FL Characterization'!M$2)</f>
        <v>61.955961276125535</v>
      </c>
      <c r="N3" s="2">
        <f>('[1]Pc, Summer, S1'!N3*Main!$B$5)+(_xlfn.IFNA(VLOOKUP($A3,'FL Ratio'!$A$3:$B$10,2,FALSE),0)*'FL Characterization'!N$2)</f>
        <v>62.155495600059702</v>
      </c>
      <c r="O3" s="2">
        <f>('[1]Pc, Summer, S1'!O3*Main!$B$5)+(_xlfn.IFNA(VLOOKUP($A3,'FL Ratio'!$A$3:$B$10,2,FALSE),0)*'FL Characterization'!O$2)</f>
        <v>62.606967201688512</v>
      </c>
      <c r="P3" s="2">
        <f>('[1]Pc, Summer, S1'!P3*Main!$B$5)+(_xlfn.IFNA(VLOOKUP($A3,'FL Ratio'!$A$3:$B$10,2,FALSE),0)*'FL Characterization'!P$2)</f>
        <v>59.58122328315357</v>
      </c>
      <c r="Q3" s="2">
        <f>('[1]Pc, Summer, S1'!Q3*Main!$B$5)+(_xlfn.IFNA(VLOOKUP($A3,'FL Ratio'!$A$3:$B$10,2,FALSE),0)*'FL Characterization'!Q$2)</f>
        <v>56.444464435121056</v>
      </c>
      <c r="R3" s="2">
        <f>('[1]Pc, Summer, S1'!R3*Main!$B$5)+(_xlfn.IFNA(VLOOKUP($A3,'FL Ratio'!$A$3:$B$10,2,FALSE),0)*'FL Characterization'!R$2)</f>
        <v>52.197020602600645</v>
      </c>
      <c r="S3" s="2">
        <f>('[1]Pc, Summer, S1'!S3*Main!$B$5)+(_xlfn.IFNA(VLOOKUP($A3,'FL Ratio'!$A$3:$B$10,2,FALSE),0)*'FL Characterization'!S$2)</f>
        <v>52.799654570846243</v>
      </c>
      <c r="T3" s="2">
        <f>('[1]Pc, Summer, S1'!T3*Main!$B$5)+(_xlfn.IFNA(VLOOKUP($A3,'FL Ratio'!$A$3:$B$10,2,FALSE),0)*'FL Characterization'!T$2)</f>
        <v>52.31056033574837</v>
      </c>
      <c r="U3" s="2">
        <f>('[1]Pc, Summer, S1'!U3*Main!$B$5)+(_xlfn.IFNA(VLOOKUP($A3,'FL Ratio'!$A$3:$B$10,2,FALSE),0)*'FL Characterization'!U$2)</f>
        <v>52.104307684409015</v>
      </c>
      <c r="V3" s="2">
        <f>('[1]Pc, Summer, S1'!V3*Main!$B$5)+(_xlfn.IFNA(VLOOKUP($A3,'FL Ratio'!$A$3:$B$10,2,FALSE),0)*'FL Characterization'!V$2)</f>
        <v>52.357588627584704</v>
      </c>
      <c r="W3" s="2">
        <f>('[1]Pc, Summer, S1'!W3*Main!$B$5)+(_xlfn.IFNA(VLOOKUP($A3,'FL Ratio'!$A$3:$B$10,2,FALSE),0)*'FL Characterization'!W$2)</f>
        <v>52.074299155332497</v>
      </c>
      <c r="X3" s="2">
        <f>('[1]Pc, Summer, S1'!X3*Main!$B$5)+(_xlfn.IFNA(VLOOKUP($A3,'FL Ratio'!$A$3:$B$10,2,FALSE),0)*'FL Characterization'!X$2)</f>
        <v>51.853124289817067</v>
      </c>
      <c r="Y3" s="2">
        <f>('[1]Pc, Summer, S1'!Y3*Main!$B$5)+(_xlfn.IFNA(VLOOKUP($A3,'FL Ratio'!$A$3:$B$10,2,FALSE),0)*'FL Characterization'!Y$2)</f>
        <v>49.081369605808675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58.044829145079134</v>
      </c>
      <c r="C4" s="2">
        <f>('[1]Pc, Summer, S1'!C4*Main!$B$5)+(_xlfn.IFNA(VLOOKUP($A4,'FL Ratio'!$A$3:$B$10,2,FALSE),0)*'FL Characterization'!C$2)</f>
        <v>51.518280116864645</v>
      </c>
      <c r="D4" s="2">
        <f>('[1]Pc, Summer, S1'!D4*Main!$B$5)+(_xlfn.IFNA(VLOOKUP($A4,'FL Ratio'!$A$3:$B$10,2,FALSE),0)*'FL Characterization'!D$2)</f>
        <v>48.573370105391938</v>
      </c>
      <c r="E4" s="2">
        <f>('[1]Pc, Summer, S1'!E4*Main!$B$5)+(_xlfn.IFNA(VLOOKUP($A4,'FL Ratio'!$A$3:$B$10,2,FALSE),0)*'FL Characterization'!E$2)</f>
        <v>46.980789148698705</v>
      </c>
      <c r="F4" s="2">
        <f>('[1]Pc, Summer, S1'!F4*Main!$B$5)+(_xlfn.IFNA(VLOOKUP($A4,'FL Ratio'!$A$3:$B$10,2,FALSE),0)*'FL Characterization'!F$2)</f>
        <v>49.222717640956375</v>
      </c>
      <c r="G4" s="2">
        <f>('[1]Pc, Summer, S1'!G4*Main!$B$5)+(_xlfn.IFNA(VLOOKUP($A4,'FL Ratio'!$A$3:$B$10,2,FALSE),0)*'FL Characterization'!G$2)</f>
        <v>44.951925491280498</v>
      </c>
      <c r="H4" s="2">
        <f>('[1]Pc, Summer, S1'!H4*Main!$B$5)+(_xlfn.IFNA(VLOOKUP($A4,'FL Ratio'!$A$3:$B$10,2,FALSE),0)*'FL Characterization'!H$2)</f>
        <v>52.804511115378723</v>
      </c>
      <c r="I4" s="2">
        <f>('[1]Pc, Summer, S1'!I4*Main!$B$5)+(_xlfn.IFNA(VLOOKUP($A4,'FL Ratio'!$A$3:$B$10,2,FALSE),0)*'FL Characterization'!I$2)</f>
        <v>59.263049164939694</v>
      </c>
      <c r="J4" s="2">
        <f>('[1]Pc, Summer, S1'!J4*Main!$B$5)+(_xlfn.IFNA(VLOOKUP($A4,'FL Ratio'!$A$3:$B$10,2,FALSE),0)*'FL Characterization'!J$2)</f>
        <v>66.675704321718726</v>
      </c>
      <c r="K4" s="2">
        <f>('[1]Pc, Summer, S1'!K4*Main!$B$5)+(_xlfn.IFNA(VLOOKUP($A4,'FL Ratio'!$A$3:$B$10,2,FALSE),0)*'FL Characterization'!K$2)</f>
        <v>71.681356393173999</v>
      </c>
      <c r="L4" s="2">
        <f>('[1]Pc, Summer, S1'!L4*Main!$B$5)+(_xlfn.IFNA(VLOOKUP($A4,'FL Ratio'!$A$3:$B$10,2,FALSE),0)*'FL Characterization'!L$2)</f>
        <v>73.772798377983008</v>
      </c>
      <c r="M4" s="2">
        <f>('[1]Pc, Summer, S1'!M4*Main!$B$5)+(_xlfn.IFNA(VLOOKUP($A4,'FL Ratio'!$A$3:$B$10,2,FALSE),0)*'FL Characterization'!M$2)</f>
        <v>75.003284212612826</v>
      </c>
      <c r="N4" s="2">
        <f>('[1]Pc, Summer, S1'!N4*Main!$B$5)+(_xlfn.IFNA(VLOOKUP($A4,'FL Ratio'!$A$3:$B$10,2,FALSE),0)*'FL Characterization'!N$2)</f>
        <v>76.668915725581414</v>
      </c>
      <c r="O4" s="2">
        <f>('[1]Pc, Summer, S1'!O4*Main!$B$5)+(_xlfn.IFNA(VLOOKUP($A4,'FL Ratio'!$A$3:$B$10,2,FALSE),0)*'FL Characterization'!O$2)</f>
        <v>77.743944648540165</v>
      </c>
      <c r="P4" s="2">
        <f>('[1]Pc, Summer, S1'!P4*Main!$B$5)+(_xlfn.IFNA(VLOOKUP($A4,'FL Ratio'!$A$3:$B$10,2,FALSE),0)*'FL Characterization'!P$2)</f>
        <v>78.077930008849293</v>
      </c>
      <c r="Q4" s="2">
        <f>('[1]Pc, Summer, S1'!Q4*Main!$B$5)+(_xlfn.IFNA(VLOOKUP($A4,'FL Ratio'!$A$3:$B$10,2,FALSE),0)*'FL Characterization'!Q$2)</f>
        <v>75.1567001790322</v>
      </c>
      <c r="R4" s="2">
        <f>('[1]Pc, Summer, S1'!R4*Main!$B$5)+(_xlfn.IFNA(VLOOKUP($A4,'FL Ratio'!$A$3:$B$10,2,FALSE),0)*'FL Characterization'!R$2)</f>
        <v>74.738968352431883</v>
      </c>
      <c r="S4" s="2">
        <f>('[1]Pc, Summer, S1'!S4*Main!$B$5)+(_xlfn.IFNA(VLOOKUP($A4,'FL Ratio'!$A$3:$B$10,2,FALSE),0)*'FL Characterization'!S$2)</f>
        <v>72.450387510154826</v>
      </c>
      <c r="T4" s="2">
        <f>('[1]Pc, Summer, S1'!T4*Main!$B$5)+(_xlfn.IFNA(VLOOKUP($A4,'FL Ratio'!$A$3:$B$10,2,FALSE),0)*'FL Characterization'!T$2)</f>
        <v>72.336267252924685</v>
      </c>
      <c r="U4" s="2">
        <f>('[1]Pc, Summer, S1'!U4*Main!$B$5)+(_xlfn.IFNA(VLOOKUP($A4,'FL Ratio'!$A$3:$B$10,2,FALSE),0)*'FL Characterization'!U$2)</f>
        <v>72.719031616900338</v>
      </c>
      <c r="V4" s="2">
        <f>('[1]Pc, Summer, S1'!V4*Main!$B$5)+(_xlfn.IFNA(VLOOKUP($A4,'FL Ratio'!$A$3:$B$10,2,FALSE),0)*'FL Characterization'!V$2)</f>
        <v>72.3785619247505</v>
      </c>
      <c r="W4" s="2">
        <f>('[1]Pc, Summer, S1'!W4*Main!$B$5)+(_xlfn.IFNA(VLOOKUP($A4,'FL Ratio'!$A$3:$B$10,2,FALSE),0)*'FL Characterization'!W$2)</f>
        <v>74.66331289492868</v>
      </c>
      <c r="X4" s="2">
        <f>('[1]Pc, Summer, S1'!X4*Main!$B$5)+(_xlfn.IFNA(VLOOKUP($A4,'FL Ratio'!$A$3:$B$10,2,FALSE),0)*'FL Characterization'!X$2)</f>
        <v>74.591540026341022</v>
      </c>
      <c r="Y4" s="2">
        <f>('[1]Pc, Summer, S1'!Y4*Main!$B$5)+(_xlfn.IFNA(VLOOKUP($A4,'FL Ratio'!$A$3:$B$10,2,FALSE),0)*'FL Characterization'!Y$2)</f>
        <v>67.317194221897637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40.443869618192018</v>
      </c>
      <c r="C2" s="2">
        <f>('[1]Pc, Summer, S1'!C2*Main!$B$5)+(_xlfn.IFNA(VLOOKUP($A2,'FL Ratio'!$A$3:$B$10,2,FALSE),0)*'FL Characterization'!C$2)</f>
        <v>36.745065440656099</v>
      </c>
      <c r="D2" s="2">
        <f>('[1]Pc, Summer, S1'!D2*Main!$B$5)+(_xlfn.IFNA(VLOOKUP($A2,'FL Ratio'!$A$3:$B$10,2,FALSE),0)*'FL Characterization'!D$2)</f>
        <v>36.10322464768268</v>
      </c>
      <c r="E2" s="2">
        <f>('[1]Pc, Summer, S1'!E2*Main!$B$5)+(_xlfn.IFNA(VLOOKUP($A2,'FL Ratio'!$A$3:$B$10,2,FALSE),0)*'FL Characterization'!E$2)</f>
        <v>36.010996647964006</v>
      </c>
      <c r="F2" s="2">
        <f>('[1]Pc, Summer, S1'!F2*Main!$B$5)+(_xlfn.IFNA(VLOOKUP($A2,'FL Ratio'!$A$3:$B$10,2,FALSE),0)*'FL Characterization'!F$2)</f>
        <v>36.013835758914318</v>
      </c>
      <c r="G2" s="2">
        <f>('[1]Pc, Summer, S1'!G2*Main!$B$5)+(_xlfn.IFNA(VLOOKUP($A2,'FL Ratio'!$A$3:$B$10,2,FALSE),0)*'FL Characterization'!G$2)</f>
        <v>35.695339918477231</v>
      </c>
      <c r="H2" s="2">
        <f>('[1]Pc, Summer, S1'!H2*Main!$B$5)+(_xlfn.IFNA(VLOOKUP($A2,'FL Ratio'!$A$3:$B$10,2,FALSE),0)*'FL Characterization'!H$2)</f>
        <v>38.536305853521313</v>
      </c>
      <c r="I2" s="2">
        <f>('[1]Pc, Summer, S1'!I2*Main!$B$5)+(_xlfn.IFNA(VLOOKUP($A2,'FL Ratio'!$A$3:$B$10,2,FALSE),0)*'FL Characterization'!I$2)</f>
        <v>45.752009772964556</v>
      </c>
      <c r="J2" s="2">
        <f>('[1]Pc, Summer, S1'!J2*Main!$B$5)+(_xlfn.IFNA(VLOOKUP($A2,'FL Ratio'!$A$3:$B$10,2,FALSE),0)*'FL Characterization'!J$2)</f>
        <v>52.144281703673016</v>
      </c>
      <c r="K2" s="2">
        <f>('[1]Pc, Summer, S1'!K2*Main!$B$5)+(_xlfn.IFNA(VLOOKUP($A2,'FL Ratio'!$A$3:$B$10,2,FALSE),0)*'FL Characterization'!K$2)</f>
        <v>53.746573760336346</v>
      </c>
      <c r="L2" s="2">
        <f>('[1]Pc, Summer, S1'!L2*Main!$B$5)+(_xlfn.IFNA(VLOOKUP($A2,'FL Ratio'!$A$3:$B$10,2,FALSE),0)*'FL Characterization'!L$2)</f>
        <v>53.202672772415909</v>
      </c>
      <c r="M2" s="2">
        <f>('[1]Pc, Summer, S1'!M2*Main!$B$5)+(_xlfn.IFNA(VLOOKUP($A2,'FL Ratio'!$A$3:$B$10,2,FALSE),0)*'FL Characterization'!M$2)</f>
        <v>54.707170289733568</v>
      </c>
      <c r="N2" s="2">
        <f>('[1]Pc, Summer, S1'!N2*Main!$B$5)+(_xlfn.IFNA(VLOOKUP($A2,'FL Ratio'!$A$3:$B$10,2,FALSE),0)*'FL Characterization'!N$2)</f>
        <v>55.457637315635097</v>
      </c>
      <c r="O2" s="2">
        <f>('[1]Pc, Summer, S1'!O2*Main!$B$5)+(_xlfn.IFNA(VLOOKUP($A2,'FL Ratio'!$A$3:$B$10,2,FALSE),0)*'FL Characterization'!O$2)</f>
        <v>54.431774921435284</v>
      </c>
      <c r="P2" s="2">
        <f>('[1]Pc, Summer, S1'!P2*Main!$B$5)+(_xlfn.IFNA(VLOOKUP($A2,'FL Ratio'!$A$3:$B$10,2,FALSE),0)*'FL Characterization'!P$2)</f>
        <v>52.304841955369078</v>
      </c>
      <c r="Q2" s="2">
        <f>('[1]Pc, Summer, S1'!Q2*Main!$B$5)+(_xlfn.IFNA(VLOOKUP($A2,'FL Ratio'!$A$3:$B$10,2,FALSE),0)*'FL Characterization'!Q$2)</f>
        <v>50.199662303598103</v>
      </c>
      <c r="R2" s="2">
        <f>('[1]Pc, Summer, S1'!R2*Main!$B$5)+(_xlfn.IFNA(VLOOKUP($A2,'FL Ratio'!$A$3:$B$10,2,FALSE),0)*'FL Characterization'!R$2)</f>
        <v>51.075481889516261</v>
      </c>
      <c r="S2" s="2">
        <f>('[1]Pc, Summer, S1'!S2*Main!$B$5)+(_xlfn.IFNA(VLOOKUP($A2,'FL Ratio'!$A$3:$B$10,2,FALSE),0)*'FL Characterization'!S$2)</f>
        <v>51.580094891818142</v>
      </c>
      <c r="T2" s="2">
        <f>('[1]Pc, Summer, S1'!T2*Main!$B$5)+(_xlfn.IFNA(VLOOKUP($A2,'FL Ratio'!$A$3:$B$10,2,FALSE),0)*'FL Characterization'!T$2)</f>
        <v>51.79903323361291</v>
      </c>
      <c r="U2" s="2">
        <f>('[1]Pc, Summer, S1'!U2*Main!$B$5)+(_xlfn.IFNA(VLOOKUP($A2,'FL Ratio'!$A$3:$B$10,2,FALSE),0)*'FL Characterization'!U$2)</f>
        <v>50.941521095484788</v>
      </c>
      <c r="V2" s="2">
        <f>('[1]Pc, Summer, S1'!V2*Main!$B$5)+(_xlfn.IFNA(VLOOKUP($A2,'FL Ratio'!$A$3:$B$10,2,FALSE),0)*'FL Characterization'!V$2)</f>
        <v>51.094577926275306</v>
      </c>
      <c r="W2" s="2">
        <f>('[1]Pc, Summer, S1'!W2*Main!$B$5)+(_xlfn.IFNA(VLOOKUP($A2,'FL Ratio'!$A$3:$B$10,2,FALSE),0)*'FL Characterization'!W$2)</f>
        <v>53.210811615513038</v>
      </c>
      <c r="X2" s="2">
        <f>('[1]Pc, Summer, S1'!X2*Main!$B$5)+(_xlfn.IFNA(VLOOKUP($A2,'FL Ratio'!$A$3:$B$10,2,FALSE),0)*'FL Characterization'!X$2)</f>
        <v>49.598916913954682</v>
      </c>
      <c r="Y2" s="2">
        <f>('[1]Pc, Summer, S1'!Y2*Main!$B$5)+(_xlfn.IFNA(VLOOKUP($A2,'FL Ratio'!$A$3:$B$10,2,FALSE),0)*'FL Characterization'!Y$2)</f>
        <v>45.467050576375001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43.760098082039598</v>
      </c>
      <c r="C3" s="2">
        <f>('[1]Pc, Summer, S1'!C3*Main!$B$5)+(_xlfn.IFNA(VLOOKUP($A3,'FL Ratio'!$A$3:$B$10,2,FALSE),0)*'FL Characterization'!C$2)</f>
        <v>40.182967138955973</v>
      </c>
      <c r="D3" s="2">
        <f>('[1]Pc, Summer, S1'!D3*Main!$B$5)+(_xlfn.IFNA(VLOOKUP($A3,'FL Ratio'!$A$3:$B$10,2,FALSE),0)*'FL Characterization'!D$2)</f>
        <v>38.057969019064117</v>
      </c>
      <c r="E3" s="2">
        <f>('[1]Pc, Summer, S1'!E3*Main!$B$5)+(_xlfn.IFNA(VLOOKUP($A3,'FL Ratio'!$A$3:$B$10,2,FALSE),0)*'FL Characterization'!E$2)</f>
        <v>36.660971624421443</v>
      </c>
      <c r="F3" s="2">
        <f>('[1]Pc, Summer, S1'!F3*Main!$B$5)+(_xlfn.IFNA(VLOOKUP($A3,'FL Ratio'!$A$3:$B$10,2,FALSE),0)*'FL Characterization'!F$2)</f>
        <v>36.224728231577728</v>
      </c>
      <c r="G3" s="2">
        <f>('[1]Pc, Summer, S1'!G3*Main!$B$5)+(_xlfn.IFNA(VLOOKUP($A3,'FL Ratio'!$A$3:$B$10,2,FALSE),0)*'FL Characterization'!G$2)</f>
        <v>38.398979962932479</v>
      </c>
      <c r="H3" s="2">
        <f>('[1]Pc, Summer, S1'!H3*Main!$B$5)+(_xlfn.IFNA(VLOOKUP($A3,'FL Ratio'!$A$3:$B$10,2,FALSE),0)*'FL Characterization'!H$2)</f>
        <v>48.06233737198118</v>
      </c>
      <c r="I3" s="2">
        <f>('[1]Pc, Summer, S1'!I3*Main!$B$5)+(_xlfn.IFNA(VLOOKUP($A3,'FL Ratio'!$A$3:$B$10,2,FALSE),0)*'FL Characterization'!I$2)</f>
        <v>56.974254487349342</v>
      </c>
      <c r="J3" s="2">
        <f>('[1]Pc, Summer, S1'!J3*Main!$B$5)+(_xlfn.IFNA(VLOOKUP($A3,'FL Ratio'!$A$3:$B$10,2,FALSE),0)*'FL Characterization'!J$2)</f>
        <v>59.404701400359912</v>
      </c>
      <c r="K3" s="2">
        <f>('[1]Pc, Summer, S1'!K3*Main!$B$5)+(_xlfn.IFNA(VLOOKUP($A3,'FL Ratio'!$A$3:$B$10,2,FALSE),0)*'FL Characterization'!K$2)</f>
        <v>58.311526084483653</v>
      </c>
      <c r="L3" s="2">
        <f>('[1]Pc, Summer, S1'!L3*Main!$B$5)+(_xlfn.IFNA(VLOOKUP($A3,'FL Ratio'!$A$3:$B$10,2,FALSE),0)*'FL Characterization'!L$2)</f>
        <v>58.096159035421707</v>
      </c>
      <c r="M3" s="2">
        <f>('[1]Pc, Summer, S1'!M3*Main!$B$5)+(_xlfn.IFNA(VLOOKUP($A3,'FL Ratio'!$A$3:$B$10,2,FALSE),0)*'FL Characterization'!M$2)</f>
        <v>61.955961276125535</v>
      </c>
      <c r="N3" s="2">
        <f>('[1]Pc, Summer, S1'!N3*Main!$B$5)+(_xlfn.IFNA(VLOOKUP($A3,'FL Ratio'!$A$3:$B$10,2,FALSE),0)*'FL Characterization'!N$2)</f>
        <v>62.155495600059702</v>
      </c>
      <c r="O3" s="2">
        <f>('[1]Pc, Summer, S1'!O3*Main!$B$5)+(_xlfn.IFNA(VLOOKUP($A3,'FL Ratio'!$A$3:$B$10,2,FALSE),0)*'FL Characterization'!O$2)</f>
        <v>62.606967201688512</v>
      </c>
      <c r="P3" s="2">
        <f>('[1]Pc, Summer, S1'!P3*Main!$B$5)+(_xlfn.IFNA(VLOOKUP($A3,'FL Ratio'!$A$3:$B$10,2,FALSE),0)*'FL Characterization'!P$2)</f>
        <v>59.58122328315357</v>
      </c>
      <c r="Q3" s="2">
        <f>('[1]Pc, Summer, S1'!Q3*Main!$B$5)+(_xlfn.IFNA(VLOOKUP($A3,'FL Ratio'!$A$3:$B$10,2,FALSE),0)*'FL Characterization'!Q$2)</f>
        <v>56.444464435121056</v>
      </c>
      <c r="R3" s="2">
        <f>('[1]Pc, Summer, S1'!R3*Main!$B$5)+(_xlfn.IFNA(VLOOKUP($A3,'FL Ratio'!$A$3:$B$10,2,FALSE),0)*'FL Characterization'!R$2)</f>
        <v>52.197020602600645</v>
      </c>
      <c r="S3" s="2">
        <f>('[1]Pc, Summer, S1'!S3*Main!$B$5)+(_xlfn.IFNA(VLOOKUP($A3,'FL Ratio'!$A$3:$B$10,2,FALSE),0)*'FL Characterization'!S$2)</f>
        <v>52.799654570846243</v>
      </c>
      <c r="T3" s="2">
        <f>('[1]Pc, Summer, S1'!T3*Main!$B$5)+(_xlfn.IFNA(VLOOKUP($A3,'FL Ratio'!$A$3:$B$10,2,FALSE),0)*'FL Characterization'!T$2)</f>
        <v>52.31056033574837</v>
      </c>
      <c r="U3" s="2">
        <f>('[1]Pc, Summer, S1'!U3*Main!$B$5)+(_xlfn.IFNA(VLOOKUP($A3,'FL Ratio'!$A$3:$B$10,2,FALSE),0)*'FL Characterization'!U$2)</f>
        <v>52.104307684409015</v>
      </c>
      <c r="V3" s="2">
        <f>('[1]Pc, Summer, S1'!V3*Main!$B$5)+(_xlfn.IFNA(VLOOKUP($A3,'FL Ratio'!$A$3:$B$10,2,FALSE),0)*'FL Characterization'!V$2)</f>
        <v>52.357588627584704</v>
      </c>
      <c r="W3" s="2">
        <f>('[1]Pc, Summer, S1'!W3*Main!$B$5)+(_xlfn.IFNA(VLOOKUP($A3,'FL Ratio'!$A$3:$B$10,2,FALSE),0)*'FL Characterization'!W$2)</f>
        <v>52.074299155332497</v>
      </c>
      <c r="X3" s="2">
        <f>('[1]Pc, Summer, S1'!X3*Main!$B$5)+(_xlfn.IFNA(VLOOKUP($A3,'FL Ratio'!$A$3:$B$10,2,FALSE),0)*'FL Characterization'!X$2)</f>
        <v>51.853124289817067</v>
      </c>
      <c r="Y3" s="2">
        <f>('[1]Pc, Summer, S1'!Y3*Main!$B$5)+(_xlfn.IFNA(VLOOKUP($A3,'FL Ratio'!$A$3:$B$10,2,FALSE),0)*'FL Characterization'!Y$2)</f>
        <v>49.081369605808675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58.044829145079134</v>
      </c>
      <c r="C4" s="2">
        <f>('[1]Pc, Summer, S1'!C4*Main!$B$5)+(_xlfn.IFNA(VLOOKUP($A4,'FL Ratio'!$A$3:$B$10,2,FALSE),0)*'FL Characterization'!C$2)</f>
        <v>51.518280116864645</v>
      </c>
      <c r="D4" s="2">
        <f>('[1]Pc, Summer, S1'!D4*Main!$B$5)+(_xlfn.IFNA(VLOOKUP($A4,'FL Ratio'!$A$3:$B$10,2,FALSE),0)*'FL Characterization'!D$2)</f>
        <v>48.573370105391938</v>
      </c>
      <c r="E4" s="2">
        <f>('[1]Pc, Summer, S1'!E4*Main!$B$5)+(_xlfn.IFNA(VLOOKUP($A4,'FL Ratio'!$A$3:$B$10,2,FALSE),0)*'FL Characterization'!E$2)</f>
        <v>46.980789148698705</v>
      </c>
      <c r="F4" s="2">
        <f>('[1]Pc, Summer, S1'!F4*Main!$B$5)+(_xlfn.IFNA(VLOOKUP($A4,'FL Ratio'!$A$3:$B$10,2,FALSE),0)*'FL Characterization'!F$2)</f>
        <v>49.222717640956375</v>
      </c>
      <c r="G4" s="2">
        <f>('[1]Pc, Summer, S1'!G4*Main!$B$5)+(_xlfn.IFNA(VLOOKUP($A4,'FL Ratio'!$A$3:$B$10,2,FALSE),0)*'FL Characterization'!G$2)</f>
        <v>44.951925491280498</v>
      </c>
      <c r="H4" s="2">
        <f>('[1]Pc, Summer, S1'!H4*Main!$B$5)+(_xlfn.IFNA(VLOOKUP($A4,'FL Ratio'!$A$3:$B$10,2,FALSE),0)*'FL Characterization'!H$2)</f>
        <v>52.804511115378723</v>
      </c>
      <c r="I4" s="2">
        <f>('[1]Pc, Summer, S1'!I4*Main!$B$5)+(_xlfn.IFNA(VLOOKUP($A4,'FL Ratio'!$A$3:$B$10,2,FALSE),0)*'FL Characterization'!I$2)</f>
        <v>59.263049164939694</v>
      </c>
      <c r="J4" s="2">
        <f>('[1]Pc, Summer, S1'!J4*Main!$B$5)+(_xlfn.IFNA(VLOOKUP($A4,'FL Ratio'!$A$3:$B$10,2,FALSE),0)*'FL Characterization'!J$2)</f>
        <v>66.675704321718726</v>
      </c>
      <c r="K4" s="2">
        <f>('[1]Pc, Summer, S1'!K4*Main!$B$5)+(_xlfn.IFNA(VLOOKUP($A4,'FL Ratio'!$A$3:$B$10,2,FALSE),0)*'FL Characterization'!K$2)</f>
        <v>71.681356393173999</v>
      </c>
      <c r="L4" s="2">
        <f>('[1]Pc, Summer, S1'!L4*Main!$B$5)+(_xlfn.IFNA(VLOOKUP($A4,'FL Ratio'!$A$3:$B$10,2,FALSE),0)*'FL Characterization'!L$2)</f>
        <v>73.772798377983008</v>
      </c>
      <c r="M4" s="2">
        <f>('[1]Pc, Summer, S1'!M4*Main!$B$5)+(_xlfn.IFNA(VLOOKUP($A4,'FL Ratio'!$A$3:$B$10,2,FALSE),0)*'FL Characterization'!M$2)</f>
        <v>75.003284212612826</v>
      </c>
      <c r="N4" s="2">
        <f>('[1]Pc, Summer, S1'!N4*Main!$B$5)+(_xlfn.IFNA(VLOOKUP($A4,'FL Ratio'!$A$3:$B$10,2,FALSE),0)*'FL Characterization'!N$2)</f>
        <v>76.668915725581414</v>
      </c>
      <c r="O4" s="2">
        <f>('[1]Pc, Summer, S1'!O4*Main!$B$5)+(_xlfn.IFNA(VLOOKUP($A4,'FL Ratio'!$A$3:$B$10,2,FALSE),0)*'FL Characterization'!O$2)</f>
        <v>77.743944648540165</v>
      </c>
      <c r="P4" s="2">
        <f>('[1]Pc, Summer, S1'!P4*Main!$B$5)+(_xlfn.IFNA(VLOOKUP($A4,'FL Ratio'!$A$3:$B$10,2,FALSE),0)*'FL Characterization'!P$2)</f>
        <v>78.077930008849293</v>
      </c>
      <c r="Q4" s="2">
        <f>('[1]Pc, Summer, S1'!Q4*Main!$B$5)+(_xlfn.IFNA(VLOOKUP($A4,'FL Ratio'!$A$3:$B$10,2,FALSE),0)*'FL Characterization'!Q$2)</f>
        <v>75.1567001790322</v>
      </c>
      <c r="R4" s="2">
        <f>('[1]Pc, Summer, S1'!R4*Main!$B$5)+(_xlfn.IFNA(VLOOKUP($A4,'FL Ratio'!$A$3:$B$10,2,FALSE),0)*'FL Characterization'!R$2)</f>
        <v>74.738968352431883</v>
      </c>
      <c r="S4" s="2">
        <f>('[1]Pc, Summer, S1'!S4*Main!$B$5)+(_xlfn.IFNA(VLOOKUP($A4,'FL Ratio'!$A$3:$B$10,2,FALSE),0)*'FL Characterization'!S$2)</f>
        <v>72.450387510154826</v>
      </c>
      <c r="T4" s="2">
        <f>('[1]Pc, Summer, S1'!T4*Main!$B$5)+(_xlfn.IFNA(VLOOKUP($A4,'FL Ratio'!$A$3:$B$10,2,FALSE),0)*'FL Characterization'!T$2)</f>
        <v>72.336267252924685</v>
      </c>
      <c r="U4" s="2">
        <f>('[1]Pc, Summer, S1'!U4*Main!$B$5)+(_xlfn.IFNA(VLOOKUP($A4,'FL Ratio'!$A$3:$B$10,2,FALSE),0)*'FL Characterization'!U$2)</f>
        <v>72.719031616900338</v>
      </c>
      <c r="V4" s="2">
        <f>('[1]Pc, Summer, S1'!V4*Main!$B$5)+(_xlfn.IFNA(VLOOKUP($A4,'FL Ratio'!$A$3:$B$10,2,FALSE),0)*'FL Characterization'!V$2)</f>
        <v>72.3785619247505</v>
      </c>
      <c r="W4" s="2">
        <f>('[1]Pc, Summer, S1'!W4*Main!$B$5)+(_xlfn.IFNA(VLOOKUP($A4,'FL Ratio'!$A$3:$B$10,2,FALSE),0)*'FL Characterization'!W$2)</f>
        <v>74.66331289492868</v>
      </c>
      <c r="X4" s="2">
        <f>('[1]Pc, Summer, S1'!X4*Main!$B$5)+(_xlfn.IFNA(VLOOKUP($A4,'FL Ratio'!$A$3:$B$10,2,FALSE),0)*'FL Characterization'!X$2)</f>
        <v>74.591540026341022</v>
      </c>
      <c r="Y4" s="2">
        <f>('[1]Pc, Summer, S1'!Y4*Main!$B$5)+(_xlfn.IFNA(VLOOKUP($A4,'FL Ratio'!$A$3:$B$10,2,FALSE),0)*'FL Characterization'!Y$2)</f>
        <v>67.317194221897637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40.443869618192018</v>
      </c>
      <c r="C2" s="2">
        <f>('[1]Pc, Summer, S1'!C2*Main!$B$5)+(_xlfn.IFNA(VLOOKUP($A2,'FL Ratio'!$A$3:$B$10,2,FALSE),0)*'FL Characterization'!C$2)</f>
        <v>36.745065440656099</v>
      </c>
      <c r="D2" s="2">
        <f>('[1]Pc, Summer, S1'!D2*Main!$B$5)+(_xlfn.IFNA(VLOOKUP($A2,'FL Ratio'!$A$3:$B$10,2,FALSE),0)*'FL Characterization'!D$2)</f>
        <v>36.10322464768268</v>
      </c>
      <c r="E2" s="2">
        <f>('[1]Pc, Summer, S1'!E2*Main!$B$5)+(_xlfn.IFNA(VLOOKUP($A2,'FL Ratio'!$A$3:$B$10,2,FALSE),0)*'FL Characterization'!E$2)</f>
        <v>36.010996647964006</v>
      </c>
      <c r="F2" s="2">
        <f>('[1]Pc, Summer, S1'!F2*Main!$B$5)+(_xlfn.IFNA(VLOOKUP($A2,'FL Ratio'!$A$3:$B$10,2,FALSE),0)*'FL Characterization'!F$2)</f>
        <v>36.013835758914318</v>
      </c>
      <c r="G2" s="2">
        <f>('[1]Pc, Summer, S1'!G2*Main!$B$5)+(_xlfn.IFNA(VLOOKUP($A2,'FL Ratio'!$A$3:$B$10,2,FALSE),0)*'FL Characterization'!G$2)</f>
        <v>35.695339918477231</v>
      </c>
      <c r="H2" s="2">
        <f>('[1]Pc, Summer, S1'!H2*Main!$B$5)+(_xlfn.IFNA(VLOOKUP($A2,'FL Ratio'!$A$3:$B$10,2,FALSE),0)*'FL Characterization'!H$2)</f>
        <v>38.536305853521313</v>
      </c>
      <c r="I2" s="2">
        <f>('[1]Pc, Summer, S1'!I2*Main!$B$5)+(_xlfn.IFNA(VLOOKUP($A2,'FL Ratio'!$A$3:$B$10,2,FALSE),0)*'FL Characterization'!I$2)</f>
        <v>45.752009772964556</v>
      </c>
      <c r="J2" s="2">
        <f>('[1]Pc, Summer, S1'!J2*Main!$B$5)+(_xlfn.IFNA(VLOOKUP($A2,'FL Ratio'!$A$3:$B$10,2,FALSE),0)*'FL Characterization'!J$2)</f>
        <v>52.144281703673016</v>
      </c>
      <c r="K2" s="2">
        <f>('[1]Pc, Summer, S1'!K2*Main!$B$5)+(_xlfn.IFNA(VLOOKUP($A2,'FL Ratio'!$A$3:$B$10,2,FALSE),0)*'FL Characterization'!K$2)</f>
        <v>53.746573760336346</v>
      </c>
      <c r="L2" s="2">
        <f>('[1]Pc, Summer, S1'!L2*Main!$B$5)+(_xlfn.IFNA(VLOOKUP($A2,'FL Ratio'!$A$3:$B$10,2,FALSE),0)*'FL Characterization'!L$2)</f>
        <v>53.202672772415909</v>
      </c>
      <c r="M2" s="2">
        <f>('[1]Pc, Summer, S1'!M2*Main!$B$5)+(_xlfn.IFNA(VLOOKUP($A2,'FL Ratio'!$A$3:$B$10,2,FALSE),0)*'FL Characterization'!M$2)</f>
        <v>54.707170289733568</v>
      </c>
      <c r="N2" s="2">
        <f>('[1]Pc, Summer, S1'!N2*Main!$B$5)+(_xlfn.IFNA(VLOOKUP($A2,'FL Ratio'!$A$3:$B$10,2,FALSE),0)*'FL Characterization'!N$2)</f>
        <v>55.457637315635097</v>
      </c>
      <c r="O2" s="2">
        <f>('[1]Pc, Summer, S1'!O2*Main!$B$5)+(_xlfn.IFNA(VLOOKUP($A2,'FL Ratio'!$A$3:$B$10,2,FALSE),0)*'FL Characterization'!O$2)</f>
        <v>54.431774921435284</v>
      </c>
      <c r="P2" s="2">
        <f>('[1]Pc, Summer, S1'!P2*Main!$B$5)+(_xlfn.IFNA(VLOOKUP($A2,'FL Ratio'!$A$3:$B$10,2,FALSE),0)*'FL Characterization'!P$2)</f>
        <v>52.304841955369078</v>
      </c>
      <c r="Q2" s="2">
        <f>('[1]Pc, Summer, S1'!Q2*Main!$B$5)+(_xlfn.IFNA(VLOOKUP($A2,'FL Ratio'!$A$3:$B$10,2,FALSE),0)*'FL Characterization'!Q$2)</f>
        <v>50.199662303598103</v>
      </c>
      <c r="R2" s="2">
        <f>('[1]Pc, Summer, S1'!R2*Main!$B$5)+(_xlfn.IFNA(VLOOKUP($A2,'FL Ratio'!$A$3:$B$10,2,FALSE),0)*'FL Characterization'!R$2)</f>
        <v>51.075481889516261</v>
      </c>
      <c r="S2" s="2">
        <f>('[1]Pc, Summer, S1'!S2*Main!$B$5)+(_xlfn.IFNA(VLOOKUP($A2,'FL Ratio'!$A$3:$B$10,2,FALSE),0)*'FL Characterization'!S$2)</f>
        <v>51.580094891818142</v>
      </c>
      <c r="T2" s="2">
        <f>('[1]Pc, Summer, S1'!T2*Main!$B$5)+(_xlfn.IFNA(VLOOKUP($A2,'FL Ratio'!$A$3:$B$10,2,FALSE),0)*'FL Characterization'!T$2)</f>
        <v>51.79903323361291</v>
      </c>
      <c r="U2" s="2">
        <f>('[1]Pc, Summer, S1'!U2*Main!$B$5)+(_xlfn.IFNA(VLOOKUP($A2,'FL Ratio'!$A$3:$B$10,2,FALSE),0)*'FL Characterization'!U$2)</f>
        <v>50.941521095484788</v>
      </c>
      <c r="V2" s="2">
        <f>('[1]Pc, Summer, S1'!V2*Main!$B$5)+(_xlfn.IFNA(VLOOKUP($A2,'FL Ratio'!$A$3:$B$10,2,FALSE),0)*'FL Characterization'!V$2)</f>
        <v>51.094577926275306</v>
      </c>
      <c r="W2" s="2">
        <f>('[1]Pc, Summer, S1'!W2*Main!$B$5)+(_xlfn.IFNA(VLOOKUP($A2,'FL Ratio'!$A$3:$B$10,2,FALSE),0)*'FL Characterization'!W$2)</f>
        <v>53.210811615513038</v>
      </c>
      <c r="X2" s="2">
        <f>('[1]Pc, Summer, S1'!X2*Main!$B$5)+(_xlfn.IFNA(VLOOKUP($A2,'FL Ratio'!$A$3:$B$10,2,FALSE),0)*'FL Characterization'!X$2)</f>
        <v>49.598916913954682</v>
      </c>
      <c r="Y2" s="2">
        <f>('[1]Pc, Summer, S1'!Y2*Main!$B$5)+(_xlfn.IFNA(VLOOKUP($A2,'FL Ratio'!$A$3:$B$10,2,FALSE),0)*'FL Characterization'!Y$2)</f>
        <v>45.467050576375001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43.760098082039598</v>
      </c>
      <c r="C3" s="2">
        <f>('[1]Pc, Summer, S1'!C3*Main!$B$5)+(_xlfn.IFNA(VLOOKUP($A3,'FL Ratio'!$A$3:$B$10,2,FALSE),0)*'FL Characterization'!C$2)</f>
        <v>40.182967138955973</v>
      </c>
      <c r="D3" s="2">
        <f>('[1]Pc, Summer, S1'!D3*Main!$B$5)+(_xlfn.IFNA(VLOOKUP($A3,'FL Ratio'!$A$3:$B$10,2,FALSE),0)*'FL Characterization'!D$2)</f>
        <v>38.057969019064117</v>
      </c>
      <c r="E3" s="2">
        <f>('[1]Pc, Summer, S1'!E3*Main!$B$5)+(_xlfn.IFNA(VLOOKUP($A3,'FL Ratio'!$A$3:$B$10,2,FALSE),0)*'FL Characterization'!E$2)</f>
        <v>36.660971624421443</v>
      </c>
      <c r="F3" s="2">
        <f>('[1]Pc, Summer, S1'!F3*Main!$B$5)+(_xlfn.IFNA(VLOOKUP($A3,'FL Ratio'!$A$3:$B$10,2,FALSE),0)*'FL Characterization'!F$2)</f>
        <v>36.224728231577728</v>
      </c>
      <c r="G3" s="2">
        <f>('[1]Pc, Summer, S1'!G3*Main!$B$5)+(_xlfn.IFNA(VLOOKUP($A3,'FL Ratio'!$A$3:$B$10,2,FALSE),0)*'FL Characterization'!G$2)</f>
        <v>38.398979962932479</v>
      </c>
      <c r="H3" s="2">
        <f>('[1]Pc, Summer, S1'!H3*Main!$B$5)+(_xlfn.IFNA(VLOOKUP($A3,'FL Ratio'!$A$3:$B$10,2,FALSE),0)*'FL Characterization'!H$2)</f>
        <v>48.06233737198118</v>
      </c>
      <c r="I3" s="2">
        <f>('[1]Pc, Summer, S1'!I3*Main!$B$5)+(_xlfn.IFNA(VLOOKUP($A3,'FL Ratio'!$A$3:$B$10,2,FALSE),0)*'FL Characterization'!I$2)</f>
        <v>56.974254487349342</v>
      </c>
      <c r="J3" s="2">
        <f>('[1]Pc, Summer, S1'!J3*Main!$B$5)+(_xlfn.IFNA(VLOOKUP($A3,'FL Ratio'!$A$3:$B$10,2,FALSE),0)*'FL Characterization'!J$2)</f>
        <v>59.404701400359912</v>
      </c>
      <c r="K3" s="2">
        <f>('[1]Pc, Summer, S1'!K3*Main!$B$5)+(_xlfn.IFNA(VLOOKUP($A3,'FL Ratio'!$A$3:$B$10,2,FALSE),0)*'FL Characterization'!K$2)</f>
        <v>58.311526084483653</v>
      </c>
      <c r="L3" s="2">
        <f>('[1]Pc, Summer, S1'!L3*Main!$B$5)+(_xlfn.IFNA(VLOOKUP($A3,'FL Ratio'!$A$3:$B$10,2,FALSE),0)*'FL Characterization'!L$2)</f>
        <v>58.096159035421707</v>
      </c>
      <c r="M3" s="2">
        <f>('[1]Pc, Summer, S1'!M3*Main!$B$5)+(_xlfn.IFNA(VLOOKUP($A3,'FL Ratio'!$A$3:$B$10,2,FALSE),0)*'FL Characterization'!M$2)</f>
        <v>61.955961276125535</v>
      </c>
      <c r="N3" s="2">
        <f>('[1]Pc, Summer, S1'!N3*Main!$B$5)+(_xlfn.IFNA(VLOOKUP($A3,'FL Ratio'!$A$3:$B$10,2,FALSE),0)*'FL Characterization'!N$2)</f>
        <v>62.155495600059702</v>
      </c>
      <c r="O3" s="2">
        <f>('[1]Pc, Summer, S1'!O3*Main!$B$5)+(_xlfn.IFNA(VLOOKUP($A3,'FL Ratio'!$A$3:$B$10,2,FALSE),0)*'FL Characterization'!O$2)</f>
        <v>62.606967201688512</v>
      </c>
      <c r="P3" s="2">
        <f>('[1]Pc, Summer, S1'!P3*Main!$B$5)+(_xlfn.IFNA(VLOOKUP($A3,'FL Ratio'!$A$3:$B$10,2,FALSE),0)*'FL Characterization'!P$2)</f>
        <v>59.58122328315357</v>
      </c>
      <c r="Q3" s="2">
        <f>('[1]Pc, Summer, S1'!Q3*Main!$B$5)+(_xlfn.IFNA(VLOOKUP($A3,'FL Ratio'!$A$3:$B$10,2,FALSE),0)*'FL Characterization'!Q$2)</f>
        <v>56.444464435121056</v>
      </c>
      <c r="R3" s="2">
        <f>('[1]Pc, Summer, S1'!R3*Main!$B$5)+(_xlfn.IFNA(VLOOKUP($A3,'FL Ratio'!$A$3:$B$10,2,FALSE),0)*'FL Characterization'!R$2)</f>
        <v>52.197020602600645</v>
      </c>
      <c r="S3" s="2">
        <f>('[1]Pc, Summer, S1'!S3*Main!$B$5)+(_xlfn.IFNA(VLOOKUP($A3,'FL Ratio'!$A$3:$B$10,2,FALSE),0)*'FL Characterization'!S$2)</f>
        <v>52.799654570846243</v>
      </c>
      <c r="T3" s="2">
        <f>('[1]Pc, Summer, S1'!T3*Main!$B$5)+(_xlfn.IFNA(VLOOKUP($A3,'FL Ratio'!$A$3:$B$10,2,FALSE),0)*'FL Characterization'!T$2)</f>
        <v>52.31056033574837</v>
      </c>
      <c r="U3" s="2">
        <f>('[1]Pc, Summer, S1'!U3*Main!$B$5)+(_xlfn.IFNA(VLOOKUP($A3,'FL Ratio'!$A$3:$B$10,2,FALSE),0)*'FL Characterization'!U$2)</f>
        <v>52.104307684409015</v>
      </c>
      <c r="V3" s="2">
        <f>('[1]Pc, Summer, S1'!V3*Main!$B$5)+(_xlfn.IFNA(VLOOKUP($A3,'FL Ratio'!$A$3:$B$10,2,FALSE),0)*'FL Characterization'!V$2)</f>
        <v>52.357588627584704</v>
      </c>
      <c r="W3" s="2">
        <f>('[1]Pc, Summer, S1'!W3*Main!$B$5)+(_xlfn.IFNA(VLOOKUP($A3,'FL Ratio'!$A$3:$B$10,2,FALSE),0)*'FL Characterization'!W$2)</f>
        <v>52.074299155332497</v>
      </c>
      <c r="X3" s="2">
        <f>('[1]Pc, Summer, S1'!X3*Main!$B$5)+(_xlfn.IFNA(VLOOKUP($A3,'FL Ratio'!$A$3:$B$10,2,FALSE),0)*'FL Characterization'!X$2)</f>
        <v>51.853124289817067</v>
      </c>
      <c r="Y3" s="2">
        <f>('[1]Pc, Summer, S1'!Y3*Main!$B$5)+(_xlfn.IFNA(VLOOKUP($A3,'FL Ratio'!$A$3:$B$10,2,FALSE),0)*'FL Characterization'!Y$2)</f>
        <v>49.081369605808675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58.044829145079134</v>
      </c>
      <c r="C4" s="2">
        <f>('[1]Pc, Summer, S1'!C4*Main!$B$5)+(_xlfn.IFNA(VLOOKUP($A4,'FL Ratio'!$A$3:$B$10,2,FALSE),0)*'FL Characterization'!C$2)</f>
        <v>51.518280116864645</v>
      </c>
      <c r="D4" s="2">
        <f>('[1]Pc, Summer, S1'!D4*Main!$B$5)+(_xlfn.IFNA(VLOOKUP($A4,'FL Ratio'!$A$3:$B$10,2,FALSE),0)*'FL Characterization'!D$2)</f>
        <v>48.573370105391938</v>
      </c>
      <c r="E4" s="2">
        <f>('[1]Pc, Summer, S1'!E4*Main!$B$5)+(_xlfn.IFNA(VLOOKUP($A4,'FL Ratio'!$A$3:$B$10,2,FALSE),0)*'FL Characterization'!E$2)</f>
        <v>46.980789148698705</v>
      </c>
      <c r="F4" s="2">
        <f>('[1]Pc, Summer, S1'!F4*Main!$B$5)+(_xlfn.IFNA(VLOOKUP($A4,'FL Ratio'!$A$3:$B$10,2,FALSE),0)*'FL Characterization'!F$2)</f>
        <v>49.222717640956375</v>
      </c>
      <c r="G4" s="2">
        <f>('[1]Pc, Summer, S1'!G4*Main!$B$5)+(_xlfn.IFNA(VLOOKUP($A4,'FL Ratio'!$A$3:$B$10,2,FALSE),0)*'FL Characterization'!G$2)</f>
        <v>44.951925491280498</v>
      </c>
      <c r="H4" s="2">
        <f>('[1]Pc, Summer, S1'!H4*Main!$B$5)+(_xlfn.IFNA(VLOOKUP($A4,'FL Ratio'!$A$3:$B$10,2,FALSE),0)*'FL Characterization'!H$2)</f>
        <v>52.804511115378723</v>
      </c>
      <c r="I4" s="2">
        <f>('[1]Pc, Summer, S1'!I4*Main!$B$5)+(_xlfn.IFNA(VLOOKUP($A4,'FL Ratio'!$A$3:$B$10,2,FALSE),0)*'FL Characterization'!I$2)</f>
        <v>59.263049164939694</v>
      </c>
      <c r="J4" s="2">
        <f>('[1]Pc, Summer, S1'!J4*Main!$B$5)+(_xlfn.IFNA(VLOOKUP($A4,'FL Ratio'!$A$3:$B$10,2,FALSE),0)*'FL Characterization'!J$2)</f>
        <v>66.675704321718726</v>
      </c>
      <c r="K4" s="2">
        <f>('[1]Pc, Summer, S1'!K4*Main!$B$5)+(_xlfn.IFNA(VLOOKUP($A4,'FL Ratio'!$A$3:$B$10,2,FALSE),0)*'FL Characterization'!K$2)</f>
        <v>71.681356393173999</v>
      </c>
      <c r="L4" s="2">
        <f>('[1]Pc, Summer, S1'!L4*Main!$B$5)+(_xlfn.IFNA(VLOOKUP($A4,'FL Ratio'!$A$3:$B$10,2,FALSE),0)*'FL Characterization'!L$2)</f>
        <v>73.772798377983008</v>
      </c>
      <c r="M4" s="2">
        <f>('[1]Pc, Summer, S1'!M4*Main!$B$5)+(_xlfn.IFNA(VLOOKUP($A4,'FL Ratio'!$A$3:$B$10,2,FALSE),0)*'FL Characterization'!M$2)</f>
        <v>75.003284212612826</v>
      </c>
      <c r="N4" s="2">
        <f>('[1]Pc, Summer, S1'!N4*Main!$B$5)+(_xlfn.IFNA(VLOOKUP($A4,'FL Ratio'!$A$3:$B$10,2,FALSE),0)*'FL Characterization'!N$2)</f>
        <v>76.668915725581414</v>
      </c>
      <c r="O4" s="2">
        <f>('[1]Pc, Summer, S1'!O4*Main!$B$5)+(_xlfn.IFNA(VLOOKUP($A4,'FL Ratio'!$A$3:$B$10,2,FALSE),0)*'FL Characterization'!O$2)</f>
        <v>77.743944648540165</v>
      </c>
      <c r="P4" s="2">
        <f>('[1]Pc, Summer, S1'!P4*Main!$B$5)+(_xlfn.IFNA(VLOOKUP($A4,'FL Ratio'!$A$3:$B$10,2,FALSE),0)*'FL Characterization'!P$2)</f>
        <v>78.077930008849293</v>
      </c>
      <c r="Q4" s="2">
        <f>('[1]Pc, Summer, S1'!Q4*Main!$B$5)+(_xlfn.IFNA(VLOOKUP($A4,'FL Ratio'!$A$3:$B$10,2,FALSE),0)*'FL Characterization'!Q$2)</f>
        <v>75.1567001790322</v>
      </c>
      <c r="R4" s="2">
        <f>('[1]Pc, Summer, S1'!R4*Main!$B$5)+(_xlfn.IFNA(VLOOKUP($A4,'FL Ratio'!$A$3:$B$10,2,FALSE),0)*'FL Characterization'!R$2)</f>
        <v>74.738968352431883</v>
      </c>
      <c r="S4" s="2">
        <f>('[1]Pc, Summer, S1'!S4*Main!$B$5)+(_xlfn.IFNA(VLOOKUP($A4,'FL Ratio'!$A$3:$B$10,2,FALSE),0)*'FL Characterization'!S$2)</f>
        <v>72.450387510154826</v>
      </c>
      <c r="T4" s="2">
        <f>('[1]Pc, Summer, S1'!T4*Main!$B$5)+(_xlfn.IFNA(VLOOKUP($A4,'FL Ratio'!$A$3:$B$10,2,FALSE),0)*'FL Characterization'!T$2)</f>
        <v>72.336267252924685</v>
      </c>
      <c r="U4" s="2">
        <f>('[1]Pc, Summer, S1'!U4*Main!$B$5)+(_xlfn.IFNA(VLOOKUP($A4,'FL Ratio'!$A$3:$B$10,2,FALSE),0)*'FL Characterization'!U$2)</f>
        <v>72.719031616900338</v>
      </c>
      <c r="V4" s="2">
        <f>('[1]Pc, Summer, S1'!V4*Main!$B$5)+(_xlfn.IFNA(VLOOKUP($A4,'FL Ratio'!$A$3:$B$10,2,FALSE),0)*'FL Characterization'!V$2)</f>
        <v>72.3785619247505</v>
      </c>
      <c r="W4" s="2">
        <f>('[1]Pc, Summer, S1'!W4*Main!$B$5)+(_xlfn.IFNA(VLOOKUP($A4,'FL Ratio'!$A$3:$B$10,2,FALSE),0)*'FL Characterization'!W$2)</f>
        <v>74.66331289492868</v>
      </c>
      <c r="X4" s="2">
        <f>('[1]Pc, Summer, S1'!X4*Main!$B$5)+(_xlfn.IFNA(VLOOKUP($A4,'FL Ratio'!$A$3:$B$10,2,FALSE),0)*'FL Characterization'!X$2)</f>
        <v>74.591540026341022</v>
      </c>
      <c r="Y4" s="2">
        <f>('[1]Pc, Summer, S1'!Y4*Main!$B$5)+(_xlfn.IFNA(VLOOKUP($A4,'FL Ratio'!$A$3:$B$10,2,FALSE),0)*'FL Characterization'!Y$2)</f>
        <v>67.317194221897637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41.657185706737785</v>
      </c>
      <c r="C2" s="2">
        <f>('[1]Pc, Summer, S2'!C2*Main!$B$5)+(_xlfn.IFNA(VLOOKUP($A2,'FL Ratio'!$A$3:$B$10,2,FALSE),0)*'FL Characterization'!C$2)</f>
        <v>37.847417403875781</v>
      </c>
      <c r="D2" s="2">
        <f>('[1]Pc, Summer, S2'!D2*Main!$B$5)+(_xlfn.IFNA(VLOOKUP($A2,'FL Ratio'!$A$3:$B$10,2,FALSE),0)*'FL Characterization'!D$2)</f>
        <v>37.186321387113161</v>
      </c>
      <c r="E2" s="2">
        <f>('[1]Pc, Summer, S2'!E2*Main!$B$5)+(_xlfn.IFNA(VLOOKUP($A2,'FL Ratio'!$A$3:$B$10,2,FALSE),0)*'FL Characterization'!E$2)</f>
        <v>37.091326547402929</v>
      </c>
      <c r="F2" s="2">
        <f>('[1]Pc, Summer, S2'!F2*Main!$B$5)+(_xlfn.IFNA(VLOOKUP($A2,'FL Ratio'!$A$3:$B$10,2,FALSE),0)*'FL Characterization'!F$2)</f>
        <v>37.094250831681748</v>
      </c>
      <c r="G2" s="2">
        <f>('[1]Pc, Summer, S2'!G2*Main!$B$5)+(_xlfn.IFNA(VLOOKUP($A2,'FL Ratio'!$A$3:$B$10,2,FALSE),0)*'FL Characterization'!G$2)</f>
        <v>36.766200116031548</v>
      </c>
      <c r="H2" s="2">
        <f>('[1]Pc, Summer, S2'!H2*Main!$B$5)+(_xlfn.IFNA(VLOOKUP($A2,'FL Ratio'!$A$3:$B$10,2,FALSE),0)*'FL Characterization'!H$2)</f>
        <v>39.692395029126949</v>
      </c>
      <c r="I2" s="2">
        <f>('[1]Pc, Summer, S2'!I2*Main!$B$5)+(_xlfn.IFNA(VLOOKUP($A2,'FL Ratio'!$A$3:$B$10,2,FALSE),0)*'FL Characterization'!I$2)</f>
        <v>47.124570066153488</v>
      </c>
      <c r="J2" s="2">
        <f>('[1]Pc, Summer, S2'!J2*Main!$B$5)+(_xlfn.IFNA(VLOOKUP($A2,'FL Ratio'!$A$3:$B$10,2,FALSE),0)*'FL Characterization'!J$2)</f>
        <v>53.708610154783202</v>
      </c>
      <c r="K2" s="2">
        <f>('[1]Pc, Summer, S2'!K2*Main!$B$5)+(_xlfn.IFNA(VLOOKUP($A2,'FL Ratio'!$A$3:$B$10,2,FALSE),0)*'FL Characterization'!K$2)</f>
        <v>55.358970973146441</v>
      </c>
      <c r="L2" s="2">
        <f>('[1]Pc, Summer, S2'!L2*Main!$B$5)+(_xlfn.IFNA(VLOOKUP($A2,'FL Ratio'!$A$3:$B$10,2,FALSE),0)*'FL Characterization'!L$2)</f>
        <v>54.798752955588384</v>
      </c>
      <c r="M2" s="2">
        <f>('[1]Pc, Summer, S2'!M2*Main!$B$5)+(_xlfn.IFNA(VLOOKUP($A2,'FL Ratio'!$A$3:$B$10,2,FALSE),0)*'FL Characterization'!M$2)</f>
        <v>56.348385398425577</v>
      </c>
      <c r="N2" s="2">
        <f>('[1]Pc, Summer, S2'!N2*Main!$B$5)+(_xlfn.IFNA(VLOOKUP($A2,'FL Ratio'!$A$3:$B$10,2,FALSE),0)*'FL Characterization'!N$2)</f>
        <v>57.12136643510415</v>
      </c>
      <c r="O2" s="2">
        <f>('[1]Pc, Summer, S2'!O2*Main!$B$5)+(_xlfn.IFNA(VLOOKUP($A2,'FL Ratio'!$A$3:$B$10,2,FALSE),0)*'FL Characterization'!O$2)</f>
        <v>56.064728169078343</v>
      </c>
      <c r="P2" s="2">
        <f>('[1]Pc, Summer, S2'!P2*Main!$B$5)+(_xlfn.IFNA(VLOOKUP($A2,'FL Ratio'!$A$3:$B$10,2,FALSE),0)*'FL Characterization'!P$2)</f>
        <v>53.873987214030151</v>
      </c>
      <c r="Q2" s="2">
        <f>('[1]Pc, Summer, S2'!Q2*Main!$B$5)+(_xlfn.IFNA(VLOOKUP($A2,'FL Ratio'!$A$3:$B$10,2,FALSE),0)*'FL Characterization'!Q$2)</f>
        <v>51.705652172706053</v>
      </c>
      <c r="R2" s="2">
        <f>('[1]Pc, Summer, S2'!R2*Main!$B$5)+(_xlfn.IFNA(VLOOKUP($A2,'FL Ratio'!$A$3:$B$10,2,FALSE),0)*'FL Characterization'!R$2)</f>
        <v>52.607746346201743</v>
      </c>
      <c r="S2" s="2">
        <f>('[1]Pc, Summer, S2'!S2*Main!$B$5)+(_xlfn.IFNA(VLOOKUP($A2,'FL Ratio'!$A$3:$B$10,2,FALSE),0)*'FL Characterization'!S$2)</f>
        <v>53.127497738572686</v>
      </c>
      <c r="T2" s="2">
        <f>('[1]Pc, Summer, S2'!T2*Main!$B$5)+(_xlfn.IFNA(VLOOKUP($A2,'FL Ratio'!$A$3:$B$10,2,FALSE),0)*'FL Characterization'!T$2)</f>
        <v>53.353004230621302</v>
      </c>
      <c r="U2" s="2">
        <f>('[1]Pc, Summer, S2'!U2*Main!$B$5)+(_xlfn.IFNA(VLOOKUP($A2,'FL Ratio'!$A$3:$B$10,2,FALSE),0)*'FL Characterization'!U$2)</f>
        <v>52.469766728349327</v>
      </c>
      <c r="V2" s="2">
        <f>('[1]Pc, Summer, S2'!V2*Main!$B$5)+(_xlfn.IFNA(VLOOKUP($A2,'FL Ratio'!$A$3:$B$10,2,FALSE),0)*'FL Characterization'!V$2)</f>
        <v>52.627415264063565</v>
      </c>
      <c r="W2" s="2">
        <f>('[1]Pc, Summer, S2'!W2*Main!$B$5)+(_xlfn.IFNA(VLOOKUP($A2,'FL Ratio'!$A$3:$B$10,2,FALSE),0)*'FL Characterization'!W$2)</f>
        <v>54.807135963978432</v>
      </c>
      <c r="X2" s="2">
        <f>('[1]Pc, Summer, S2'!X2*Main!$B$5)+(_xlfn.IFNA(VLOOKUP($A2,'FL Ratio'!$A$3:$B$10,2,FALSE),0)*'FL Characterization'!X$2)</f>
        <v>51.08688442137332</v>
      </c>
      <c r="Y2" s="2">
        <f>('[1]Pc, Summer, S2'!Y2*Main!$B$5)+(_xlfn.IFNA(VLOOKUP($A2,'FL Ratio'!$A$3:$B$10,2,FALSE),0)*'FL Characterization'!Y$2)</f>
        <v>46.83106209366624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44.990326062363586</v>
      </c>
      <c r="C3" s="2">
        <f>('[1]Pc, Summer, S2'!C3*Main!$B$5)+(_xlfn.IFNA(VLOOKUP($A3,'FL Ratio'!$A$3:$B$10,2,FALSE),0)*'FL Characterization'!C$2)</f>
        <v>41.303126676751333</v>
      </c>
      <c r="D3" s="2">
        <f>('[1]Pc, Summer, S2'!D3*Main!$B$5)+(_xlfn.IFNA(VLOOKUP($A3,'FL Ratio'!$A$3:$B$10,2,FALSE),0)*'FL Characterization'!D$2)</f>
        <v>39.123300552056811</v>
      </c>
      <c r="E3" s="2">
        <f>('[1]Pc, Summer, S2'!E3*Main!$B$5)+(_xlfn.IFNA(VLOOKUP($A3,'FL Ratio'!$A$3:$B$10,2,FALSE),0)*'FL Characterization'!E$2)</f>
        <v>37.688377203726134</v>
      </c>
      <c r="F3" s="2">
        <f>('[1]Pc, Summer, S2'!F3*Main!$B$5)+(_xlfn.IFNA(VLOOKUP($A3,'FL Ratio'!$A$3:$B$10,2,FALSE),0)*'FL Characterization'!F$2)</f>
        <v>37.25213381088242</v>
      </c>
      <c r="G3" s="2">
        <f>('[1]Pc, Summer, S2'!G3*Main!$B$5)+(_xlfn.IFNA(VLOOKUP($A3,'FL Ratio'!$A$3:$B$10,2,FALSE),0)*'FL Characterization'!G$2)</f>
        <v>39.500588779591155</v>
      </c>
      <c r="H3" s="2">
        <f>('[1]Pc, Summer, S2'!H3*Main!$B$5)+(_xlfn.IFNA(VLOOKUP($A3,'FL Ratio'!$A$3:$B$10,2,FALSE),0)*'FL Characterization'!H$2)</f>
        <v>49.442620585817238</v>
      </c>
      <c r="I3" s="2">
        <f>('[1]Pc, Summer, S2'!I3*Main!$B$5)+(_xlfn.IFNA(VLOOKUP($A3,'FL Ratio'!$A$3:$B$10,2,FALSE),0)*'FL Characterization'!I$2)</f>
        <v>58.672786544740767</v>
      </c>
      <c r="J3" s="2">
        <f>('[1]Pc, Summer, S2'!J3*Main!$B$5)+(_xlfn.IFNA(VLOOKUP($A3,'FL Ratio'!$A$3:$B$10,2,FALSE),0)*'FL Characterization'!J$2)</f>
        <v>61.17743678400344</v>
      </c>
      <c r="K3" s="2">
        <f>('[1]Pc, Summer, S2'!K3*Main!$B$5)+(_xlfn.IFNA(VLOOKUP($A3,'FL Ratio'!$A$3:$B$10,2,FALSE),0)*'FL Characterization'!K$2)</f>
        <v>60.047159760784176</v>
      </c>
      <c r="L3" s="2">
        <f>('[1]Pc, Summer, S2'!L3*Main!$B$5)+(_xlfn.IFNA(VLOOKUP($A3,'FL Ratio'!$A$3:$B$10,2,FALSE),0)*'FL Characterization'!L$2)</f>
        <v>59.830968376943325</v>
      </c>
      <c r="M3" s="2">
        <f>('[1]Pc, Summer, S2'!M3*Main!$B$5)+(_xlfn.IFNA(VLOOKUP($A3,'FL Ratio'!$A$3:$B$10,2,FALSE),0)*'FL Characterization'!M$2)</f>
        <v>63.804549186646703</v>
      </c>
      <c r="N3" s="2">
        <f>('[1]Pc, Summer, S2'!N3*Main!$B$5)+(_xlfn.IFNA(VLOOKUP($A3,'FL Ratio'!$A$3:$B$10,2,FALSE),0)*'FL Characterization'!N$2)</f>
        <v>64.00408351058087</v>
      </c>
      <c r="O3" s="2">
        <f>('[1]Pc, Summer, S2'!O3*Main!$B$5)+(_xlfn.IFNA(VLOOKUP($A3,'FL Ratio'!$A$3:$B$10,2,FALSE),0)*'FL Characterization'!O$2)</f>
        <v>64.45555511220968</v>
      </c>
      <c r="P3" s="2">
        <f>('[1]Pc, Summer, S2'!P3*Main!$B$5)+(_xlfn.IFNA(VLOOKUP($A3,'FL Ratio'!$A$3:$B$10,2,FALSE),0)*'FL Characterization'!P$2)</f>
        <v>61.337056969534167</v>
      </c>
      <c r="Q3" s="2">
        <f>('[1]Pc, Summer, S2'!Q3*Main!$B$5)+(_xlfn.IFNA(VLOOKUP($A3,'FL Ratio'!$A$3:$B$10,2,FALSE),0)*'FL Characterization'!Q$2)</f>
        <v>58.106719385598275</v>
      </c>
      <c r="R3" s="2">
        <f>('[1]Pc, Summer, S2'!R3*Main!$B$5)+(_xlfn.IFNA(VLOOKUP($A3,'FL Ratio'!$A$3:$B$10,2,FALSE),0)*'FL Characterization'!R$2)</f>
        <v>53.745497161062197</v>
      </c>
      <c r="S3" s="2">
        <f>('[1]Pc, Summer, S2'!S3*Main!$B$5)+(_xlfn.IFNA(VLOOKUP($A3,'FL Ratio'!$A$3:$B$10,2,FALSE),0)*'FL Characterization'!S$2)</f>
        <v>54.348131129307795</v>
      </c>
      <c r="T3" s="2">
        <f>('[1]Pc, Summer, S2'!T3*Main!$B$5)+(_xlfn.IFNA(VLOOKUP($A3,'FL Ratio'!$A$3:$B$10,2,FALSE),0)*'FL Characterization'!T$2)</f>
        <v>53.859036894209922</v>
      </c>
      <c r="U3" s="2">
        <f>('[1]Pc, Summer, S2'!U3*Main!$B$5)+(_xlfn.IFNA(VLOOKUP($A3,'FL Ratio'!$A$3:$B$10,2,FALSE),0)*'FL Characterization'!U$2)</f>
        <v>53.652784242870567</v>
      </c>
      <c r="V3" s="2">
        <f>('[1]Pc, Summer, S2'!V3*Main!$B$5)+(_xlfn.IFNA(VLOOKUP($A3,'FL Ratio'!$A$3:$B$10,2,FALSE),0)*'FL Characterization'!V$2)</f>
        <v>53.906065186046256</v>
      </c>
      <c r="W3" s="2">
        <f>('[1]Pc, Summer, S2'!W3*Main!$B$5)+(_xlfn.IFNA(VLOOKUP($A3,'FL Ratio'!$A$3:$B$10,2,FALSE),0)*'FL Characterization'!W$2)</f>
        <v>53.622775713794049</v>
      </c>
      <c r="X3" s="2">
        <f>('[1]Pc, Summer, S2'!X3*Main!$B$5)+(_xlfn.IFNA(VLOOKUP($A3,'FL Ratio'!$A$3:$B$10,2,FALSE),0)*'FL Characterization'!X$2)</f>
        <v>53.345948685564885</v>
      </c>
      <c r="Y3" s="2">
        <f>('[1]Pc, Summer, S2'!Y3*Main!$B$5)+(_xlfn.IFNA(VLOOKUP($A3,'FL Ratio'!$A$3:$B$10,2,FALSE),0)*'FL Characterization'!Y$2)</f>
        <v>50.478142172418274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59.703599057294319</v>
      </c>
      <c r="C4" s="2">
        <f>('[1]Pc, Summer, S2'!C4*Main!$B$5)+(_xlfn.IFNA(VLOOKUP($A4,'FL Ratio'!$A$3:$B$10,2,FALSE),0)*'FL Characterization'!C$2)</f>
        <v>52.97849904399726</v>
      </c>
      <c r="D4" s="2">
        <f>('[1]Pc, Summer, S2'!D4*Main!$B$5)+(_xlfn.IFNA(VLOOKUP($A4,'FL Ratio'!$A$3:$B$10,2,FALSE),0)*'FL Characterization'!D$2)</f>
        <v>49.954163670974467</v>
      </c>
      <c r="E4" s="2">
        <f>('[1]Pc, Summer, S2'!E4*Main!$B$5)+(_xlfn.IFNA(VLOOKUP($A4,'FL Ratio'!$A$3:$B$10,2,FALSE),0)*'FL Characterization'!E$2)</f>
        <v>48.317789253731718</v>
      </c>
      <c r="F4" s="2">
        <f>('[1]Pc, Summer, S2'!F4*Main!$B$5)+(_xlfn.IFNA(VLOOKUP($A4,'FL Ratio'!$A$3:$B$10,2,FALSE),0)*'FL Characterization'!F$2)</f>
        <v>50.640062902542418</v>
      </c>
      <c r="G4" s="2">
        <f>('[1]Pc, Summer, S2'!G4*Main!$B$5)+(_xlfn.IFNA(VLOOKUP($A4,'FL Ratio'!$A$3:$B$10,2,FALSE),0)*'FL Characterization'!G$2)</f>
        <v>46.250122673789612</v>
      </c>
      <c r="H4" s="2">
        <f>('[1]Pc, Summer, S2'!H4*Main!$B$5)+(_xlfn.IFNA(VLOOKUP($A4,'FL Ratio'!$A$3:$B$10,2,FALSE),0)*'FL Characterization'!H$2)</f>
        <v>54.327059541516704</v>
      </c>
      <c r="I4" s="2">
        <f>('[1]Pc, Summer, S2'!I4*Main!$B$5)+(_xlfn.IFNA(VLOOKUP($A4,'FL Ratio'!$A$3:$B$10,2,FALSE),0)*'FL Characterization'!I$2)</f>
        <v>61.030245062658821</v>
      </c>
      <c r="J4" s="2">
        <f>('[1]Pc, Summer, S2'!J4*Main!$B$5)+(_xlfn.IFNA(VLOOKUP($A4,'FL Ratio'!$A$3:$B$10,2,FALSE),0)*'FL Characterization'!J$2)</f>
        <v>68.666569793003035</v>
      </c>
      <c r="K4" s="2">
        <f>('[1]Pc, Summer, S2'!K4*Main!$B$5)+(_xlfn.IFNA(VLOOKUP($A4,'FL Ratio'!$A$3:$B$10,2,FALSE),0)*'FL Characterization'!K$2)</f>
        <v>73.818084978735229</v>
      </c>
      <c r="L4" s="2">
        <f>('[1]Pc, Summer, S2'!L4*Main!$B$5)+(_xlfn.IFNA(VLOOKUP($A4,'FL Ratio'!$A$3:$B$10,2,FALSE),0)*'FL Characterization'!L$2)</f>
        <v>75.977906899781473</v>
      </c>
      <c r="M4" s="2">
        <f>('[1]Pc, Summer, S2'!M4*Main!$B$5)+(_xlfn.IFNA(VLOOKUP($A4,'FL Ratio'!$A$3:$B$10,2,FALSE),0)*'FL Characterization'!M$2)</f>
        <v>77.243291811228616</v>
      </c>
      <c r="N4" s="2">
        <f>('[1]Pc, Summer, S2'!N4*Main!$B$5)+(_xlfn.IFNA(VLOOKUP($A4,'FL Ratio'!$A$3:$B$10,2,FALSE),0)*'FL Characterization'!N$2)</f>
        <v>78.952906239868241</v>
      </c>
      <c r="O4" s="2">
        <f>('[1]Pc, Summer, S2'!O4*Main!$B$5)+(_xlfn.IFNA(VLOOKUP($A4,'FL Ratio'!$A$3:$B$10,2,FALSE),0)*'FL Characterization'!O$2)</f>
        <v>80.046641882466886</v>
      </c>
      <c r="P4" s="2">
        <f>('[1]Pc, Summer, S2'!P4*Main!$B$5)+(_xlfn.IFNA(VLOOKUP($A4,'FL Ratio'!$A$3:$B$10,2,FALSE),0)*'FL Characterization'!P$2)</f>
        <v>80.388664897000766</v>
      </c>
      <c r="Q4" s="2">
        <f>('[1]Pc, Summer, S2'!Q4*Main!$B$5)+(_xlfn.IFNA(VLOOKUP($A4,'FL Ratio'!$A$3:$B$10,2,FALSE),0)*'FL Characterization'!Q$2)</f>
        <v>77.380322201826743</v>
      </c>
      <c r="R4" s="2">
        <f>('[1]Pc, Summer, S2'!R4*Main!$B$5)+(_xlfn.IFNA(VLOOKUP($A4,'FL Ratio'!$A$3:$B$10,2,FALSE),0)*'FL Characterization'!R$2)</f>
        <v>76.96370334338836</v>
      </c>
      <c r="S4" s="2">
        <f>('[1]Pc, Summer, S2'!S4*Main!$B$5)+(_xlfn.IFNA(VLOOKUP($A4,'FL Ratio'!$A$3:$B$10,2,FALSE),0)*'FL Characterization'!S$2)</f>
        <v>74.588386056795628</v>
      </c>
      <c r="T4" s="2">
        <f>('[1]Pc, Summer, S2'!T4*Main!$B$5)+(_xlfn.IFNA(VLOOKUP($A4,'FL Ratio'!$A$3:$B$10,2,FALSE),0)*'FL Characterization'!T$2)</f>
        <v>74.485515018901523</v>
      </c>
      <c r="U4" s="2">
        <f>('[1]Pc, Summer, S2'!U4*Main!$B$5)+(_xlfn.IFNA(VLOOKUP($A4,'FL Ratio'!$A$3:$B$10,2,FALSE),0)*'FL Characterization'!U$2)</f>
        <v>74.88594989333663</v>
      </c>
      <c r="V4" s="2">
        <f>('[1]Pc, Summer, S2'!V4*Main!$B$5)+(_xlfn.IFNA(VLOOKUP($A4,'FL Ratio'!$A$3:$B$10,2,FALSE),0)*'FL Characterization'!V$2)</f>
        <v>74.527667682127031</v>
      </c>
      <c r="W4" s="2">
        <f>('[1]Pc, Summer, S2'!W4*Main!$B$5)+(_xlfn.IFNA(VLOOKUP($A4,'FL Ratio'!$A$3:$B$10,2,FALSE),0)*'FL Characterization'!W$2)</f>
        <v>76.889459865578118</v>
      </c>
      <c r="X4" s="2">
        <f>('[1]Pc, Summer, S2'!X4*Main!$B$5)+(_xlfn.IFNA(VLOOKUP($A4,'FL Ratio'!$A$3:$B$10,2,FALSE),0)*'FL Characterization'!X$2)</f>
        <v>76.766516894184548</v>
      </c>
      <c r="Y4" s="2">
        <f>('[1]Pc, Summer, S2'!Y4*Main!$B$5)+(_xlfn.IFNA(VLOOKUP($A4,'FL Ratio'!$A$3:$B$10,2,FALSE),0)*'FL Characterization'!Y$2)</f>
        <v>69.261041526989899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41.657185706737785</v>
      </c>
      <c r="C2" s="2">
        <f>('[1]Pc, Summer, S2'!C2*Main!$B$5)+(_xlfn.IFNA(VLOOKUP($A2,'FL Ratio'!$A$3:$B$10,2,FALSE),0)*'FL Characterization'!C$2)</f>
        <v>37.847417403875781</v>
      </c>
      <c r="D2" s="2">
        <f>('[1]Pc, Summer, S2'!D2*Main!$B$5)+(_xlfn.IFNA(VLOOKUP($A2,'FL Ratio'!$A$3:$B$10,2,FALSE),0)*'FL Characterization'!D$2)</f>
        <v>37.186321387113161</v>
      </c>
      <c r="E2" s="2">
        <f>('[1]Pc, Summer, S2'!E2*Main!$B$5)+(_xlfn.IFNA(VLOOKUP($A2,'FL Ratio'!$A$3:$B$10,2,FALSE),0)*'FL Characterization'!E$2)</f>
        <v>37.091326547402929</v>
      </c>
      <c r="F2" s="2">
        <f>('[1]Pc, Summer, S2'!F2*Main!$B$5)+(_xlfn.IFNA(VLOOKUP($A2,'FL Ratio'!$A$3:$B$10,2,FALSE),0)*'FL Characterization'!F$2)</f>
        <v>37.094250831681748</v>
      </c>
      <c r="G2" s="2">
        <f>('[1]Pc, Summer, S2'!G2*Main!$B$5)+(_xlfn.IFNA(VLOOKUP($A2,'FL Ratio'!$A$3:$B$10,2,FALSE),0)*'FL Characterization'!G$2)</f>
        <v>36.766200116031548</v>
      </c>
      <c r="H2" s="2">
        <f>('[1]Pc, Summer, S2'!H2*Main!$B$5)+(_xlfn.IFNA(VLOOKUP($A2,'FL Ratio'!$A$3:$B$10,2,FALSE),0)*'FL Characterization'!H$2)</f>
        <v>39.692395029126949</v>
      </c>
      <c r="I2" s="2">
        <f>('[1]Pc, Summer, S2'!I2*Main!$B$5)+(_xlfn.IFNA(VLOOKUP($A2,'FL Ratio'!$A$3:$B$10,2,FALSE),0)*'FL Characterization'!I$2)</f>
        <v>47.124570066153488</v>
      </c>
      <c r="J2" s="2">
        <f>('[1]Pc, Summer, S2'!J2*Main!$B$5)+(_xlfn.IFNA(VLOOKUP($A2,'FL Ratio'!$A$3:$B$10,2,FALSE),0)*'FL Characterization'!J$2)</f>
        <v>53.708610154783202</v>
      </c>
      <c r="K2" s="2">
        <f>('[1]Pc, Summer, S2'!K2*Main!$B$5)+(_xlfn.IFNA(VLOOKUP($A2,'FL Ratio'!$A$3:$B$10,2,FALSE),0)*'FL Characterization'!K$2)</f>
        <v>55.358970973146441</v>
      </c>
      <c r="L2" s="2">
        <f>('[1]Pc, Summer, S2'!L2*Main!$B$5)+(_xlfn.IFNA(VLOOKUP($A2,'FL Ratio'!$A$3:$B$10,2,FALSE),0)*'FL Characterization'!L$2)</f>
        <v>54.798752955588384</v>
      </c>
      <c r="M2" s="2">
        <f>('[1]Pc, Summer, S2'!M2*Main!$B$5)+(_xlfn.IFNA(VLOOKUP($A2,'FL Ratio'!$A$3:$B$10,2,FALSE),0)*'FL Characterization'!M$2)</f>
        <v>56.348385398425577</v>
      </c>
      <c r="N2" s="2">
        <f>('[1]Pc, Summer, S2'!N2*Main!$B$5)+(_xlfn.IFNA(VLOOKUP($A2,'FL Ratio'!$A$3:$B$10,2,FALSE),0)*'FL Characterization'!N$2)</f>
        <v>57.12136643510415</v>
      </c>
      <c r="O2" s="2">
        <f>('[1]Pc, Summer, S2'!O2*Main!$B$5)+(_xlfn.IFNA(VLOOKUP($A2,'FL Ratio'!$A$3:$B$10,2,FALSE),0)*'FL Characterization'!O$2)</f>
        <v>56.064728169078343</v>
      </c>
      <c r="P2" s="2">
        <f>('[1]Pc, Summer, S2'!P2*Main!$B$5)+(_xlfn.IFNA(VLOOKUP($A2,'FL Ratio'!$A$3:$B$10,2,FALSE),0)*'FL Characterization'!P$2)</f>
        <v>53.873987214030151</v>
      </c>
      <c r="Q2" s="2">
        <f>('[1]Pc, Summer, S2'!Q2*Main!$B$5)+(_xlfn.IFNA(VLOOKUP($A2,'FL Ratio'!$A$3:$B$10,2,FALSE),0)*'FL Characterization'!Q$2)</f>
        <v>51.705652172706053</v>
      </c>
      <c r="R2" s="2">
        <f>('[1]Pc, Summer, S2'!R2*Main!$B$5)+(_xlfn.IFNA(VLOOKUP($A2,'FL Ratio'!$A$3:$B$10,2,FALSE),0)*'FL Characterization'!R$2)</f>
        <v>52.607746346201743</v>
      </c>
      <c r="S2" s="2">
        <f>('[1]Pc, Summer, S2'!S2*Main!$B$5)+(_xlfn.IFNA(VLOOKUP($A2,'FL Ratio'!$A$3:$B$10,2,FALSE),0)*'FL Characterization'!S$2)</f>
        <v>53.127497738572686</v>
      </c>
      <c r="T2" s="2">
        <f>('[1]Pc, Summer, S2'!T2*Main!$B$5)+(_xlfn.IFNA(VLOOKUP($A2,'FL Ratio'!$A$3:$B$10,2,FALSE),0)*'FL Characterization'!T$2)</f>
        <v>53.353004230621302</v>
      </c>
      <c r="U2" s="2">
        <f>('[1]Pc, Summer, S2'!U2*Main!$B$5)+(_xlfn.IFNA(VLOOKUP($A2,'FL Ratio'!$A$3:$B$10,2,FALSE),0)*'FL Characterization'!U$2)</f>
        <v>52.469766728349327</v>
      </c>
      <c r="V2" s="2">
        <f>('[1]Pc, Summer, S2'!V2*Main!$B$5)+(_xlfn.IFNA(VLOOKUP($A2,'FL Ratio'!$A$3:$B$10,2,FALSE),0)*'FL Characterization'!V$2)</f>
        <v>52.627415264063565</v>
      </c>
      <c r="W2" s="2">
        <f>('[1]Pc, Summer, S2'!W2*Main!$B$5)+(_xlfn.IFNA(VLOOKUP($A2,'FL Ratio'!$A$3:$B$10,2,FALSE),0)*'FL Characterization'!W$2)</f>
        <v>54.807135963978432</v>
      </c>
      <c r="X2" s="2">
        <f>('[1]Pc, Summer, S2'!X2*Main!$B$5)+(_xlfn.IFNA(VLOOKUP($A2,'FL Ratio'!$A$3:$B$10,2,FALSE),0)*'FL Characterization'!X$2)</f>
        <v>51.08688442137332</v>
      </c>
      <c r="Y2" s="2">
        <f>('[1]Pc, Summer, S2'!Y2*Main!$B$5)+(_xlfn.IFNA(VLOOKUP($A2,'FL Ratio'!$A$3:$B$10,2,FALSE),0)*'FL Characterization'!Y$2)</f>
        <v>46.83106209366624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44.990326062363586</v>
      </c>
      <c r="C3" s="2">
        <f>('[1]Pc, Summer, S2'!C3*Main!$B$5)+(_xlfn.IFNA(VLOOKUP($A3,'FL Ratio'!$A$3:$B$10,2,FALSE),0)*'FL Characterization'!C$2)</f>
        <v>41.303126676751333</v>
      </c>
      <c r="D3" s="2">
        <f>('[1]Pc, Summer, S2'!D3*Main!$B$5)+(_xlfn.IFNA(VLOOKUP($A3,'FL Ratio'!$A$3:$B$10,2,FALSE),0)*'FL Characterization'!D$2)</f>
        <v>39.123300552056811</v>
      </c>
      <c r="E3" s="2">
        <f>('[1]Pc, Summer, S2'!E3*Main!$B$5)+(_xlfn.IFNA(VLOOKUP($A3,'FL Ratio'!$A$3:$B$10,2,FALSE),0)*'FL Characterization'!E$2)</f>
        <v>37.688377203726134</v>
      </c>
      <c r="F3" s="2">
        <f>('[1]Pc, Summer, S2'!F3*Main!$B$5)+(_xlfn.IFNA(VLOOKUP($A3,'FL Ratio'!$A$3:$B$10,2,FALSE),0)*'FL Characterization'!F$2)</f>
        <v>37.25213381088242</v>
      </c>
      <c r="G3" s="2">
        <f>('[1]Pc, Summer, S2'!G3*Main!$B$5)+(_xlfn.IFNA(VLOOKUP($A3,'FL Ratio'!$A$3:$B$10,2,FALSE),0)*'FL Characterization'!G$2)</f>
        <v>39.500588779591155</v>
      </c>
      <c r="H3" s="2">
        <f>('[1]Pc, Summer, S2'!H3*Main!$B$5)+(_xlfn.IFNA(VLOOKUP($A3,'FL Ratio'!$A$3:$B$10,2,FALSE),0)*'FL Characterization'!H$2)</f>
        <v>49.442620585817238</v>
      </c>
      <c r="I3" s="2">
        <f>('[1]Pc, Summer, S2'!I3*Main!$B$5)+(_xlfn.IFNA(VLOOKUP($A3,'FL Ratio'!$A$3:$B$10,2,FALSE),0)*'FL Characterization'!I$2)</f>
        <v>58.672786544740767</v>
      </c>
      <c r="J3" s="2">
        <f>('[1]Pc, Summer, S2'!J3*Main!$B$5)+(_xlfn.IFNA(VLOOKUP($A3,'FL Ratio'!$A$3:$B$10,2,FALSE),0)*'FL Characterization'!J$2)</f>
        <v>61.17743678400344</v>
      </c>
      <c r="K3" s="2">
        <f>('[1]Pc, Summer, S2'!K3*Main!$B$5)+(_xlfn.IFNA(VLOOKUP($A3,'FL Ratio'!$A$3:$B$10,2,FALSE),0)*'FL Characterization'!K$2)</f>
        <v>60.047159760784176</v>
      </c>
      <c r="L3" s="2">
        <f>('[1]Pc, Summer, S2'!L3*Main!$B$5)+(_xlfn.IFNA(VLOOKUP($A3,'FL Ratio'!$A$3:$B$10,2,FALSE),0)*'FL Characterization'!L$2)</f>
        <v>59.830968376943325</v>
      </c>
      <c r="M3" s="2">
        <f>('[1]Pc, Summer, S2'!M3*Main!$B$5)+(_xlfn.IFNA(VLOOKUP($A3,'FL Ratio'!$A$3:$B$10,2,FALSE),0)*'FL Characterization'!M$2)</f>
        <v>63.804549186646703</v>
      </c>
      <c r="N3" s="2">
        <f>('[1]Pc, Summer, S2'!N3*Main!$B$5)+(_xlfn.IFNA(VLOOKUP($A3,'FL Ratio'!$A$3:$B$10,2,FALSE),0)*'FL Characterization'!N$2)</f>
        <v>64.00408351058087</v>
      </c>
      <c r="O3" s="2">
        <f>('[1]Pc, Summer, S2'!O3*Main!$B$5)+(_xlfn.IFNA(VLOOKUP($A3,'FL Ratio'!$A$3:$B$10,2,FALSE),0)*'FL Characterization'!O$2)</f>
        <v>64.45555511220968</v>
      </c>
      <c r="P3" s="2">
        <f>('[1]Pc, Summer, S2'!P3*Main!$B$5)+(_xlfn.IFNA(VLOOKUP($A3,'FL Ratio'!$A$3:$B$10,2,FALSE),0)*'FL Characterization'!P$2)</f>
        <v>61.337056969534167</v>
      </c>
      <c r="Q3" s="2">
        <f>('[1]Pc, Summer, S2'!Q3*Main!$B$5)+(_xlfn.IFNA(VLOOKUP($A3,'FL Ratio'!$A$3:$B$10,2,FALSE),0)*'FL Characterization'!Q$2)</f>
        <v>58.106719385598275</v>
      </c>
      <c r="R3" s="2">
        <f>('[1]Pc, Summer, S2'!R3*Main!$B$5)+(_xlfn.IFNA(VLOOKUP($A3,'FL Ratio'!$A$3:$B$10,2,FALSE),0)*'FL Characterization'!R$2)</f>
        <v>53.745497161062197</v>
      </c>
      <c r="S3" s="2">
        <f>('[1]Pc, Summer, S2'!S3*Main!$B$5)+(_xlfn.IFNA(VLOOKUP($A3,'FL Ratio'!$A$3:$B$10,2,FALSE),0)*'FL Characterization'!S$2)</f>
        <v>54.348131129307795</v>
      </c>
      <c r="T3" s="2">
        <f>('[1]Pc, Summer, S2'!T3*Main!$B$5)+(_xlfn.IFNA(VLOOKUP($A3,'FL Ratio'!$A$3:$B$10,2,FALSE),0)*'FL Characterization'!T$2)</f>
        <v>53.859036894209922</v>
      </c>
      <c r="U3" s="2">
        <f>('[1]Pc, Summer, S2'!U3*Main!$B$5)+(_xlfn.IFNA(VLOOKUP($A3,'FL Ratio'!$A$3:$B$10,2,FALSE),0)*'FL Characterization'!U$2)</f>
        <v>53.652784242870567</v>
      </c>
      <c r="V3" s="2">
        <f>('[1]Pc, Summer, S2'!V3*Main!$B$5)+(_xlfn.IFNA(VLOOKUP($A3,'FL Ratio'!$A$3:$B$10,2,FALSE),0)*'FL Characterization'!V$2)</f>
        <v>53.906065186046256</v>
      </c>
      <c r="W3" s="2">
        <f>('[1]Pc, Summer, S2'!W3*Main!$B$5)+(_xlfn.IFNA(VLOOKUP($A3,'FL Ratio'!$A$3:$B$10,2,FALSE),0)*'FL Characterization'!W$2)</f>
        <v>53.622775713794049</v>
      </c>
      <c r="X3" s="2">
        <f>('[1]Pc, Summer, S2'!X3*Main!$B$5)+(_xlfn.IFNA(VLOOKUP($A3,'FL Ratio'!$A$3:$B$10,2,FALSE),0)*'FL Characterization'!X$2)</f>
        <v>53.345948685564885</v>
      </c>
      <c r="Y3" s="2">
        <f>('[1]Pc, Summer, S2'!Y3*Main!$B$5)+(_xlfn.IFNA(VLOOKUP($A3,'FL Ratio'!$A$3:$B$10,2,FALSE),0)*'FL Characterization'!Y$2)</f>
        <v>50.478142172418274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59.703599057294319</v>
      </c>
      <c r="C4" s="2">
        <f>('[1]Pc, Summer, S2'!C4*Main!$B$5)+(_xlfn.IFNA(VLOOKUP($A4,'FL Ratio'!$A$3:$B$10,2,FALSE),0)*'FL Characterization'!C$2)</f>
        <v>52.97849904399726</v>
      </c>
      <c r="D4" s="2">
        <f>('[1]Pc, Summer, S2'!D4*Main!$B$5)+(_xlfn.IFNA(VLOOKUP($A4,'FL Ratio'!$A$3:$B$10,2,FALSE),0)*'FL Characterization'!D$2)</f>
        <v>49.954163670974467</v>
      </c>
      <c r="E4" s="2">
        <f>('[1]Pc, Summer, S2'!E4*Main!$B$5)+(_xlfn.IFNA(VLOOKUP($A4,'FL Ratio'!$A$3:$B$10,2,FALSE),0)*'FL Characterization'!E$2)</f>
        <v>48.317789253731718</v>
      </c>
      <c r="F4" s="2">
        <f>('[1]Pc, Summer, S2'!F4*Main!$B$5)+(_xlfn.IFNA(VLOOKUP($A4,'FL Ratio'!$A$3:$B$10,2,FALSE),0)*'FL Characterization'!F$2)</f>
        <v>50.640062902542418</v>
      </c>
      <c r="G4" s="2">
        <f>('[1]Pc, Summer, S2'!G4*Main!$B$5)+(_xlfn.IFNA(VLOOKUP($A4,'FL Ratio'!$A$3:$B$10,2,FALSE),0)*'FL Characterization'!G$2)</f>
        <v>46.250122673789612</v>
      </c>
      <c r="H4" s="2">
        <f>('[1]Pc, Summer, S2'!H4*Main!$B$5)+(_xlfn.IFNA(VLOOKUP($A4,'FL Ratio'!$A$3:$B$10,2,FALSE),0)*'FL Characterization'!H$2)</f>
        <v>54.327059541516704</v>
      </c>
      <c r="I4" s="2">
        <f>('[1]Pc, Summer, S2'!I4*Main!$B$5)+(_xlfn.IFNA(VLOOKUP($A4,'FL Ratio'!$A$3:$B$10,2,FALSE),0)*'FL Characterization'!I$2)</f>
        <v>61.030245062658821</v>
      </c>
      <c r="J4" s="2">
        <f>('[1]Pc, Summer, S2'!J4*Main!$B$5)+(_xlfn.IFNA(VLOOKUP($A4,'FL Ratio'!$A$3:$B$10,2,FALSE),0)*'FL Characterization'!J$2)</f>
        <v>68.666569793003035</v>
      </c>
      <c r="K4" s="2">
        <f>('[1]Pc, Summer, S2'!K4*Main!$B$5)+(_xlfn.IFNA(VLOOKUP($A4,'FL Ratio'!$A$3:$B$10,2,FALSE),0)*'FL Characterization'!K$2)</f>
        <v>73.818084978735229</v>
      </c>
      <c r="L4" s="2">
        <f>('[1]Pc, Summer, S2'!L4*Main!$B$5)+(_xlfn.IFNA(VLOOKUP($A4,'FL Ratio'!$A$3:$B$10,2,FALSE),0)*'FL Characterization'!L$2)</f>
        <v>75.977906899781473</v>
      </c>
      <c r="M4" s="2">
        <f>('[1]Pc, Summer, S2'!M4*Main!$B$5)+(_xlfn.IFNA(VLOOKUP($A4,'FL Ratio'!$A$3:$B$10,2,FALSE),0)*'FL Characterization'!M$2)</f>
        <v>77.243291811228616</v>
      </c>
      <c r="N4" s="2">
        <f>('[1]Pc, Summer, S2'!N4*Main!$B$5)+(_xlfn.IFNA(VLOOKUP($A4,'FL Ratio'!$A$3:$B$10,2,FALSE),0)*'FL Characterization'!N$2)</f>
        <v>78.952906239868241</v>
      </c>
      <c r="O4" s="2">
        <f>('[1]Pc, Summer, S2'!O4*Main!$B$5)+(_xlfn.IFNA(VLOOKUP($A4,'FL Ratio'!$A$3:$B$10,2,FALSE),0)*'FL Characterization'!O$2)</f>
        <v>80.046641882466886</v>
      </c>
      <c r="P4" s="2">
        <f>('[1]Pc, Summer, S2'!P4*Main!$B$5)+(_xlfn.IFNA(VLOOKUP($A4,'FL Ratio'!$A$3:$B$10,2,FALSE),0)*'FL Characterization'!P$2)</f>
        <v>80.388664897000766</v>
      </c>
      <c r="Q4" s="2">
        <f>('[1]Pc, Summer, S2'!Q4*Main!$B$5)+(_xlfn.IFNA(VLOOKUP($A4,'FL Ratio'!$A$3:$B$10,2,FALSE),0)*'FL Characterization'!Q$2)</f>
        <v>77.380322201826743</v>
      </c>
      <c r="R4" s="2">
        <f>('[1]Pc, Summer, S2'!R4*Main!$B$5)+(_xlfn.IFNA(VLOOKUP($A4,'FL Ratio'!$A$3:$B$10,2,FALSE),0)*'FL Characterization'!R$2)</f>
        <v>76.96370334338836</v>
      </c>
      <c r="S4" s="2">
        <f>('[1]Pc, Summer, S2'!S4*Main!$B$5)+(_xlfn.IFNA(VLOOKUP($A4,'FL Ratio'!$A$3:$B$10,2,FALSE),0)*'FL Characterization'!S$2)</f>
        <v>74.588386056795628</v>
      </c>
      <c r="T4" s="2">
        <f>('[1]Pc, Summer, S2'!T4*Main!$B$5)+(_xlfn.IFNA(VLOOKUP($A4,'FL Ratio'!$A$3:$B$10,2,FALSE),0)*'FL Characterization'!T$2)</f>
        <v>74.485515018901523</v>
      </c>
      <c r="U4" s="2">
        <f>('[1]Pc, Summer, S2'!U4*Main!$B$5)+(_xlfn.IFNA(VLOOKUP($A4,'FL Ratio'!$A$3:$B$10,2,FALSE),0)*'FL Characterization'!U$2)</f>
        <v>74.88594989333663</v>
      </c>
      <c r="V4" s="2">
        <f>('[1]Pc, Summer, S2'!V4*Main!$B$5)+(_xlfn.IFNA(VLOOKUP($A4,'FL Ratio'!$A$3:$B$10,2,FALSE),0)*'FL Characterization'!V$2)</f>
        <v>74.527667682127031</v>
      </c>
      <c r="W4" s="2">
        <f>('[1]Pc, Summer, S2'!W4*Main!$B$5)+(_xlfn.IFNA(VLOOKUP($A4,'FL Ratio'!$A$3:$B$10,2,FALSE),0)*'FL Characterization'!W$2)</f>
        <v>76.889459865578118</v>
      </c>
      <c r="X4" s="2">
        <f>('[1]Pc, Summer, S2'!X4*Main!$B$5)+(_xlfn.IFNA(VLOOKUP($A4,'FL Ratio'!$A$3:$B$10,2,FALSE),0)*'FL Characterization'!X$2)</f>
        <v>76.766516894184548</v>
      </c>
      <c r="Y4" s="2">
        <f>('[1]Pc, Summer, S2'!Y4*Main!$B$5)+(_xlfn.IFNA(VLOOKUP($A4,'FL Ratio'!$A$3:$B$10,2,FALSE),0)*'FL Characterization'!Y$2)</f>
        <v>69.261041526989899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41.657185706737785</v>
      </c>
      <c r="C2" s="2">
        <f>('[1]Pc, Summer, S2'!C2*Main!$B$5)+(_xlfn.IFNA(VLOOKUP($A2,'FL Ratio'!$A$3:$B$10,2,FALSE),0)*'FL Characterization'!C$2)</f>
        <v>37.847417403875781</v>
      </c>
      <c r="D2" s="2">
        <f>('[1]Pc, Summer, S2'!D2*Main!$B$5)+(_xlfn.IFNA(VLOOKUP($A2,'FL Ratio'!$A$3:$B$10,2,FALSE),0)*'FL Characterization'!D$2)</f>
        <v>37.186321387113161</v>
      </c>
      <c r="E2" s="2">
        <f>('[1]Pc, Summer, S2'!E2*Main!$B$5)+(_xlfn.IFNA(VLOOKUP($A2,'FL Ratio'!$A$3:$B$10,2,FALSE),0)*'FL Characterization'!E$2)</f>
        <v>37.091326547402929</v>
      </c>
      <c r="F2" s="2">
        <f>('[1]Pc, Summer, S2'!F2*Main!$B$5)+(_xlfn.IFNA(VLOOKUP($A2,'FL Ratio'!$A$3:$B$10,2,FALSE),0)*'FL Characterization'!F$2)</f>
        <v>37.094250831681748</v>
      </c>
      <c r="G2" s="2">
        <f>('[1]Pc, Summer, S2'!G2*Main!$B$5)+(_xlfn.IFNA(VLOOKUP($A2,'FL Ratio'!$A$3:$B$10,2,FALSE),0)*'FL Characterization'!G$2)</f>
        <v>36.766200116031548</v>
      </c>
      <c r="H2" s="2">
        <f>('[1]Pc, Summer, S2'!H2*Main!$B$5)+(_xlfn.IFNA(VLOOKUP($A2,'FL Ratio'!$A$3:$B$10,2,FALSE),0)*'FL Characterization'!H$2)</f>
        <v>39.692395029126949</v>
      </c>
      <c r="I2" s="2">
        <f>('[1]Pc, Summer, S2'!I2*Main!$B$5)+(_xlfn.IFNA(VLOOKUP($A2,'FL Ratio'!$A$3:$B$10,2,FALSE),0)*'FL Characterization'!I$2)</f>
        <v>47.124570066153488</v>
      </c>
      <c r="J2" s="2">
        <f>('[1]Pc, Summer, S2'!J2*Main!$B$5)+(_xlfn.IFNA(VLOOKUP($A2,'FL Ratio'!$A$3:$B$10,2,FALSE),0)*'FL Characterization'!J$2)</f>
        <v>53.708610154783202</v>
      </c>
      <c r="K2" s="2">
        <f>('[1]Pc, Summer, S2'!K2*Main!$B$5)+(_xlfn.IFNA(VLOOKUP($A2,'FL Ratio'!$A$3:$B$10,2,FALSE),0)*'FL Characterization'!K$2)</f>
        <v>55.358970973146441</v>
      </c>
      <c r="L2" s="2">
        <f>('[1]Pc, Summer, S2'!L2*Main!$B$5)+(_xlfn.IFNA(VLOOKUP($A2,'FL Ratio'!$A$3:$B$10,2,FALSE),0)*'FL Characterization'!L$2)</f>
        <v>54.798752955588384</v>
      </c>
      <c r="M2" s="2">
        <f>('[1]Pc, Summer, S2'!M2*Main!$B$5)+(_xlfn.IFNA(VLOOKUP($A2,'FL Ratio'!$A$3:$B$10,2,FALSE),0)*'FL Characterization'!M$2)</f>
        <v>56.348385398425577</v>
      </c>
      <c r="N2" s="2">
        <f>('[1]Pc, Summer, S2'!N2*Main!$B$5)+(_xlfn.IFNA(VLOOKUP($A2,'FL Ratio'!$A$3:$B$10,2,FALSE),0)*'FL Characterization'!N$2)</f>
        <v>57.12136643510415</v>
      </c>
      <c r="O2" s="2">
        <f>('[1]Pc, Summer, S2'!O2*Main!$B$5)+(_xlfn.IFNA(VLOOKUP($A2,'FL Ratio'!$A$3:$B$10,2,FALSE),0)*'FL Characterization'!O$2)</f>
        <v>56.064728169078343</v>
      </c>
      <c r="P2" s="2">
        <f>('[1]Pc, Summer, S2'!P2*Main!$B$5)+(_xlfn.IFNA(VLOOKUP($A2,'FL Ratio'!$A$3:$B$10,2,FALSE),0)*'FL Characterization'!P$2)</f>
        <v>53.873987214030151</v>
      </c>
      <c r="Q2" s="2">
        <f>('[1]Pc, Summer, S2'!Q2*Main!$B$5)+(_xlfn.IFNA(VLOOKUP($A2,'FL Ratio'!$A$3:$B$10,2,FALSE),0)*'FL Characterization'!Q$2)</f>
        <v>51.705652172706053</v>
      </c>
      <c r="R2" s="2">
        <f>('[1]Pc, Summer, S2'!R2*Main!$B$5)+(_xlfn.IFNA(VLOOKUP($A2,'FL Ratio'!$A$3:$B$10,2,FALSE),0)*'FL Characterization'!R$2)</f>
        <v>52.607746346201743</v>
      </c>
      <c r="S2" s="2">
        <f>('[1]Pc, Summer, S2'!S2*Main!$B$5)+(_xlfn.IFNA(VLOOKUP($A2,'FL Ratio'!$A$3:$B$10,2,FALSE),0)*'FL Characterization'!S$2)</f>
        <v>53.127497738572686</v>
      </c>
      <c r="T2" s="2">
        <f>('[1]Pc, Summer, S2'!T2*Main!$B$5)+(_xlfn.IFNA(VLOOKUP($A2,'FL Ratio'!$A$3:$B$10,2,FALSE),0)*'FL Characterization'!T$2)</f>
        <v>53.353004230621302</v>
      </c>
      <c r="U2" s="2">
        <f>('[1]Pc, Summer, S2'!U2*Main!$B$5)+(_xlfn.IFNA(VLOOKUP($A2,'FL Ratio'!$A$3:$B$10,2,FALSE),0)*'FL Characterization'!U$2)</f>
        <v>52.469766728349327</v>
      </c>
      <c r="V2" s="2">
        <f>('[1]Pc, Summer, S2'!V2*Main!$B$5)+(_xlfn.IFNA(VLOOKUP($A2,'FL Ratio'!$A$3:$B$10,2,FALSE),0)*'FL Characterization'!V$2)</f>
        <v>52.627415264063565</v>
      </c>
      <c r="W2" s="2">
        <f>('[1]Pc, Summer, S2'!W2*Main!$B$5)+(_xlfn.IFNA(VLOOKUP($A2,'FL Ratio'!$A$3:$B$10,2,FALSE),0)*'FL Characterization'!W$2)</f>
        <v>54.807135963978432</v>
      </c>
      <c r="X2" s="2">
        <f>('[1]Pc, Summer, S2'!X2*Main!$B$5)+(_xlfn.IFNA(VLOOKUP($A2,'FL Ratio'!$A$3:$B$10,2,FALSE),0)*'FL Characterization'!X$2)</f>
        <v>51.08688442137332</v>
      </c>
      <c r="Y2" s="2">
        <f>('[1]Pc, Summer, S2'!Y2*Main!$B$5)+(_xlfn.IFNA(VLOOKUP($A2,'FL Ratio'!$A$3:$B$10,2,FALSE),0)*'FL Characterization'!Y$2)</f>
        <v>46.83106209366624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44.990326062363586</v>
      </c>
      <c r="C3" s="2">
        <f>('[1]Pc, Summer, S2'!C3*Main!$B$5)+(_xlfn.IFNA(VLOOKUP($A3,'FL Ratio'!$A$3:$B$10,2,FALSE),0)*'FL Characterization'!C$2)</f>
        <v>41.303126676751333</v>
      </c>
      <c r="D3" s="2">
        <f>('[1]Pc, Summer, S2'!D3*Main!$B$5)+(_xlfn.IFNA(VLOOKUP($A3,'FL Ratio'!$A$3:$B$10,2,FALSE),0)*'FL Characterization'!D$2)</f>
        <v>39.123300552056811</v>
      </c>
      <c r="E3" s="2">
        <f>('[1]Pc, Summer, S2'!E3*Main!$B$5)+(_xlfn.IFNA(VLOOKUP($A3,'FL Ratio'!$A$3:$B$10,2,FALSE),0)*'FL Characterization'!E$2)</f>
        <v>37.688377203726134</v>
      </c>
      <c r="F3" s="2">
        <f>('[1]Pc, Summer, S2'!F3*Main!$B$5)+(_xlfn.IFNA(VLOOKUP($A3,'FL Ratio'!$A$3:$B$10,2,FALSE),0)*'FL Characterization'!F$2)</f>
        <v>37.25213381088242</v>
      </c>
      <c r="G3" s="2">
        <f>('[1]Pc, Summer, S2'!G3*Main!$B$5)+(_xlfn.IFNA(VLOOKUP($A3,'FL Ratio'!$A$3:$B$10,2,FALSE),0)*'FL Characterization'!G$2)</f>
        <v>39.500588779591155</v>
      </c>
      <c r="H3" s="2">
        <f>('[1]Pc, Summer, S2'!H3*Main!$B$5)+(_xlfn.IFNA(VLOOKUP($A3,'FL Ratio'!$A$3:$B$10,2,FALSE),0)*'FL Characterization'!H$2)</f>
        <v>49.442620585817238</v>
      </c>
      <c r="I3" s="2">
        <f>('[1]Pc, Summer, S2'!I3*Main!$B$5)+(_xlfn.IFNA(VLOOKUP($A3,'FL Ratio'!$A$3:$B$10,2,FALSE),0)*'FL Characterization'!I$2)</f>
        <v>58.672786544740767</v>
      </c>
      <c r="J3" s="2">
        <f>('[1]Pc, Summer, S2'!J3*Main!$B$5)+(_xlfn.IFNA(VLOOKUP($A3,'FL Ratio'!$A$3:$B$10,2,FALSE),0)*'FL Characterization'!J$2)</f>
        <v>61.17743678400344</v>
      </c>
      <c r="K3" s="2">
        <f>('[1]Pc, Summer, S2'!K3*Main!$B$5)+(_xlfn.IFNA(VLOOKUP($A3,'FL Ratio'!$A$3:$B$10,2,FALSE),0)*'FL Characterization'!K$2)</f>
        <v>60.047159760784176</v>
      </c>
      <c r="L3" s="2">
        <f>('[1]Pc, Summer, S2'!L3*Main!$B$5)+(_xlfn.IFNA(VLOOKUP($A3,'FL Ratio'!$A$3:$B$10,2,FALSE),0)*'FL Characterization'!L$2)</f>
        <v>59.830968376943325</v>
      </c>
      <c r="M3" s="2">
        <f>('[1]Pc, Summer, S2'!M3*Main!$B$5)+(_xlfn.IFNA(VLOOKUP($A3,'FL Ratio'!$A$3:$B$10,2,FALSE),0)*'FL Characterization'!M$2)</f>
        <v>63.804549186646703</v>
      </c>
      <c r="N3" s="2">
        <f>('[1]Pc, Summer, S2'!N3*Main!$B$5)+(_xlfn.IFNA(VLOOKUP($A3,'FL Ratio'!$A$3:$B$10,2,FALSE),0)*'FL Characterization'!N$2)</f>
        <v>64.00408351058087</v>
      </c>
      <c r="O3" s="2">
        <f>('[1]Pc, Summer, S2'!O3*Main!$B$5)+(_xlfn.IFNA(VLOOKUP($A3,'FL Ratio'!$A$3:$B$10,2,FALSE),0)*'FL Characterization'!O$2)</f>
        <v>64.45555511220968</v>
      </c>
      <c r="P3" s="2">
        <f>('[1]Pc, Summer, S2'!P3*Main!$B$5)+(_xlfn.IFNA(VLOOKUP($A3,'FL Ratio'!$A$3:$B$10,2,FALSE),0)*'FL Characterization'!P$2)</f>
        <v>61.337056969534167</v>
      </c>
      <c r="Q3" s="2">
        <f>('[1]Pc, Summer, S2'!Q3*Main!$B$5)+(_xlfn.IFNA(VLOOKUP($A3,'FL Ratio'!$A$3:$B$10,2,FALSE),0)*'FL Characterization'!Q$2)</f>
        <v>58.106719385598275</v>
      </c>
      <c r="R3" s="2">
        <f>('[1]Pc, Summer, S2'!R3*Main!$B$5)+(_xlfn.IFNA(VLOOKUP($A3,'FL Ratio'!$A$3:$B$10,2,FALSE),0)*'FL Characterization'!R$2)</f>
        <v>53.745497161062197</v>
      </c>
      <c r="S3" s="2">
        <f>('[1]Pc, Summer, S2'!S3*Main!$B$5)+(_xlfn.IFNA(VLOOKUP($A3,'FL Ratio'!$A$3:$B$10,2,FALSE),0)*'FL Characterization'!S$2)</f>
        <v>54.348131129307795</v>
      </c>
      <c r="T3" s="2">
        <f>('[1]Pc, Summer, S2'!T3*Main!$B$5)+(_xlfn.IFNA(VLOOKUP($A3,'FL Ratio'!$A$3:$B$10,2,FALSE),0)*'FL Characterization'!T$2)</f>
        <v>53.859036894209922</v>
      </c>
      <c r="U3" s="2">
        <f>('[1]Pc, Summer, S2'!U3*Main!$B$5)+(_xlfn.IFNA(VLOOKUP($A3,'FL Ratio'!$A$3:$B$10,2,FALSE),0)*'FL Characterization'!U$2)</f>
        <v>53.652784242870567</v>
      </c>
      <c r="V3" s="2">
        <f>('[1]Pc, Summer, S2'!V3*Main!$B$5)+(_xlfn.IFNA(VLOOKUP($A3,'FL Ratio'!$A$3:$B$10,2,FALSE),0)*'FL Characterization'!V$2)</f>
        <v>53.906065186046256</v>
      </c>
      <c r="W3" s="2">
        <f>('[1]Pc, Summer, S2'!W3*Main!$B$5)+(_xlfn.IFNA(VLOOKUP($A3,'FL Ratio'!$A$3:$B$10,2,FALSE),0)*'FL Characterization'!W$2)</f>
        <v>53.622775713794049</v>
      </c>
      <c r="X3" s="2">
        <f>('[1]Pc, Summer, S2'!X3*Main!$B$5)+(_xlfn.IFNA(VLOOKUP($A3,'FL Ratio'!$A$3:$B$10,2,FALSE),0)*'FL Characterization'!X$2)</f>
        <v>53.345948685564885</v>
      </c>
      <c r="Y3" s="2">
        <f>('[1]Pc, Summer, S2'!Y3*Main!$B$5)+(_xlfn.IFNA(VLOOKUP($A3,'FL Ratio'!$A$3:$B$10,2,FALSE),0)*'FL Characterization'!Y$2)</f>
        <v>50.478142172418274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59.703599057294319</v>
      </c>
      <c r="C4" s="2">
        <f>('[1]Pc, Summer, S2'!C4*Main!$B$5)+(_xlfn.IFNA(VLOOKUP($A4,'FL Ratio'!$A$3:$B$10,2,FALSE),0)*'FL Characterization'!C$2)</f>
        <v>52.97849904399726</v>
      </c>
      <c r="D4" s="2">
        <f>('[1]Pc, Summer, S2'!D4*Main!$B$5)+(_xlfn.IFNA(VLOOKUP($A4,'FL Ratio'!$A$3:$B$10,2,FALSE),0)*'FL Characterization'!D$2)</f>
        <v>49.954163670974467</v>
      </c>
      <c r="E4" s="2">
        <f>('[1]Pc, Summer, S2'!E4*Main!$B$5)+(_xlfn.IFNA(VLOOKUP($A4,'FL Ratio'!$A$3:$B$10,2,FALSE),0)*'FL Characterization'!E$2)</f>
        <v>48.317789253731718</v>
      </c>
      <c r="F4" s="2">
        <f>('[1]Pc, Summer, S2'!F4*Main!$B$5)+(_xlfn.IFNA(VLOOKUP($A4,'FL Ratio'!$A$3:$B$10,2,FALSE),0)*'FL Characterization'!F$2)</f>
        <v>50.640062902542418</v>
      </c>
      <c r="G4" s="2">
        <f>('[1]Pc, Summer, S2'!G4*Main!$B$5)+(_xlfn.IFNA(VLOOKUP($A4,'FL Ratio'!$A$3:$B$10,2,FALSE),0)*'FL Characterization'!G$2)</f>
        <v>46.250122673789612</v>
      </c>
      <c r="H4" s="2">
        <f>('[1]Pc, Summer, S2'!H4*Main!$B$5)+(_xlfn.IFNA(VLOOKUP($A4,'FL Ratio'!$A$3:$B$10,2,FALSE),0)*'FL Characterization'!H$2)</f>
        <v>54.327059541516704</v>
      </c>
      <c r="I4" s="2">
        <f>('[1]Pc, Summer, S2'!I4*Main!$B$5)+(_xlfn.IFNA(VLOOKUP($A4,'FL Ratio'!$A$3:$B$10,2,FALSE),0)*'FL Characterization'!I$2)</f>
        <v>61.030245062658821</v>
      </c>
      <c r="J4" s="2">
        <f>('[1]Pc, Summer, S2'!J4*Main!$B$5)+(_xlfn.IFNA(VLOOKUP($A4,'FL Ratio'!$A$3:$B$10,2,FALSE),0)*'FL Characterization'!J$2)</f>
        <v>68.666569793003035</v>
      </c>
      <c r="K4" s="2">
        <f>('[1]Pc, Summer, S2'!K4*Main!$B$5)+(_xlfn.IFNA(VLOOKUP($A4,'FL Ratio'!$A$3:$B$10,2,FALSE),0)*'FL Characterization'!K$2)</f>
        <v>73.818084978735229</v>
      </c>
      <c r="L4" s="2">
        <f>('[1]Pc, Summer, S2'!L4*Main!$B$5)+(_xlfn.IFNA(VLOOKUP($A4,'FL Ratio'!$A$3:$B$10,2,FALSE),0)*'FL Characterization'!L$2)</f>
        <v>75.977906899781473</v>
      </c>
      <c r="M4" s="2">
        <f>('[1]Pc, Summer, S2'!M4*Main!$B$5)+(_xlfn.IFNA(VLOOKUP($A4,'FL Ratio'!$A$3:$B$10,2,FALSE),0)*'FL Characterization'!M$2)</f>
        <v>77.243291811228616</v>
      </c>
      <c r="N4" s="2">
        <f>('[1]Pc, Summer, S2'!N4*Main!$B$5)+(_xlfn.IFNA(VLOOKUP($A4,'FL Ratio'!$A$3:$B$10,2,FALSE),0)*'FL Characterization'!N$2)</f>
        <v>78.952906239868241</v>
      </c>
      <c r="O4" s="2">
        <f>('[1]Pc, Summer, S2'!O4*Main!$B$5)+(_xlfn.IFNA(VLOOKUP($A4,'FL Ratio'!$A$3:$B$10,2,FALSE),0)*'FL Characterization'!O$2)</f>
        <v>80.046641882466886</v>
      </c>
      <c r="P4" s="2">
        <f>('[1]Pc, Summer, S2'!P4*Main!$B$5)+(_xlfn.IFNA(VLOOKUP($A4,'FL Ratio'!$A$3:$B$10,2,FALSE),0)*'FL Characterization'!P$2)</f>
        <v>80.388664897000766</v>
      </c>
      <c r="Q4" s="2">
        <f>('[1]Pc, Summer, S2'!Q4*Main!$B$5)+(_xlfn.IFNA(VLOOKUP($A4,'FL Ratio'!$A$3:$B$10,2,FALSE),0)*'FL Characterization'!Q$2)</f>
        <v>77.380322201826743</v>
      </c>
      <c r="R4" s="2">
        <f>('[1]Pc, Summer, S2'!R4*Main!$B$5)+(_xlfn.IFNA(VLOOKUP($A4,'FL Ratio'!$A$3:$B$10,2,FALSE),0)*'FL Characterization'!R$2)</f>
        <v>76.96370334338836</v>
      </c>
      <c r="S4" s="2">
        <f>('[1]Pc, Summer, S2'!S4*Main!$B$5)+(_xlfn.IFNA(VLOOKUP($A4,'FL Ratio'!$A$3:$B$10,2,FALSE),0)*'FL Characterization'!S$2)</f>
        <v>74.588386056795628</v>
      </c>
      <c r="T4" s="2">
        <f>('[1]Pc, Summer, S2'!T4*Main!$B$5)+(_xlfn.IFNA(VLOOKUP($A4,'FL Ratio'!$A$3:$B$10,2,FALSE),0)*'FL Characterization'!T$2)</f>
        <v>74.485515018901523</v>
      </c>
      <c r="U4" s="2">
        <f>('[1]Pc, Summer, S2'!U4*Main!$B$5)+(_xlfn.IFNA(VLOOKUP($A4,'FL Ratio'!$A$3:$B$10,2,FALSE),0)*'FL Characterization'!U$2)</f>
        <v>74.88594989333663</v>
      </c>
      <c r="V4" s="2">
        <f>('[1]Pc, Summer, S2'!V4*Main!$B$5)+(_xlfn.IFNA(VLOOKUP($A4,'FL Ratio'!$A$3:$B$10,2,FALSE),0)*'FL Characterization'!V$2)</f>
        <v>74.527667682127031</v>
      </c>
      <c r="W4" s="2">
        <f>('[1]Pc, Summer, S2'!W4*Main!$B$5)+(_xlfn.IFNA(VLOOKUP($A4,'FL Ratio'!$A$3:$B$10,2,FALSE),0)*'FL Characterization'!W$2)</f>
        <v>76.889459865578118</v>
      </c>
      <c r="X4" s="2">
        <f>('[1]Pc, Summer, S2'!X4*Main!$B$5)+(_xlfn.IFNA(VLOOKUP($A4,'FL Ratio'!$A$3:$B$10,2,FALSE),0)*'FL Characterization'!X$2)</f>
        <v>76.766516894184548</v>
      </c>
      <c r="Y4" s="2">
        <f>('[1]Pc, Summer, S2'!Y4*Main!$B$5)+(_xlfn.IFNA(VLOOKUP($A4,'FL Ratio'!$A$3:$B$10,2,FALSE),0)*'FL Characterization'!Y$2)</f>
        <v>69.261041526989899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39.634992225828178</v>
      </c>
      <c r="C2" s="2">
        <f>('[1]Pc, Summer, S3'!C2*Main!$B$5)+(_xlfn.IFNA(VLOOKUP($A2,'FL Ratio'!$A$3:$B$10,2,FALSE),0)*'FL Characterization'!C$2)</f>
        <v>36.010164131842977</v>
      </c>
      <c r="D2" s="2">
        <f>('[1]Pc, Summer, S3'!D2*Main!$B$5)+(_xlfn.IFNA(VLOOKUP($A2,'FL Ratio'!$A$3:$B$10,2,FALSE),0)*'FL Characterization'!D$2)</f>
        <v>35.381160154729031</v>
      </c>
      <c r="E2" s="2">
        <f>('[1]Pc, Summer, S3'!E2*Main!$B$5)+(_xlfn.IFNA(VLOOKUP($A2,'FL Ratio'!$A$3:$B$10,2,FALSE),0)*'FL Characterization'!E$2)</f>
        <v>35.290776715004725</v>
      </c>
      <c r="F2" s="2">
        <f>('[1]Pc, Summer, S3'!F2*Main!$B$5)+(_xlfn.IFNA(VLOOKUP($A2,'FL Ratio'!$A$3:$B$10,2,FALSE),0)*'FL Characterization'!F$2)</f>
        <v>35.293559043736032</v>
      </c>
      <c r="G2" s="2">
        <f>('[1]Pc, Summer, S3'!G2*Main!$B$5)+(_xlfn.IFNA(VLOOKUP($A2,'FL Ratio'!$A$3:$B$10,2,FALSE),0)*'FL Characterization'!G$2)</f>
        <v>34.981433120107688</v>
      </c>
      <c r="H2" s="2">
        <f>('[1]Pc, Summer, S3'!H2*Main!$B$5)+(_xlfn.IFNA(VLOOKUP($A2,'FL Ratio'!$A$3:$B$10,2,FALSE),0)*'FL Characterization'!H$2)</f>
        <v>37.765579736450889</v>
      </c>
      <c r="I2" s="2">
        <f>('[1]Pc, Summer, S3'!I2*Main!$B$5)+(_xlfn.IFNA(VLOOKUP($A2,'FL Ratio'!$A$3:$B$10,2,FALSE),0)*'FL Characterization'!I$2)</f>
        <v>44.836969577505265</v>
      </c>
      <c r="J2" s="2">
        <f>('[1]Pc, Summer, S3'!J2*Main!$B$5)+(_xlfn.IFNA(VLOOKUP($A2,'FL Ratio'!$A$3:$B$10,2,FALSE),0)*'FL Characterization'!J$2)</f>
        <v>51.101396069599559</v>
      </c>
      <c r="K2" s="2">
        <f>('[1]Pc, Summer, S3'!K2*Main!$B$5)+(_xlfn.IFNA(VLOOKUP($A2,'FL Ratio'!$A$3:$B$10,2,FALSE),0)*'FL Characterization'!K$2)</f>
        <v>52.671642285129614</v>
      </c>
      <c r="L2" s="2">
        <f>('[1]Pc, Summer, S3'!L2*Main!$B$5)+(_xlfn.IFNA(VLOOKUP($A2,'FL Ratio'!$A$3:$B$10,2,FALSE),0)*'FL Characterization'!L$2)</f>
        <v>52.138619316967599</v>
      </c>
      <c r="M2" s="2">
        <f>('[1]Pc, Summer, S3'!M2*Main!$B$5)+(_xlfn.IFNA(VLOOKUP($A2,'FL Ratio'!$A$3:$B$10,2,FALSE),0)*'FL Characterization'!M$2)</f>
        <v>53.6130268839389</v>
      </c>
      <c r="N2" s="2">
        <f>('[1]Pc, Summer, S3'!N2*Main!$B$5)+(_xlfn.IFNA(VLOOKUP($A2,'FL Ratio'!$A$3:$B$10,2,FALSE),0)*'FL Characterization'!N$2)</f>
        <v>54.348484569322395</v>
      </c>
      <c r="O2" s="2">
        <f>('[1]Pc, Summer, S3'!O2*Main!$B$5)+(_xlfn.IFNA(VLOOKUP($A2,'FL Ratio'!$A$3:$B$10,2,FALSE),0)*'FL Characterization'!O$2)</f>
        <v>53.343139423006576</v>
      </c>
      <c r="P2" s="2">
        <f>('[1]Pc, Summer, S3'!P2*Main!$B$5)+(_xlfn.IFNA(VLOOKUP($A2,'FL Ratio'!$A$3:$B$10,2,FALSE),0)*'FL Characterization'!P$2)</f>
        <v>51.258745116261693</v>
      </c>
      <c r="Q2" s="2">
        <f>('[1]Pc, Summer, S3'!Q2*Main!$B$5)+(_xlfn.IFNA(VLOOKUP($A2,'FL Ratio'!$A$3:$B$10,2,FALSE),0)*'FL Characterization'!Q$2)</f>
        <v>49.195669057526146</v>
      </c>
      <c r="R2" s="2">
        <f>('[1]Pc, Summer, S3'!R2*Main!$B$5)+(_xlfn.IFNA(VLOOKUP($A2,'FL Ratio'!$A$3:$B$10,2,FALSE),0)*'FL Characterization'!R$2)</f>
        <v>50.053972251725924</v>
      </c>
      <c r="S2" s="2">
        <f>('[1]Pc, Summer, S3'!S2*Main!$B$5)+(_xlfn.IFNA(VLOOKUP($A2,'FL Ratio'!$A$3:$B$10,2,FALSE),0)*'FL Characterization'!S$2)</f>
        <v>50.548492993981782</v>
      </c>
      <c r="T2" s="2">
        <f>('[1]Pc, Summer, S3'!T2*Main!$B$5)+(_xlfn.IFNA(VLOOKUP($A2,'FL Ratio'!$A$3:$B$10,2,FALSE),0)*'FL Characterization'!T$2)</f>
        <v>50.763052568940651</v>
      </c>
      <c r="U2" s="2">
        <f>('[1]Pc, Summer, S3'!U2*Main!$B$5)+(_xlfn.IFNA(VLOOKUP($A2,'FL Ratio'!$A$3:$B$10,2,FALSE),0)*'FL Characterization'!U$2)</f>
        <v>49.92269067357509</v>
      </c>
      <c r="V2" s="2">
        <f>('[1]Pc, Summer, S3'!V2*Main!$B$5)+(_xlfn.IFNA(VLOOKUP($A2,'FL Ratio'!$A$3:$B$10,2,FALSE),0)*'FL Characterization'!V$2)</f>
        <v>50.072686367749796</v>
      </c>
      <c r="W2" s="2">
        <f>('[1]Pc, Summer, S3'!W2*Main!$B$5)+(_xlfn.IFNA(VLOOKUP($A2,'FL Ratio'!$A$3:$B$10,2,FALSE),0)*'FL Characterization'!W$2)</f>
        <v>52.146595383202786</v>
      </c>
      <c r="X2" s="2">
        <f>('[1]Pc, Summer, S3'!X2*Main!$B$5)+(_xlfn.IFNA(VLOOKUP($A2,'FL Ratio'!$A$3:$B$10,2,FALSE),0)*'FL Characterization'!X$2)</f>
        <v>48.606938575675592</v>
      </c>
      <c r="Y2" s="2">
        <f>('[1]Pc, Summer, S3'!Y2*Main!$B$5)+(_xlfn.IFNA(VLOOKUP($A2,'FL Ratio'!$A$3:$B$10,2,FALSE),0)*'FL Characterization'!Y$2)</f>
        <v>44.557709564847492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42.939946095156934</v>
      </c>
      <c r="C3" s="2">
        <f>('[1]Pc, Summer, S3'!C3*Main!$B$5)+(_xlfn.IFNA(VLOOKUP($A3,'FL Ratio'!$A$3:$B$10,2,FALSE),0)*'FL Characterization'!C$2)</f>
        <v>39.436194113759072</v>
      </c>
      <c r="D3" s="2">
        <f>('[1]Pc, Summer, S3'!D3*Main!$B$5)+(_xlfn.IFNA(VLOOKUP($A3,'FL Ratio'!$A$3:$B$10,2,FALSE),0)*'FL Characterization'!D$2)</f>
        <v>37.347747997068993</v>
      </c>
      <c r="E3" s="2">
        <f>('[1]Pc, Summer, S3'!E3*Main!$B$5)+(_xlfn.IFNA(VLOOKUP($A3,'FL Ratio'!$A$3:$B$10,2,FALSE),0)*'FL Characterization'!E$2)</f>
        <v>35.976034571551644</v>
      </c>
      <c r="F3" s="2">
        <f>('[1]Pc, Summer, S3'!F3*Main!$B$5)+(_xlfn.IFNA(VLOOKUP($A3,'FL Ratio'!$A$3:$B$10,2,FALSE),0)*'FL Characterization'!F$2)</f>
        <v>35.539791178707929</v>
      </c>
      <c r="G3" s="2">
        <f>('[1]Pc, Summer, S3'!G3*Main!$B$5)+(_xlfn.IFNA(VLOOKUP($A3,'FL Ratio'!$A$3:$B$10,2,FALSE),0)*'FL Characterization'!G$2)</f>
        <v>37.664574085160041</v>
      </c>
      <c r="H3" s="2">
        <f>('[1]Pc, Summer, S3'!H3*Main!$B$5)+(_xlfn.IFNA(VLOOKUP($A3,'FL Ratio'!$A$3:$B$10,2,FALSE),0)*'FL Characterization'!H$2)</f>
        <v>47.142148562757143</v>
      </c>
      <c r="I3" s="2">
        <f>('[1]Pc, Summer, S3'!I3*Main!$B$5)+(_xlfn.IFNA(VLOOKUP($A3,'FL Ratio'!$A$3:$B$10,2,FALSE),0)*'FL Characterization'!I$2)</f>
        <v>55.841899782421734</v>
      </c>
      <c r="J3" s="2">
        <f>('[1]Pc, Summer, S3'!J3*Main!$B$5)+(_xlfn.IFNA(VLOOKUP($A3,'FL Ratio'!$A$3:$B$10,2,FALSE),0)*'FL Characterization'!J$2)</f>
        <v>58.222877811264226</v>
      </c>
      <c r="K3" s="2">
        <f>('[1]Pc, Summer, S3'!K3*Main!$B$5)+(_xlfn.IFNA(VLOOKUP($A3,'FL Ratio'!$A$3:$B$10,2,FALSE),0)*'FL Characterization'!K$2)</f>
        <v>57.15443696694998</v>
      </c>
      <c r="L3" s="2">
        <f>('[1]Pc, Summer, S3'!L3*Main!$B$5)+(_xlfn.IFNA(VLOOKUP($A3,'FL Ratio'!$A$3:$B$10,2,FALSE),0)*'FL Characterization'!L$2)</f>
        <v>56.939619474407301</v>
      </c>
      <c r="M3" s="2">
        <f>('[1]Pc, Summer, S3'!M3*Main!$B$5)+(_xlfn.IFNA(VLOOKUP($A3,'FL Ratio'!$A$3:$B$10,2,FALSE),0)*'FL Characterization'!M$2)</f>
        <v>60.723569335778087</v>
      </c>
      <c r="N3" s="2">
        <f>('[1]Pc, Summer, S3'!N3*Main!$B$5)+(_xlfn.IFNA(VLOOKUP($A3,'FL Ratio'!$A$3:$B$10,2,FALSE),0)*'FL Characterization'!N$2)</f>
        <v>60.923103659712254</v>
      </c>
      <c r="O3" s="2">
        <f>('[1]Pc, Summer, S3'!O3*Main!$B$5)+(_xlfn.IFNA(VLOOKUP($A3,'FL Ratio'!$A$3:$B$10,2,FALSE),0)*'FL Characterization'!O$2)</f>
        <v>61.374575261341064</v>
      </c>
      <c r="P3" s="2">
        <f>('[1]Pc, Summer, S3'!P3*Main!$B$5)+(_xlfn.IFNA(VLOOKUP($A3,'FL Ratio'!$A$3:$B$10,2,FALSE),0)*'FL Characterization'!P$2)</f>
        <v>58.410667492233173</v>
      </c>
      <c r="Q3" s="2">
        <f>('[1]Pc, Summer, S3'!Q3*Main!$B$5)+(_xlfn.IFNA(VLOOKUP($A3,'FL Ratio'!$A$3:$B$10,2,FALSE),0)*'FL Characterization'!Q$2)</f>
        <v>55.336294468136238</v>
      </c>
      <c r="R3" s="2">
        <f>('[1]Pc, Summer, S3'!R3*Main!$B$5)+(_xlfn.IFNA(VLOOKUP($A3,'FL Ratio'!$A$3:$B$10,2,FALSE),0)*'FL Characterization'!R$2)</f>
        <v>51.164702896959618</v>
      </c>
      <c r="S3" s="2">
        <f>('[1]Pc, Summer, S3'!S3*Main!$B$5)+(_xlfn.IFNA(VLOOKUP($A3,'FL Ratio'!$A$3:$B$10,2,FALSE),0)*'FL Characterization'!S$2)</f>
        <v>51.767336865205216</v>
      </c>
      <c r="T3" s="2">
        <f>('[1]Pc, Summer, S3'!T3*Main!$B$5)+(_xlfn.IFNA(VLOOKUP($A3,'FL Ratio'!$A$3:$B$10,2,FALSE),0)*'FL Characterization'!T$2)</f>
        <v>51.278242630107343</v>
      </c>
      <c r="U3" s="2">
        <f>('[1]Pc, Summer, S3'!U3*Main!$B$5)+(_xlfn.IFNA(VLOOKUP($A3,'FL Ratio'!$A$3:$B$10,2,FALSE),0)*'FL Characterization'!U$2)</f>
        <v>51.071989978767988</v>
      </c>
      <c r="V3" s="2">
        <f>('[1]Pc, Summer, S3'!V3*Main!$B$5)+(_xlfn.IFNA(VLOOKUP($A3,'FL Ratio'!$A$3:$B$10,2,FALSE),0)*'FL Characterization'!V$2)</f>
        <v>51.325270921943677</v>
      </c>
      <c r="W3" s="2">
        <f>('[1]Pc, Summer, S3'!W3*Main!$B$5)+(_xlfn.IFNA(VLOOKUP($A3,'FL Ratio'!$A$3:$B$10,2,FALSE),0)*'FL Characterization'!W$2)</f>
        <v>51.04198144969147</v>
      </c>
      <c r="X3" s="2">
        <f>('[1]Pc, Summer, S3'!X3*Main!$B$5)+(_xlfn.IFNA(VLOOKUP($A3,'FL Ratio'!$A$3:$B$10,2,FALSE),0)*'FL Characterization'!X$2)</f>
        <v>50.857908025985196</v>
      </c>
      <c r="Y3" s="2">
        <f>('[1]Pc, Summer, S3'!Y3*Main!$B$5)+(_xlfn.IFNA(VLOOKUP($A3,'FL Ratio'!$A$3:$B$10,2,FALSE),0)*'FL Characterization'!Y$2)</f>
        <v>48.150187894735609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56.938982536935683</v>
      </c>
      <c r="C4" s="2">
        <f>('[1]Pc, Summer, S3'!C4*Main!$B$5)+(_xlfn.IFNA(VLOOKUP($A4,'FL Ratio'!$A$3:$B$10,2,FALSE),0)*'FL Characterization'!C$2)</f>
        <v>50.544800832109587</v>
      </c>
      <c r="D4" s="2">
        <f>('[1]Pc, Summer, S3'!D4*Main!$B$5)+(_xlfn.IFNA(VLOOKUP($A4,'FL Ratio'!$A$3:$B$10,2,FALSE),0)*'FL Characterization'!D$2)</f>
        <v>47.652841061670252</v>
      </c>
      <c r="E4" s="2">
        <f>('[1]Pc, Summer, S3'!E4*Main!$B$5)+(_xlfn.IFNA(VLOOKUP($A4,'FL Ratio'!$A$3:$B$10,2,FALSE),0)*'FL Characterization'!E$2)</f>
        <v>46.089455745343379</v>
      </c>
      <c r="F4" s="2">
        <f>('[1]Pc, Summer, S3'!F4*Main!$B$5)+(_xlfn.IFNA(VLOOKUP($A4,'FL Ratio'!$A$3:$B$10,2,FALSE),0)*'FL Characterization'!F$2)</f>
        <v>48.277820799899011</v>
      </c>
      <c r="G4" s="2">
        <f>('[1]Pc, Summer, S3'!G4*Main!$B$5)+(_xlfn.IFNA(VLOOKUP($A4,'FL Ratio'!$A$3:$B$10,2,FALSE),0)*'FL Characterization'!G$2)</f>
        <v>44.086460702941103</v>
      </c>
      <c r="H4" s="2">
        <f>('[1]Pc, Summer, S3'!H4*Main!$B$5)+(_xlfn.IFNA(VLOOKUP($A4,'FL Ratio'!$A$3:$B$10,2,FALSE),0)*'FL Characterization'!H$2)</f>
        <v>51.789478831286743</v>
      </c>
      <c r="I4" s="2">
        <f>('[1]Pc, Summer, S3'!I4*Main!$B$5)+(_xlfn.IFNA(VLOOKUP($A4,'FL Ratio'!$A$3:$B$10,2,FALSE),0)*'FL Characterization'!I$2)</f>
        <v>58.084918566460274</v>
      </c>
      <c r="J4" s="2">
        <f>('[1]Pc, Summer, S3'!J4*Main!$B$5)+(_xlfn.IFNA(VLOOKUP($A4,'FL Ratio'!$A$3:$B$10,2,FALSE),0)*'FL Characterization'!J$2)</f>
        <v>65.348460674195863</v>
      </c>
      <c r="K4" s="2">
        <f>('[1]Pc, Summer, S3'!K4*Main!$B$5)+(_xlfn.IFNA(VLOOKUP($A4,'FL Ratio'!$A$3:$B$10,2,FALSE),0)*'FL Characterization'!K$2)</f>
        <v>70.256870669466508</v>
      </c>
      <c r="L4" s="2">
        <f>('[1]Pc, Summer, S3'!L4*Main!$B$5)+(_xlfn.IFNA(VLOOKUP($A4,'FL Ratio'!$A$3:$B$10,2,FALSE),0)*'FL Characterization'!L$2)</f>
        <v>72.30272603011737</v>
      </c>
      <c r="M4" s="2">
        <f>('[1]Pc, Summer, S3'!M4*Main!$B$5)+(_xlfn.IFNA(VLOOKUP($A4,'FL Ratio'!$A$3:$B$10,2,FALSE),0)*'FL Characterization'!M$2)</f>
        <v>73.509945813535623</v>
      </c>
      <c r="N4" s="2">
        <f>('[1]Pc, Summer, S3'!N4*Main!$B$5)+(_xlfn.IFNA(VLOOKUP($A4,'FL Ratio'!$A$3:$B$10,2,FALSE),0)*'FL Characterization'!N$2)</f>
        <v>75.146255382723538</v>
      </c>
      <c r="O4" s="2">
        <f>('[1]Pc, Summer, S3'!O4*Main!$B$5)+(_xlfn.IFNA(VLOOKUP($A4,'FL Ratio'!$A$3:$B$10,2,FALSE),0)*'FL Characterization'!O$2)</f>
        <v>76.208813159255683</v>
      </c>
      <c r="P4" s="2">
        <f>('[1]Pc, Summer, S3'!P4*Main!$B$5)+(_xlfn.IFNA(VLOOKUP($A4,'FL Ratio'!$A$3:$B$10,2,FALSE),0)*'FL Characterization'!P$2)</f>
        <v>76.537440083414992</v>
      </c>
      <c r="Q4" s="2">
        <f>('[1]Pc, Summer, S3'!Q4*Main!$B$5)+(_xlfn.IFNA(VLOOKUP($A4,'FL Ratio'!$A$3:$B$10,2,FALSE),0)*'FL Characterization'!Q$2)</f>
        <v>73.674285497169151</v>
      </c>
      <c r="R4" s="2">
        <f>('[1]Pc, Summer, S3'!R4*Main!$B$5)+(_xlfn.IFNA(VLOOKUP($A4,'FL Ratio'!$A$3:$B$10,2,FALSE),0)*'FL Characterization'!R$2)</f>
        <v>73.255811691794221</v>
      </c>
      <c r="S4" s="2">
        <f>('[1]Pc, Summer, S3'!S4*Main!$B$5)+(_xlfn.IFNA(VLOOKUP($A4,'FL Ratio'!$A$3:$B$10,2,FALSE),0)*'FL Characterization'!S$2)</f>
        <v>71.02505514572762</v>
      </c>
      <c r="T4" s="2">
        <f>('[1]Pc, Summer, S3'!T4*Main!$B$5)+(_xlfn.IFNA(VLOOKUP($A4,'FL Ratio'!$A$3:$B$10,2,FALSE),0)*'FL Characterization'!T$2)</f>
        <v>70.903435408940126</v>
      </c>
      <c r="U4" s="2">
        <f>('[1]Pc, Summer, S3'!U4*Main!$B$5)+(_xlfn.IFNA(VLOOKUP($A4,'FL Ratio'!$A$3:$B$10,2,FALSE),0)*'FL Characterization'!U$2)</f>
        <v>71.274419432609477</v>
      </c>
      <c r="V4" s="2">
        <f>('[1]Pc, Summer, S3'!V4*Main!$B$5)+(_xlfn.IFNA(VLOOKUP($A4,'FL Ratio'!$A$3:$B$10,2,FALSE),0)*'FL Characterization'!V$2)</f>
        <v>70.94582475316615</v>
      </c>
      <c r="W4" s="2">
        <f>('[1]Pc, Summer, S3'!W4*Main!$B$5)+(_xlfn.IFNA(VLOOKUP($A4,'FL Ratio'!$A$3:$B$10,2,FALSE),0)*'FL Characterization'!W$2)</f>
        <v>73.179214914495716</v>
      </c>
      <c r="X4" s="2">
        <f>('[1]Pc, Summer, S3'!X4*Main!$B$5)+(_xlfn.IFNA(VLOOKUP($A4,'FL Ratio'!$A$3:$B$10,2,FALSE),0)*'FL Characterization'!X$2)</f>
        <v>73.141555447778643</v>
      </c>
      <c r="Y4" s="2">
        <f>('[1]Pc, Summer, S3'!Y4*Main!$B$5)+(_xlfn.IFNA(VLOOKUP($A4,'FL Ratio'!$A$3:$B$10,2,FALSE),0)*'FL Characterization'!Y$2)</f>
        <v>66.021296018502795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39.634992225828178</v>
      </c>
      <c r="C2" s="2">
        <f>('[1]Pc, Summer, S3'!C2*Main!$B$5)+(_xlfn.IFNA(VLOOKUP($A2,'FL Ratio'!$A$3:$B$10,2,FALSE),0)*'FL Characterization'!C$2)</f>
        <v>36.010164131842977</v>
      </c>
      <c r="D2" s="2">
        <f>('[1]Pc, Summer, S3'!D2*Main!$B$5)+(_xlfn.IFNA(VLOOKUP($A2,'FL Ratio'!$A$3:$B$10,2,FALSE),0)*'FL Characterization'!D$2)</f>
        <v>35.381160154729031</v>
      </c>
      <c r="E2" s="2">
        <f>('[1]Pc, Summer, S3'!E2*Main!$B$5)+(_xlfn.IFNA(VLOOKUP($A2,'FL Ratio'!$A$3:$B$10,2,FALSE),0)*'FL Characterization'!E$2)</f>
        <v>35.290776715004725</v>
      </c>
      <c r="F2" s="2">
        <f>('[1]Pc, Summer, S3'!F2*Main!$B$5)+(_xlfn.IFNA(VLOOKUP($A2,'FL Ratio'!$A$3:$B$10,2,FALSE),0)*'FL Characterization'!F$2)</f>
        <v>35.293559043736032</v>
      </c>
      <c r="G2" s="2">
        <f>('[1]Pc, Summer, S3'!G2*Main!$B$5)+(_xlfn.IFNA(VLOOKUP($A2,'FL Ratio'!$A$3:$B$10,2,FALSE),0)*'FL Characterization'!G$2)</f>
        <v>34.981433120107688</v>
      </c>
      <c r="H2" s="2">
        <f>('[1]Pc, Summer, S3'!H2*Main!$B$5)+(_xlfn.IFNA(VLOOKUP($A2,'FL Ratio'!$A$3:$B$10,2,FALSE),0)*'FL Characterization'!H$2)</f>
        <v>37.765579736450889</v>
      </c>
      <c r="I2" s="2">
        <f>('[1]Pc, Summer, S3'!I2*Main!$B$5)+(_xlfn.IFNA(VLOOKUP($A2,'FL Ratio'!$A$3:$B$10,2,FALSE),0)*'FL Characterization'!I$2)</f>
        <v>44.836969577505265</v>
      </c>
      <c r="J2" s="2">
        <f>('[1]Pc, Summer, S3'!J2*Main!$B$5)+(_xlfn.IFNA(VLOOKUP($A2,'FL Ratio'!$A$3:$B$10,2,FALSE),0)*'FL Characterization'!J$2)</f>
        <v>51.101396069599559</v>
      </c>
      <c r="K2" s="2">
        <f>('[1]Pc, Summer, S3'!K2*Main!$B$5)+(_xlfn.IFNA(VLOOKUP($A2,'FL Ratio'!$A$3:$B$10,2,FALSE),0)*'FL Characterization'!K$2)</f>
        <v>52.671642285129614</v>
      </c>
      <c r="L2" s="2">
        <f>('[1]Pc, Summer, S3'!L2*Main!$B$5)+(_xlfn.IFNA(VLOOKUP($A2,'FL Ratio'!$A$3:$B$10,2,FALSE),0)*'FL Characterization'!L$2)</f>
        <v>52.138619316967599</v>
      </c>
      <c r="M2" s="2">
        <f>('[1]Pc, Summer, S3'!M2*Main!$B$5)+(_xlfn.IFNA(VLOOKUP($A2,'FL Ratio'!$A$3:$B$10,2,FALSE),0)*'FL Characterization'!M$2)</f>
        <v>53.6130268839389</v>
      </c>
      <c r="N2" s="2">
        <f>('[1]Pc, Summer, S3'!N2*Main!$B$5)+(_xlfn.IFNA(VLOOKUP($A2,'FL Ratio'!$A$3:$B$10,2,FALSE),0)*'FL Characterization'!N$2)</f>
        <v>54.348484569322395</v>
      </c>
      <c r="O2" s="2">
        <f>('[1]Pc, Summer, S3'!O2*Main!$B$5)+(_xlfn.IFNA(VLOOKUP($A2,'FL Ratio'!$A$3:$B$10,2,FALSE),0)*'FL Characterization'!O$2)</f>
        <v>53.343139423006576</v>
      </c>
      <c r="P2" s="2">
        <f>('[1]Pc, Summer, S3'!P2*Main!$B$5)+(_xlfn.IFNA(VLOOKUP($A2,'FL Ratio'!$A$3:$B$10,2,FALSE),0)*'FL Characterization'!P$2)</f>
        <v>51.258745116261693</v>
      </c>
      <c r="Q2" s="2">
        <f>('[1]Pc, Summer, S3'!Q2*Main!$B$5)+(_xlfn.IFNA(VLOOKUP($A2,'FL Ratio'!$A$3:$B$10,2,FALSE),0)*'FL Characterization'!Q$2)</f>
        <v>49.195669057526146</v>
      </c>
      <c r="R2" s="2">
        <f>('[1]Pc, Summer, S3'!R2*Main!$B$5)+(_xlfn.IFNA(VLOOKUP($A2,'FL Ratio'!$A$3:$B$10,2,FALSE),0)*'FL Characterization'!R$2)</f>
        <v>50.053972251725924</v>
      </c>
      <c r="S2" s="2">
        <f>('[1]Pc, Summer, S3'!S2*Main!$B$5)+(_xlfn.IFNA(VLOOKUP($A2,'FL Ratio'!$A$3:$B$10,2,FALSE),0)*'FL Characterization'!S$2)</f>
        <v>50.548492993981782</v>
      </c>
      <c r="T2" s="2">
        <f>('[1]Pc, Summer, S3'!T2*Main!$B$5)+(_xlfn.IFNA(VLOOKUP($A2,'FL Ratio'!$A$3:$B$10,2,FALSE),0)*'FL Characterization'!T$2)</f>
        <v>50.763052568940651</v>
      </c>
      <c r="U2" s="2">
        <f>('[1]Pc, Summer, S3'!U2*Main!$B$5)+(_xlfn.IFNA(VLOOKUP($A2,'FL Ratio'!$A$3:$B$10,2,FALSE),0)*'FL Characterization'!U$2)</f>
        <v>49.92269067357509</v>
      </c>
      <c r="V2" s="2">
        <f>('[1]Pc, Summer, S3'!V2*Main!$B$5)+(_xlfn.IFNA(VLOOKUP($A2,'FL Ratio'!$A$3:$B$10,2,FALSE),0)*'FL Characterization'!V$2)</f>
        <v>50.072686367749796</v>
      </c>
      <c r="W2" s="2">
        <f>('[1]Pc, Summer, S3'!W2*Main!$B$5)+(_xlfn.IFNA(VLOOKUP($A2,'FL Ratio'!$A$3:$B$10,2,FALSE),0)*'FL Characterization'!W$2)</f>
        <v>52.146595383202786</v>
      </c>
      <c r="X2" s="2">
        <f>('[1]Pc, Summer, S3'!X2*Main!$B$5)+(_xlfn.IFNA(VLOOKUP($A2,'FL Ratio'!$A$3:$B$10,2,FALSE),0)*'FL Characterization'!X$2)</f>
        <v>48.606938575675592</v>
      </c>
      <c r="Y2" s="2">
        <f>('[1]Pc, Summer, S3'!Y2*Main!$B$5)+(_xlfn.IFNA(VLOOKUP($A2,'FL Ratio'!$A$3:$B$10,2,FALSE),0)*'FL Characterization'!Y$2)</f>
        <v>44.557709564847492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42.939946095156934</v>
      </c>
      <c r="C3" s="2">
        <f>('[1]Pc, Summer, S3'!C3*Main!$B$5)+(_xlfn.IFNA(VLOOKUP($A3,'FL Ratio'!$A$3:$B$10,2,FALSE),0)*'FL Characterization'!C$2)</f>
        <v>39.436194113759072</v>
      </c>
      <c r="D3" s="2">
        <f>('[1]Pc, Summer, S3'!D3*Main!$B$5)+(_xlfn.IFNA(VLOOKUP($A3,'FL Ratio'!$A$3:$B$10,2,FALSE),0)*'FL Characterization'!D$2)</f>
        <v>37.347747997068993</v>
      </c>
      <c r="E3" s="2">
        <f>('[1]Pc, Summer, S3'!E3*Main!$B$5)+(_xlfn.IFNA(VLOOKUP($A3,'FL Ratio'!$A$3:$B$10,2,FALSE),0)*'FL Characterization'!E$2)</f>
        <v>35.976034571551644</v>
      </c>
      <c r="F3" s="2">
        <f>('[1]Pc, Summer, S3'!F3*Main!$B$5)+(_xlfn.IFNA(VLOOKUP($A3,'FL Ratio'!$A$3:$B$10,2,FALSE),0)*'FL Characterization'!F$2)</f>
        <v>35.539791178707929</v>
      </c>
      <c r="G3" s="2">
        <f>('[1]Pc, Summer, S3'!G3*Main!$B$5)+(_xlfn.IFNA(VLOOKUP($A3,'FL Ratio'!$A$3:$B$10,2,FALSE),0)*'FL Characterization'!G$2)</f>
        <v>37.664574085160041</v>
      </c>
      <c r="H3" s="2">
        <f>('[1]Pc, Summer, S3'!H3*Main!$B$5)+(_xlfn.IFNA(VLOOKUP($A3,'FL Ratio'!$A$3:$B$10,2,FALSE),0)*'FL Characterization'!H$2)</f>
        <v>47.142148562757143</v>
      </c>
      <c r="I3" s="2">
        <f>('[1]Pc, Summer, S3'!I3*Main!$B$5)+(_xlfn.IFNA(VLOOKUP($A3,'FL Ratio'!$A$3:$B$10,2,FALSE),0)*'FL Characterization'!I$2)</f>
        <v>55.841899782421734</v>
      </c>
      <c r="J3" s="2">
        <f>('[1]Pc, Summer, S3'!J3*Main!$B$5)+(_xlfn.IFNA(VLOOKUP($A3,'FL Ratio'!$A$3:$B$10,2,FALSE),0)*'FL Characterization'!J$2)</f>
        <v>58.222877811264226</v>
      </c>
      <c r="K3" s="2">
        <f>('[1]Pc, Summer, S3'!K3*Main!$B$5)+(_xlfn.IFNA(VLOOKUP($A3,'FL Ratio'!$A$3:$B$10,2,FALSE),0)*'FL Characterization'!K$2)</f>
        <v>57.15443696694998</v>
      </c>
      <c r="L3" s="2">
        <f>('[1]Pc, Summer, S3'!L3*Main!$B$5)+(_xlfn.IFNA(VLOOKUP($A3,'FL Ratio'!$A$3:$B$10,2,FALSE),0)*'FL Characterization'!L$2)</f>
        <v>56.939619474407301</v>
      </c>
      <c r="M3" s="2">
        <f>('[1]Pc, Summer, S3'!M3*Main!$B$5)+(_xlfn.IFNA(VLOOKUP($A3,'FL Ratio'!$A$3:$B$10,2,FALSE),0)*'FL Characterization'!M$2)</f>
        <v>60.723569335778087</v>
      </c>
      <c r="N3" s="2">
        <f>('[1]Pc, Summer, S3'!N3*Main!$B$5)+(_xlfn.IFNA(VLOOKUP($A3,'FL Ratio'!$A$3:$B$10,2,FALSE),0)*'FL Characterization'!N$2)</f>
        <v>60.923103659712254</v>
      </c>
      <c r="O3" s="2">
        <f>('[1]Pc, Summer, S3'!O3*Main!$B$5)+(_xlfn.IFNA(VLOOKUP($A3,'FL Ratio'!$A$3:$B$10,2,FALSE),0)*'FL Characterization'!O$2)</f>
        <v>61.374575261341064</v>
      </c>
      <c r="P3" s="2">
        <f>('[1]Pc, Summer, S3'!P3*Main!$B$5)+(_xlfn.IFNA(VLOOKUP($A3,'FL Ratio'!$A$3:$B$10,2,FALSE),0)*'FL Characterization'!P$2)</f>
        <v>58.410667492233173</v>
      </c>
      <c r="Q3" s="2">
        <f>('[1]Pc, Summer, S3'!Q3*Main!$B$5)+(_xlfn.IFNA(VLOOKUP($A3,'FL Ratio'!$A$3:$B$10,2,FALSE),0)*'FL Characterization'!Q$2)</f>
        <v>55.336294468136238</v>
      </c>
      <c r="R3" s="2">
        <f>('[1]Pc, Summer, S3'!R3*Main!$B$5)+(_xlfn.IFNA(VLOOKUP($A3,'FL Ratio'!$A$3:$B$10,2,FALSE),0)*'FL Characterization'!R$2)</f>
        <v>51.164702896959618</v>
      </c>
      <c r="S3" s="2">
        <f>('[1]Pc, Summer, S3'!S3*Main!$B$5)+(_xlfn.IFNA(VLOOKUP($A3,'FL Ratio'!$A$3:$B$10,2,FALSE),0)*'FL Characterization'!S$2)</f>
        <v>51.767336865205216</v>
      </c>
      <c r="T3" s="2">
        <f>('[1]Pc, Summer, S3'!T3*Main!$B$5)+(_xlfn.IFNA(VLOOKUP($A3,'FL Ratio'!$A$3:$B$10,2,FALSE),0)*'FL Characterization'!T$2)</f>
        <v>51.278242630107343</v>
      </c>
      <c r="U3" s="2">
        <f>('[1]Pc, Summer, S3'!U3*Main!$B$5)+(_xlfn.IFNA(VLOOKUP($A3,'FL Ratio'!$A$3:$B$10,2,FALSE),0)*'FL Characterization'!U$2)</f>
        <v>51.071989978767988</v>
      </c>
      <c r="V3" s="2">
        <f>('[1]Pc, Summer, S3'!V3*Main!$B$5)+(_xlfn.IFNA(VLOOKUP($A3,'FL Ratio'!$A$3:$B$10,2,FALSE),0)*'FL Characterization'!V$2)</f>
        <v>51.325270921943677</v>
      </c>
      <c r="W3" s="2">
        <f>('[1]Pc, Summer, S3'!W3*Main!$B$5)+(_xlfn.IFNA(VLOOKUP($A3,'FL Ratio'!$A$3:$B$10,2,FALSE),0)*'FL Characterization'!W$2)</f>
        <v>51.04198144969147</v>
      </c>
      <c r="X3" s="2">
        <f>('[1]Pc, Summer, S3'!X3*Main!$B$5)+(_xlfn.IFNA(VLOOKUP($A3,'FL Ratio'!$A$3:$B$10,2,FALSE),0)*'FL Characterization'!X$2)</f>
        <v>50.857908025985196</v>
      </c>
      <c r="Y3" s="2">
        <f>('[1]Pc, Summer, S3'!Y3*Main!$B$5)+(_xlfn.IFNA(VLOOKUP($A3,'FL Ratio'!$A$3:$B$10,2,FALSE),0)*'FL Characterization'!Y$2)</f>
        <v>48.150187894735609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56.938982536935683</v>
      </c>
      <c r="C4" s="2">
        <f>('[1]Pc, Summer, S3'!C4*Main!$B$5)+(_xlfn.IFNA(VLOOKUP($A4,'FL Ratio'!$A$3:$B$10,2,FALSE),0)*'FL Characterization'!C$2)</f>
        <v>50.544800832109587</v>
      </c>
      <c r="D4" s="2">
        <f>('[1]Pc, Summer, S3'!D4*Main!$B$5)+(_xlfn.IFNA(VLOOKUP($A4,'FL Ratio'!$A$3:$B$10,2,FALSE),0)*'FL Characterization'!D$2)</f>
        <v>47.652841061670252</v>
      </c>
      <c r="E4" s="2">
        <f>('[1]Pc, Summer, S3'!E4*Main!$B$5)+(_xlfn.IFNA(VLOOKUP($A4,'FL Ratio'!$A$3:$B$10,2,FALSE),0)*'FL Characterization'!E$2)</f>
        <v>46.089455745343379</v>
      </c>
      <c r="F4" s="2">
        <f>('[1]Pc, Summer, S3'!F4*Main!$B$5)+(_xlfn.IFNA(VLOOKUP($A4,'FL Ratio'!$A$3:$B$10,2,FALSE),0)*'FL Characterization'!F$2)</f>
        <v>48.277820799899011</v>
      </c>
      <c r="G4" s="2">
        <f>('[1]Pc, Summer, S3'!G4*Main!$B$5)+(_xlfn.IFNA(VLOOKUP($A4,'FL Ratio'!$A$3:$B$10,2,FALSE),0)*'FL Characterization'!G$2)</f>
        <v>44.086460702941103</v>
      </c>
      <c r="H4" s="2">
        <f>('[1]Pc, Summer, S3'!H4*Main!$B$5)+(_xlfn.IFNA(VLOOKUP($A4,'FL Ratio'!$A$3:$B$10,2,FALSE),0)*'FL Characterization'!H$2)</f>
        <v>51.789478831286743</v>
      </c>
      <c r="I4" s="2">
        <f>('[1]Pc, Summer, S3'!I4*Main!$B$5)+(_xlfn.IFNA(VLOOKUP($A4,'FL Ratio'!$A$3:$B$10,2,FALSE),0)*'FL Characterization'!I$2)</f>
        <v>58.084918566460274</v>
      </c>
      <c r="J4" s="2">
        <f>('[1]Pc, Summer, S3'!J4*Main!$B$5)+(_xlfn.IFNA(VLOOKUP($A4,'FL Ratio'!$A$3:$B$10,2,FALSE),0)*'FL Characterization'!J$2)</f>
        <v>65.348460674195863</v>
      </c>
      <c r="K4" s="2">
        <f>('[1]Pc, Summer, S3'!K4*Main!$B$5)+(_xlfn.IFNA(VLOOKUP($A4,'FL Ratio'!$A$3:$B$10,2,FALSE),0)*'FL Characterization'!K$2)</f>
        <v>70.256870669466508</v>
      </c>
      <c r="L4" s="2">
        <f>('[1]Pc, Summer, S3'!L4*Main!$B$5)+(_xlfn.IFNA(VLOOKUP($A4,'FL Ratio'!$A$3:$B$10,2,FALSE),0)*'FL Characterization'!L$2)</f>
        <v>72.30272603011737</v>
      </c>
      <c r="M4" s="2">
        <f>('[1]Pc, Summer, S3'!M4*Main!$B$5)+(_xlfn.IFNA(VLOOKUP($A4,'FL Ratio'!$A$3:$B$10,2,FALSE),0)*'FL Characterization'!M$2)</f>
        <v>73.509945813535623</v>
      </c>
      <c r="N4" s="2">
        <f>('[1]Pc, Summer, S3'!N4*Main!$B$5)+(_xlfn.IFNA(VLOOKUP($A4,'FL Ratio'!$A$3:$B$10,2,FALSE),0)*'FL Characterization'!N$2)</f>
        <v>75.146255382723538</v>
      </c>
      <c r="O4" s="2">
        <f>('[1]Pc, Summer, S3'!O4*Main!$B$5)+(_xlfn.IFNA(VLOOKUP($A4,'FL Ratio'!$A$3:$B$10,2,FALSE),0)*'FL Characterization'!O$2)</f>
        <v>76.208813159255683</v>
      </c>
      <c r="P4" s="2">
        <f>('[1]Pc, Summer, S3'!P4*Main!$B$5)+(_xlfn.IFNA(VLOOKUP($A4,'FL Ratio'!$A$3:$B$10,2,FALSE),0)*'FL Characterization'!P$2)</f>
        <v>76.537440083414992</v>
      </c>
      <c r="Q4" s="2">
        <f>('[1]Pc, Summer, S3'!Q4*Main!$B$5)+(_xlfn.IFNA(VLOOKUP($A4,'FL Ratio'!$A$3:$B$10,2,FALSE),0)*'FL Characterization'!Q$2)</f>
        <v>73.674285497169151</v>
      </c>
      <c r="R4" s="2">
        <f>('[1]Pc, Summer, S3'!R4*Main!$B$5)+(_xlfn.IFNA(VLOOKUP($A4,'FL Ratio'!$A$3:$B$10,2,FALSE),0)*'FL Characterization'!R$2)</f>
        <v>73.255811691794221</v>
      </c>
      <c r="S4" s="2">
        <f>('[1]Pc, Summer, S3'!S4*Main!$B$5)+(_xlfn.IFNA(VLOOKUP($A4,'FL Ratio'!$A$3:$B$10,2,FALSE),0)*'FL Characterization'!S$2)</f>
        <v>71.02505514572762</v>
      </c>
      <c r="T4" s="2">
        <f>('[1]Pc, Summer, S3'!T4*Main!$B$5)+(_xlfn.IFNA(VLOOKUP($A4,'FL Ratio'!$A$3:$B$10,2,FALSE),0)*'FL Characterization'!T$2)</f>
        <v>70.903435408940126</v>
      </c>
      <c r="U4" s="2">
        <f>('[1]Pc, Summer, S3'!U4*Main!$B$5)+(_xlfn.IFNA(VLOOKUP($A4,'FL Ratio'!$A$3:$B$10,2,FALSE),0)*'FL Characterization'!U$2)</f>
        <v>71.274419432609477</v>
      </c>
      <c r="V4" s="2">
        <f>('[1]Pc, Summer, S3'!V4*Main!$B$5)+(_xlfn.IFNA(VLOOKUP($A4,'FL Ratio'!$A$3:$B$10,2,FALSE),0)*'FL Characterization'!V$2)</f>
        <v>70.94582475316615</v>
      </c>
      <c r="W4" s="2">
        <f>('[1]Pc, Summer, S3'!W4*Main!$B$5)+(_xlfn.IFNA(VLOOKUP($A4,'FL Ratio'!$A$3:$B$10,2,FALSE),0)*'FL Characterization'!W$2)</f>
        <v>73.179214914495716</v>
      </c>
      <c r="X4" s="2">
        <f>('[1]Pc, Summer, S3'!X4*Main!$B$5)+(_xlfn.IFNA(VLOOKUP($A4,'FL Ratio'!$A$3:$B$10,2,FALSE),0)*'FL Characterization'!X$2)</f>
        <v>73.141555447778643</v>
      </c>
      <c r="Y4" s="2">
        <f>('[1]Pc, Summer, S3'!Y4*Main!$B$5)+(_xlfn.IFNA(VLOOKUP($A4,'FL Ratio'!$A$3:$B$10,2,FALSE),0)*'FL Characterization'!Y$2)</f>
        <v>66.021296018502795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39.634992225828178</v>
      </c>
      <c r="C2" s="2">
        <f>('[1]Pc, Summer, S3'!C2*Main!$B$5)+(_xlfn.IFNA(VLOOKUP($A2,'FL Ratio'!$A$3:$B$10,2,FALSE),0)*'FL Characterization'!C$2)</f>
        <v>36.010164131842977</v>
      </c>
      <c r="D2" s="2">
        <f>('[1]Pc, Summer, S3'!D2*Main!$B$5)+(_xlfn.IFNA(VLOOKUP($A2,'FL Ratio'!$A$3:$B$10,2,FALSE),0)*'FL Characterization'!D$2)</f>
        <v>35.381160154729031</v>
      </c>
      <c r="E2" s="2">
        <f>('[1]Pc, Summer, S3'!E2*Main!$B$5)+(_xlfn.IFNA(VLOOKUP($A2,'FL Ratio'!$A$3:$B$10,2,FALSE),0)*'FL Characterization'!E$2)</f>
        <v>35.290776715004725</v>
      </c>
      <c r="F2" s="2">
        <f>('[1]Pc, Summer, S3'!F2*Main!$B$5)+(_xlfn.IFNA(VLOOKUP($A2,'FL Ratio'!$A$3:$B$10,2,FALSE),0)*'FL Characterization'!F$2)</f>
        <v>35.293559043736032</v>
      </c>
      <c r="G2" s="2">
        <f>('[1]Pc, Summer, S3'!G2*Main!$B$5)+(_xlfn.IFNA(VLOOKUP($A2,'FL Ratio'!$A$3:$B$10,2,FALSE),0)*'FL Characterization'!G$2)</f>
        <v>34.981433120107688</v>
      </c>
      <c r="H2" s="2">
        <f>('[1]Pc, Summer, S3'!H2*Main!$B$5)+(_xlfn.IFNA(VLOOKUP($A2,'FL Ratio'!$A$3:$B$10,2,FALSE),0)*'FL Characterization'!H$2)</f>
        <v>37.765579736450889</v>
      </c>
      <c r="I2" s="2">
        <f>('[1]Pc, Summer, S3'!I2*Main!$B$5)+(_xlfn.IFNA(VLOOKUP($A2,'FL Ratio'!$A$3:$B$10,2,FALSE),0)*'FL Characterization'!I$2)</f>
        <v>44.836969577505265</v>
      </c>
      <c r="J2" s="2">
        <f>('[1]Pc, Summer, S3'!J2*Main!$B$5)+(_xlfn.IFNA(VLOOKUP($A2,'FL Ratio'!$A$3:$B$10,2,FALSE),0)*'FL Characterization'!J$2)</f>
        <v>51.101396069599559</v>
      </c>
      <c r="K2" s="2">
        <f>('[1]Pc, Summer, S3'!K2*Main!$B$5)+(_xlfn.IFNA(VLOOKUP($A2,'FL Ratio'!$A$3:$B$10,2,FALSE),0)*'FL Characterization'!K$2)</f>
        <v>52.671642285129614</v>
      </c>
      <c r="L2" s="2">
        <f>('[1]Pc, Summer, S3'!L2*Main!$B$5)+(_xlfn.IFNA(VLOOKUP($A2,'FL Ratio'!$A$3:$B$10,2,FALSE),0)*'FL Characterization'!L$2)</f>
        <v>52.138619316967599</v>
      </c>
      <c r="M2" s="2">
        <f>('[1]Pc, Summer, S3'!M2*Main!$B$5)+(_xlfn.IFNA(VLOOKUP($A2,'FL Ratio'!$A$3:$B$10,2,FALSE),0)*'FL Characterization'!M$2)</f>
        <v>53.6130268839389</v>
      </c>
      <c r="N2" s="2">
        <f>('[1]Pc, Summer, S3'!N2*Main!$B$5)+(_xlfn.IFNA(VLOOKUP($A2,'FL Ratio'!$A$3:$B$10,2,FALSE),0)*'FL Characterization'!N$2)</f>
        <v>54.348484569322395</v>
      </c>
      <c r="O2" s="2">
        <f>('[1]Pc, Summer, S3'!O2*Main!$B$5)+(_xlfn.IFNA(VLOOKUP($A2,'FL Ratio'!$A$3:$B$10,2,FALSE),0)*'FL Characterization'!O$2)</f>
        <v>53.343139423006576</v>
      </c>
      <c r="P2" s="2">
        <f>('[1]Pc, Summer, S3'!P2*Main!$B$5)+(_xlfn.IFNA(VLOOKUP($A2,'FL Ratio'!$A$3:$B$10,2,FALSE),0)*'FL Characterization'!P$2)</f>
        <v>51.258745116261693</v>
      </c>
      <c r="Q2" s="2">
        <f>('[1]Pc, Summer, S3'!Q2*Main!$B$5)+(_xlfn.IFNA(VLOOKUP($A2,'FL Ratio'!$A$3:$B$10,2,FALSE),0)*'FL Characterization'!Q$2)</f>
        <v>49.195669057526146</v>
      </c>
      <c r="R2" s="2">
        <f>('[1]Pc, Summer, S3'!R2*Main!$B$5)+(_xlfn.IFNA(VLOOKUP($A2,'FL Ratio'!$A$3:$B$10,2,FALSE),0)*'FL Characterization'!R$2)</f>
        <v>50.053972251725924</v>
      </c>
      <c r="S2" s="2">
        <f>('[1]Pc, Summer, S3'!S2*Main!$B$5)+(_xlfn.IFNA(VLOOKUP($A2,'FL Ratio'!$A$3:$B$10,2,FALSE),0)*'FL Characterization'!S$2)</f>
        <v>50.548492993981782</v>
      </c>
      <c r="T2" s="2">
        <f>('[1]Pc, Summer, S3'!T2*Main!$B$5)+(_xlfn.IFNA(VLOOKUP($A2,'FL Ratio'!$A$3:$B$10,2,FALSE),0)*'FL Characterization'!T$2)</f>
        <v>50.763052568940651</v>
      </c>
      <c r="U2" s="2">
        <f>('[1]Pc, Summer, S3'!U2*Main!$B$5)+(_xlfn.IFNA(VLOOKUP($A2,'FL Ratio'!$A$3:$B$10,2,FALSE),0)*'FL Characterization'!U$2)</f>
        <v>49.92269067357509</v>
      </c>
      <c r="V2" s="2">
        <f>('[1]Pc, Summer, S3'!V2*Main!$B$5)+(_xlfn.IFNA(VLOOKUP($A2,'FL Ratio'!$A$3:$B$10,2,FALSE),0)*'FL Characterization'!V$2)</f>
        <v>50.072686367749796</v>
      </c>
      <c r="W2" s="2">
        <f>('[1]Pc, Summer, S3'!W2*Main!$B$5)+(_xlfn.IFNA(VLOOKUP($A2,'FL Ratio'!$A$3:$B$10,2,FALSE),0)*'FL Characterization'!W$2)</f>
        <v>52.146595383202786</v>
      </c>
      <c r="X2" s="2">
        <f>('[1]Pc, Summer, S3'!X2*Main!$B$5)+(_xlfn.IFNA(VLOOKUP($A2,'FL Ratio'!$A$3:$B$10,2,FALSE),0)*'FL Characterization'!X$2)</f>
        <v>48.606938575675592</v>
      </c>
      <c r="Y2" s="2">
        <f>('[1]Pc, Summer, S3'!Y2*Main!$B$5)+(_xlfn.IFNA(VLOOKUP($A2,'FL Ratio'!$A$3:$B$10,2,FALSE),0)*'FL Characterization'!Y$2)</f>
        <v>44.557709564847492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42.939946095156934</v>
      </c>
      <c r="C3" s="2">
        <f>('[1]Pc, Summer, S3'!C3*Main!$B$5)+(_xlfn.IFNA(VLOOKUP($A3,'FL Ratio'!$A$3:$B$10,2,FALSE),0)*'FL Characterization'!C$2)</f>
        <v>39.436194113759072</v>
      </c>
      <c r="D3" s="2">
        <f>('[1]Pc, Summer, S3'!D3*Main!$B$5)+(_xlfn.IFNA(VLOOKUP($A3,'FL Ratio'!$A$3:$B$10,2,FALSE),0)*'FL Characterization'!D$2)</f>
        <v>37.347747997068993</v>
      </c>
      <c r="E3" s="2">
        <f>('[1]Pc, Summer, S3'!E3*Main!$B$5)+(_xlfn.IFNA(VLOOKUP($A3,'FL Ratio'!$A$3:$B$10,2,FALSE),0)*'FL Characterization'!E$2)</f>
        <v>35.976034571551644</v>
      </c>
      <c r="F3" s="2">
        <f>('[1]Pc, Summer, S3'!F3*Main!$B$5)+(_xlfn.IFNA(VLOOKUP($A3,'FL Ratio'!$A$3:$B$10,2,FALSE),0)*'FL Characterization'!F$2)</f>
        <v>35.539791178707929</v>
      </c>
      <c r="G3" s="2">
        <f>('[1]Pc, Summer, S3'!G3*Main!$B$5)+(_xlfn.IFNA(VLOOKUP($A3,'FL Ratio'!$A$3:$B$10,2,FALSE),0)*'FL Characterization'!G$2)</f>
        <v>37.664574085160041</v>
      </c>
      <c r="H3" s="2">
        <f>('[1]Pc, Summer, S3'!H3*Main!$B$5)+(_xlfn.IFNA(VLOOKUP($A3,'FL Ratio'!$A$3:$B$10,2,FALSE),0)*'FL Characterization'!H$2)</f>
        <v>47.142148562757143</v>
      </c>
      <c r="I3" s="2">
        <f>('[1]Pc, Summer, S3'!I3*Main!$B$5)+(_xlfn.IFNA(VLOOKUP($A3,'FL Ratio'!$A$3:$B$10,2,FALSE),0)*'FL Characterization'!I$2)</f>
        <v>55.841899782421734</v>
      </c>
      <c r="J3" s="2">
        <f>('[1]Pc, Summer, S3'!J3*Main!$B$5)+(_xlfn.IFNA(VLOOKUP($A3,'FL Ratio'!$A$3:$B$10,2,FALSE),0)*'FL Characterization'!J$2)</f>
        <v>58.222877811264226</v>
      </c>
      <c r="K3" s="2">
        <f>('[1]Pc, Summer, S3'!K3*Main!$B$5)+(_xlfn.IFNA(VLOOKUP($A3,'FL Ratio'!$A$3:$B$10,2,FALSE),0)*'FL Characterization'!K$2)</f>
        <v>57.15443696694998</v>
      </c>
      <c r="L3" s="2">
        <f>('[1]Pc, Summer, S3'!L3*Main!$B$5)+(_xlfn.IFNA(VLOOKUP($A3,'FL Ratio'!$A$3:$B$10,2,FALSE),0)*'FL Characterization'!L$2)</f>
        <v>56.939619474407301</v>
      </c>
      <c r="M3" s="2">
        <f>('[1]Pc, Summer, S3'!M3*Main!$B$5)+(_xlfn.IFNA(VLOOKUP($A3,'FL Ratio'!$A$3:$B$10,2,FALSE),0)*'FL Characterization'!M$2)</f>
        <v>60.723569335778087</v>
      </c>
      <c r="N3" s="2">
        <f>('[1]Pc, Summer, S3'!N3*Main!$B$5)+(_xlfn.IFNA(VLOOKUP($A3,'FL Ratio'!$A$3:$B$10,2,FALSE),0)*'FL Characterization'!N$2)</f>
        <v>60.923103659712254</v>
      </c>
      <c r="O3" s="2">
        <f>('[1]Pc, Summer, S3'!O3*Main!$B$5)+(_xlfn.IFNA(VLOOKUP($A3,'FL Ratio'!$A$3:$B$10,2,FALSE),0)*'FL Characterization'!O$2)</f>
        <v>61.374575261341064</v>
      </c>
      <c r="P3" s="2">
        <f>('[1]Pc, Summer, S3'!P3*Main!$B$5)+(_xlfn.IFNA(VLOOKUP($A3,'FL Ratio'!$A$3:$B$10,2,FALSE),0)*'FL Characterization'!P$2)</f>
        <v>58.410667492233173</v>
      </c>
      <c r="Q3" s="2">
        <f>('[1]Pc, Summer, S3'!Q3*Main!$B$5)+(_xlfn.IFNA(VLOOKUP($A3,'FL Ratio'!$A$3:$B$10,2,FALSE),0)*'FL Characterization'!Q$2)</f>
        <v>55.336294468136238</v>
      </c>
      <c r="R3" s="2">
        <f>('[1]Pc, Summer, S3'!R3*Main!$B$5)+(_xlfn.IFNA(VLOOKUP($A3,'FL Ratio'!$A$3:$B$10,2,FALSE),0)*'FL Characterization'!R$2)</f>
        <v>51.164702896959618</v>
      </c>
      <c r="S3" s="2">
        <f>('[1]Pc, Summer, S3'!S3*Main!$B$5)+(_xlfn.IFNA(VLOOKUP($A3,'FL Ratio'!$A$3:$B$10,2,FALSE),0)*'FL Characterization'!S$2)</f>
        <v>51.767336865205216</v>
      </c>
      <c r="T3" s="2">
        <f>('[1]Pc, Summer, S3'!T3*Main!$B$5)+(_xlfn.IFNA(VLOOKUP($A3,'FL Ratio'!$A$3:$B$10,2,FALSE),0)*'FL Characterization'!T$2)</f>
        <v>51.278242630107343</v>
      </c>
      <c r="U3" s="2">
        <f>('[1]Pc, Summer, S3'!U3*Main!$B$5)+(_xlfn.IFNA(VLOOKUP($A3,'FL Ratio'!$A$3:$B$10,2,FALSE),0)*'FL Characterization'!U$2)</f>
        <v>51.071989978767988</v>
      </c>
      <c r="V3" s="2">
        <f>('[1]Pc, Summer, S3'!V3*Main!$B$5)+(_xlfn.IFNA(VLOOKUP($A3,'FL Ratio'!$A$3:$B$10,2,FALSE),0)*'FL Characterization'!V$2)</f>
        <v>51.325270921943677</v>
      </c>
      <c r="W3" s="2">
        <f>('[1]Pc, Summer, S3'!W3*Main!$B$5)+(_xlfn.IFNA(VLOOKUP($A3,'FL Ratio'!$A$3:$B$10,2,FALSE),0)*'FL Characterization'!W$2)</f>
        <v>51.04198144969147</v>
      </c>
      <c r="X3" s="2">
        <f>('[1]Pc, Summer, S3'!X3*Main!$B$5)+(_xlfn.IFNA(VLOOKUP($A3,'FL Ratio'!$A$3:$B$10,2,FALSE),0)*'FL Characterization'!X$2)</f>
        <v>50.857908025985196</v>
      </c>
      <c r="Y3" s="2">
        <f>('[1]Pc, Summer, S3'!Y3*Main!$B$5)+(_xlfn.IFNA(VLOOKUP($A3,'FL Ratio'!$A$3:$B$10,2,FALSE),0)*'FL Characterization'!Y$2)</f>
        <v>48.150187894735609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56.938982536935683</v>
      </c>
      <c r="C4" s="2">
        <f>('[1]Pc, Summer, S3'!C4*Main!$B$5)+(_xlfn.IFNA(VLOOKUP($A4,'FL Ratio'!$A$3:$B$10,2,FALSE),0)*'FL Characterization'!C$2)</f>
        <v>50.544800832109587</v>
      </c>
      <c r="D4" s="2">
        <f>('[1]Pc, Summer, S3'!D4*Main!$B$5)+(_xlfn.IFNA(VLOOKUP($A4,'FL Ratio'!$A$3:$B$10,2,FALSE),0)*'FL Characterization'!D$2)</f>
        <v>47.652841061670252</v>
      </c>
      <c r="E4" s="2">
        <f>('[1]Pc, Summer, S3'!E4*Main!$B$5)+(_xlfn.IFNA(VLOOKUP($A4,'FL Ratio'!$A$3:$B$10,2,FALSE),0)*'FL Characterization'!E$2)</f>
        <v>46.089455745343379</v>
      </c>
      <c r="F4" s="2">
        <f>('[1]Pc, Summer, S3'!F4*Main!$B$5)+(_xlfn.IFNA(VLOOKUP($A4,'FL Ratio'!$A$3:$B$10,2,FALSE),0)*'FL Characterization'!F$2)</f>
        <v>48.277820799899011</v>
      </c>
      <c r="G4" s="2">
        <f>('[1]Pc, Summer, S3'!G4*Main!$B$5)+(_xlfn.IFNA(VLOOKUP($A4,'FL Ratio'!$A$3:$B$10,2,FALSE),0)*'FL Characterization'!G$2)</f>
        <v>44.086460702941103</v>
      </c>
      <c r="H4" s="2">
        <f>('[1]Pc, Summer, S3'!H4*Main!$B$5)+(_xlfn.IFNA(VLOOKUP($A4,'FL Ratio'!$A$3:$B$10,2,FALSE),0)*'FL Characterization'!H$2)</f>
        <v>51.789478831286743</v>
      </c>
      <c r="I4" s="2">
        <f>('[1]Pc, Summer, S3'!I4*Main!$B$5)+(_xlfn.IFNA(VLOOKUP($A4,'FL Ratio'!$A$3:$B$10,2,FALSE),0)*'FL Characterization'!I$2)</f>
        <v>58.084918566460274</v>
      </c>
      <c r="J4" s="2">
        <f>('[1]Pc, Summer, S3'!J4*Main!$B$5)+(_xlfn.IFNA(VLOOKUP($A4,'FL Ratio'!$A$3:$B$10,2,FALSE),0)*'FL Characterization'!J$2)</f>
        <v>65.348460674195863</v>
      </c>
      <c r="K4" s="2">
        <f>('[1]Pc, Summer, S3'!K4*Main!$B$5)+(_xlfn.IFNA(VLOOKUP($A4,'FL Ratio'!$A$3:$B$10,2,FALSE),0)*'FL Characterization'!K$2)</f>
        <v>70.256870669466508</v>
      </c>
      <c r="L4" s="2">
        <f>('[1]Pc, Summer, S3'!L4*Main!$B$5)+(_xlfn.IFNA(VLOOKUP($A4,'FL Ratio'!$A$3:$B$10,2,FALSE),0)*'FL Characterization'!L$2)</f>
        <v>72.30272603011737</v>
      </c>
      <c r="M4" s="2">
        <f>('[1]Pc, Summer, S3'!M4*Main!$B$5)+(_xlfn.IFNA(VLOOKUP($A4,'FL Ratio'!$A$3:$B$10,2,FALSE),0)*'FL Characterization'!M$2)</f>
        <v>73.509945813535623</v>
      </c>
      <c r="N4" s="2">
        <f>('[1]Pc, Summer, S3'!N4*Main!$B$5)+(_xlfn.IFNA(VLOOKUP($A4,'FL Ratio'!$A$3:$B$10,2,FALSE),0)*'FL Characterization'!N$2)</f>
        <v>75.146255382723538</v>
      </c>
      <c r="O4" s="2">
        <f>('[1]Pc, Summer, S3'!O4*Main!$B$5)+(_xlfn.IFNA(VLOOKUP($A4,'FL Ratio'!$A$3:$B$10,2,FALSE),0)*'FL Characterization'!O$2)</f>
        <v>76.208813159255683</v>
      </c>
      <c r="P4" s="2">
        <f>('[1]Pc, Summer, S3'!P4*Main!$B$5)+(_xlfn.IFNA(VLOOKUP($A4,'FL Ratio'!$A$3:$B$10,2,FALSE),0)*'FL Characterization'!P$2)</f>
        <v>76.537440083414992</v>
      </c>
      <c r="Q4" s="2">
        <f>('[1]Pc, Summer, S3'!Q4*Main!$B$5)+(_xlfn.IFNA(VLOOKUP($A4,'FL Ratio'!$A$3:$B$10,2,FALSE),0)*'FL Characterization'!Q$2)</f>
        <v>73.674285497169151</v>
      </c>
      <c r="R4" s="2">
        <f>('[1]Pc, Summer, S3'!R4*Main!$B$5)+(_xlfn.IFNA(VLOOKUP($A4,'FL Ratio'!$A$3:$B$10,2,FALSE),0)*'FL Characterization'!R$2)</f>
        <v>73.255811691794221</v>
      </c>
      <c r="S4" s="2">
        <f>('[1]Pc, Summer, S3'!S4*Main!$B$5)+(_xlfn.IFNA(VLOOKUP($A4,'FL Ratio'!$A$3:$B$10,2,FALSE),0)*'FL Characterization'!S$2)</f>
        <v>71.02505514572762</v>
      </c>
      <c r="T4" s="2">
        <f>('[1]Pc, Summer, S3'!T4*Main!$B$5)+(_xlfn.IFNA(VLOOKUP($A4,'FL Ratio'!$A$3:$B$10,2,FALSE),0)*'FL Characterization'!T$2)</f>
        <v>70.903435408940126</v>
      </c>
      <c r="U4" s="2">
        <f>('[1]Pc, Summer, S3'!U4*Main!$B$5)+(_xlfn.IFNA(VLOOKUP($A4,'FL Ratio'!$A$3:$B$10,2,FALSE),0)*'FL Characterization'!U$2)</f>
        <v>71.274419432609477</v>
      </c>
      <c r="V4" s="2">
        <f>('[1]Pc, Summer, S3'!V4*Main!$B$5)+(_xlfn.IFNA(VLOOKUP($A4,'FL Ratio'!$A$3:$B$10,2,FALSE),0)*'FL Characterization'!V$2)</f>
        <v>70.94582475316615</v>
      </c>
      <c r="W4" s="2">
        <f>('[1]Pc, Summer, S3'!W4*Main!$B$5)+(_xlfn.IFNA(VLOOKUP($A4,'FL Ratio'!$A$3:$B$10,2,FALSE),0)*'FL Characterization'!W$2)</f>
        <v>73.179214914495716</v>
      </c>
      <c r="X4" s="2">
        <f>('[1]Pc, Summer, S3'!X4*Main!$B$5)+(_xlfn.IFNA(VLOOKUP($A4,'FL Ratio'!$A$3:$B$10,2,FALSE),0)*'FL Characterization'!X$2)</f>
        <v>73.141555447778643</v>
      </c>
      <c r="Y4" s="2">
        <f>('[1]Pc, Summer, S3'!Y4*Main!$B$5)+(_xlfn.IFNA(VLOOKUP($A4,'FL Ratio'!$A$3:$B$10,2,FALSE),0)*'FL Characterization'!Y$2)</f>
        <v>66.021296018502795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-12.891504769308554</v>
      </c>
      <c r="C2" s="2">
        <f>('[1]Qc, Summer, S1'!C2*Main!$B$5)</f>
        <v>-16.760539152726484</v>
      </c>
      <c r="D2" s="2">
        <f>('[1]Qc, Summer, S1'!D2*Main!$B$5)</f>
        <v>-18.473348684294965</v>
      </c>
      <c r="E2" s="2">
        <f>('[1]Qc, Summer, S1'!E2*Main!$B$5)</f>
        <v>-16.85789850583161</v>
      </c>
      <c r="F2" s="2">
        <f>('[1]Qc, Summer, S1'!F2*Main!$B$5)</f>
        <v>-18.069399125667111</v>
      </c>
      <c r="G2" s="2">
        <f>('[1]Qc, Summer, S1'!G2*Main!$B$5)</f>
        <v>-18.485879105211698</v>
      </c>
      <c r="H2" s="2">
        <f>('[1]Qc, Summer, S1'!H2*Main!$B$5)</f>
        <v>-16.021531833051672</v>
      </c>
      <c r="I2" s="2">
        <f>('[1]Qc, Summer, S1'!I2*Main!$B$5)</f>
        <v>-2.4925904013481865</v>
      </c>
      <c r="J2" s="2">
        <f>('[1]Qc, Summer, S1'!J2*Main!$B$5)</f>
        <v>8.0010317743342139</v>
      </c>
      <c r="K2" s="2">
        <f>('[1]Qc, Summer, S1'!K2*Main!$B$5)</f>
        <v>11.647947045792131</v>
      </c>
      <c r="L2" s="2">
        <f>('[1]Qc, Summer, S1'!L2*Main!$B$5)</f>
        <v>9.1563277297305827</v>
      </c>
      <c r="M2" s="2">
        <f>('[1]Qc, Summer, S1'!M2*Main!$B$5)</f>
        <v>12.196479939842767</v>
      </c>
      <c r="N2" s="2">
        <f>('[1]Qc, Summer, S1'!N2*Main!$B$5)</f>
        <v>10.823398702915341</v>
      </c>
      <c r="O2" s="2">
        <f>('[1]Qc, Summer, S1'!O2*Main!$B$5)</f>
        <v>11.149278093135559</v>
      </c>
      <c r="P2" s="2">
        <f>('[1]Qc, Summer, S1'!P2*Main!$B$5)</f>
        <v>5.7526183300936511</v>
      </c>
      <c r="Q2" s="2">
        <f>('[1]Qc, Summer, S1'!Q2*Main!$B$5)</f>
        <v>1.454331549435216</v>
      </c>
      <c r="R2" s="2">
        <f>('[1]Qc, Summer, S1'!R2*Main!$B$5)</f>
        <v>3.235308203908251</v>
      </c>
      <c r="S2" s="2">
        <f>('[1]Qc, Summer, S1'!S2*Main!$B$5)</f>
        <v>3.929780858857109</v>
      </c>
      <c r="T2" s="2">
        <f>('[1]Qc, Summer, S1'!T2*Main!$B$5)</f>
        <v>2.367544974250464</v>
      </c>
      <c r="U2" s="2">
        <f>('[1]Qc, Summer, S1'!U2*Main!$B$5)</f>
        <v>-0.44165715129242855</v>
      </c>
      <c r="V2" s="2">
        <f>('[1]Qc, Summer, S1'!V2*Main!$B$5)</f>
        <v>-1.7241585736102172</v>
      </c>
      <c r="W2" s="2">
        <f>('[1]Qc, Summer, S1'!W2*Main!$B$5)</f>
        <v>-1.1995417900485388</v>
      </c>
      <c r="X2" s="2">
        <f>('[1]Qc, Summer, S1'!X2*Main!$B$5)</f>
        <v>-5.7526937047481272</v>
      </c>
      <c r="Y2" s="2">
        <f>('[1]Qc, Summer, S1'!Y2*Main!$B$5)</f>
        <v>-7.7867393186414047</v>
      </c>
    </row>
    <row r="3" spans="1:25" x14ac:dyDescent="0.3">
      <c r="A3">
        <v>2</v>
      </c>
      <c r="B3" s="2">
        <f>('[1]Qc, Summer, S1'!B3*Main!$B$5)</f>
        <v>-16.315267231802263</v>
      </c>
      <c r="C3" s="2">
        <f>('[1]Qc, Summer, S1'!C3*Main!$B$5)</f>
        <v>-16.315267231802263</v>
      </c>
      <c r="D3" s="2">
        <f>('[1]Qc, Summer, S1'!D3*Main!$B$5)</f>
        <v>-18.941063093941285</v>
      </c>
      <c r="E3" s="2">
        <f>('[1]Qc, Summer, S1'!E3*Main!$B$5)</f>
        <v>-21.566858956080317</v>
      </c>
      <c r="F3" s="2">
        <f>('[1]Qc, Summer, S1'!F3*Main!$B$5)</f>
        <v>-21.566858956080317</v>
      </c>
      <c r="G3" s="2">
        <f>('[1]Qc, Summer, S1'!G3*Main!$B$5)</f>
        <v>-21.566858956080317</v>
      </c>
      <c r="H3" s="2">
        <f>('[1]Qc, Summer, S1'!H3*Main!$B$5)</f>
        <v>-8.5994729633971563</v>
      </c>
      <c r="I3" s="2">
        <f>('[1]Qc, Summer, S1'!I3*Main!$B$5)</f>
        <v>1.7825198267731885</v>
      </c>
      <c r="J3" s="2">
        <f>('[1]Qc, Summer, S1'!J3*Main!$B$5)</f>
        <v>5.6606247959247096</v>
      </c>
      <c r="K3" s="2">
        <f>('[1]Qc, Summer, S1'!K3*Main!$B$5)</f>
        <v>5.6606247959247096</v>
      </c>
      <c r="L3" s="2">
        <f>('[1]Qc, Summer, S1'!L3*Main!$B$5)</f>
        <v>5.1758535419393636</v>
      </c>
      <c r="M3" s="2">
        <f>('[1]Qc, Summer, S1'!M3*Main!$B$5)</f>
        <v>7.2764798006879738</v>
      </c>
      <c r="N3" s="2">
        <f>('[1]Qc, Summer, S1'!N3*Main!$B$5)</f>
        <v>9.8618773134219317</v>
      </c>
      <c r="O3" s="2">
        <f>('[1]Qc, Summer, S1'!O3*Main!$B$5)</f>
        <v>10.164864797488582</v>
      </c>
      <c r="P3" s="2">
        <f>('[1]Qc, Summer, S1'!P3*Main!$B$5)</f>
        <v>5.7010187896181792</v>
      </c>
      <c r="Q3" s="2">
        <f>('[1]Qc, Summer, S1'!Q3*Main!$B$5)</f>
        <v>4.4487096598604561</v>
      </c>
      <c r="R3" s="2">
        <f>('[1]Qc, Summer, S1'!R3*Main!$B$5)</f>
        <v>-0.72208541109791802</v>
      </c>
      <c r="S3" s="2">
        <f>('[1]Qc, Summer, S1'!S3*Main!$B$5)</f>
        <v>-0.72208541109791802</v>
      </c>
      <c r="T3" s="2">
        <f>('[1]Qc, Summer, S1'!T3*Main!$B$5)</f>
        <v>-0.72208541109791802</v>
      </c>
      <c r="U3" s="2">
        <f>('[1]Qc, Summer, S1'!U3*Main!$B$5)</f>
        <v>-0.72208541109791802</v>
      </c>
      <c r="V3" s="2">
        <f>('[1]Qc, Summer, S1'!V3*Main!$B$5)</f>
        <v>-4.6001947132158101</v>
      </c>
      <c r="W3" s="2">
        <f>('[1]Qc, Summer, S1'!W3*Main!$B$5)</f>
        <v>-5.8928978139217723</v>
      </c>
      <c r="X3" s="2">
        <f>('[1]Qc, Summer, S1'!X3*Main!$B$5)</f>
        <v>-16.476843206576142</v>
      </c>
      <c r="Y3" s="2">
        <f>('[1]Qc, Summer, S1'!Y3*Main!$B$5)</f>
        <v>-16.476843206576142</v>
      </c>
    </row>
    <row r="4" spans="1:25" x14ac:dyDescent="0.3">
      <c r="A4">
        <v>3</v>
      </c>
      <c r="B4" s="2">
        <f>('[1]Qc, Summer, S1'!B4*Main!$B$5)</f>
        <v>13.170113053169299</v>
      </c>
      <c r="C4" s="2">
        <f>('[1]Qc, Summer, S1'!C4*Main!$B$5)</f>
        <v>10.090858659940288</v>
      </c>
      <c r="D4" s="2">
        <f>('[1]Qc, Summer, S1'!D4*Main!$B$5)</f>
        <v>9.5626000721305253</v>
      </c>
      <c r="E4" s="2">
        <f>('[1]Qc, Summer, S1'!E4*Main!$B$5)</f>
        <v>8.3517254728754047</v>
      </c>
      <c r="F4" s="2">
        <f>('[1]Qc, Summer, S1'!F4*Main!$B$5)</f>
        <v>9.6144889556637239</v>
      </c>
      <c r="G4" s="2">
        <f>('[1]Qc, Summer, S1'!G4*Main!$B$5)</f>
        <v>4.4622333407693162</v>
      </c>
      <c r="H4" s="2">
        <f>('[1]Qc, Summer, S1'!H4*Main!$B$5)</f>
        <v>7.7855550522803112</v>
      </c>
      <c r="I4" s="2">
        <f>('[1]Qc, Summer, S1'!I4*Main!$B$5)</f>
        <v>14.960863914918351</v>
      </c>
      <c r="J4" s="2">
        <f>('[1]Qc, Summer, S1'!J4*Main!$B$5)</f>
        <v>21.763489941608597</v>
      </c>
      <c r="K4" s="2">
        <f>('[1]Qc, Summer, S1'!K4*Main!$B$5)</f>
        <v>25.861079247184154</v>
      </c>
      <c r="L4" s="2">
        <f>('[1]Qc, Summer, S1'!L4*Main!$B$5)</f>
        <v>28.232338208205526</v>
      </c>
      <c r="M4" s="2">
        <f>('[1]Qc, Summer, S1'!M4*Main!$B$5)</f>
        <v>29.263069781726205</v>
      </c>
      <c r="N4" s="2">
        <f>('[1]Qc, Summer, S1'!N4*Main!$B$5)</f>
        <v>30.578444058963058</v>
      </c>
      <c r="O4" s="2">
        <f>('[1]Qc, Summer, S1'!O4*Main!$B$5)</f>
        <v>30.809798508686164</v>
      </c>
      <c r="P4" s="2">
        <f>('[1]Qc, Summer, S1'!P4*Main!$B$5)</f>
        <v>30.591111181451026</v>
      </c>
      <c r="Q4" s="2">
        <f>('[1]Qc, Summer, S1'!Q4*Main!$B$5)</f>
        <v>29.57277687021525</v>
      </c>
      <c r="R4" s="2">
        <f>('[1]Qc, Summer, S1'!R4*Main!$B$5)</f>
        <v>28.143214928311895</v>
      </c>
      <c r="S4" s="2">
        <f>('[1]Qc, Summer, S1'!S4*Main!$B$5)</f>
        <v>24.973934402225538</v>
      </c>
      <c r="T4" s="2">
        <f>('[1]Qc, Summer, S1'!T4*Main!$B$5)</f>
        <v>24.858391849296151</v>
      </c>
      <c r="U4" s="2">
        <f>('[1]Qc, Summer, S1'!U4*Main!$B$5)</f>
        <v>23.647834428450889</v>
      </c>
      <c r="V4" s="2">
        <f>('[1]Qc, Summer, S1'!V4*Main!$B$5)</f>
        <v>21.31611274227015</v>
      </c>
      <c r="W4" s="2">
        <f>('[1]Qc, Summer, S1'!W4*Main!$B$5)</f>
        <v>25.553856341431459</v>
      </c>
      <c r="X4" s="2">
        <f>('[1]Qc, Summer, S1'!X4*Main!$B$5)</f>
        <v>22.897185416745586</v>
      </c>
      <c r="Y4" s="2">
        <f>('[1]Qc, Summer, S1'!Y4*Main!$B$5)</f>
        <v>18.426732972817376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-12.891504769308554</v>
      </c>
      <c r="C2" s="2">
        <f>('[1]Qc, Summer, S1'!C2*Main!$B$5)</f>
        <v>-16.760539152726484</v>
      </c>
      <c r="D2" s="2">
        <f>('[1]Qc, Summer, S1'!D2*Main!$B$5)</f>
        <v>-18.473348684294965</v>
      </c>
      <c r="E2" s="2">
        <f>('[1]Qc, Summer, S1'!E2*Main!$B$5)</f>
        <v>-16.85789850583161</v>
      </c>
      <c r="F2" s="2">
        <f>('[1]Qc, Summer, S1'!F2*Main!$B$5)</f>
        <v>-18.069399125667111</v>
      </c>
      <c r="G2" s="2">
        <f>('[1]Qc, Summer, S1'!G2*Main!$B$5)</f>
        <v>-18.485879105211698</v>
      </c>
      <c r="H2" s="2">
        <f>('[1]Qc, Summer, S1'!H2*Main!$B$5)</f>
        <v>-16.021531833051672</v>
      </c>
      <c r="I2" s="2">
        <f>('[1]Qc, Summer, S1'!I2*Main!$B$5)</f>
        <v>-2.4925904013481865</v>
      </c>
      <c r="J2" s="2">
        <f>('[1]Qc, Summer, S1'!J2*Main!$B$5)</f>
        <v>8.0010317743342139</v>
      </c>
      <c r="K2" s="2">
        <f>('[1]Qc, Summer, S1'!K2*Main!$B$5)</f>
        <v>11.647947045792131</v>
      </c>
      <c r="L2" s="2">
        <f>('[1]Qc, Summer, S1'!L2*Main!$B$5)</f>
        <v>9.1563277297305827</v>
      </c>
      <c r="M2" s="2">
        <f>('[1]Qc, Summer, S1'!M2*Main!$B$5)</f>
        <v>12.196479939842767</v>
      </c>
      <c r="N2" s="2">
        <f>('[1]Qc, Summer, S1'!N2*Main!$B$5)</f>
        <v>10.823398702915341</v>
      </c>
      <c r="O2" s="2">
        <f>('[1]Qc, Summer, S1'!O2*Main!$B$5)</f>
        <v>11.149278093135559</v>
      </c>
      <c r="P2" s="2">
        <f>('[1]Qc, Summer, S1'!P2*Main!$B$5)</f>
        <v>5.7526183300936511</v>
      </c>
      <c r="Q2" s="2">
        <f>('[1]Qc, Summer, S1'!Q2*Main!$B$5)</f>
        <v>1.454331549435216</v>
      </c>
      <c r="R2" s="2">
        <f>('[1]Qc, Summer, S1'!R2*Main!$B$5)</f>
        <v>3.235308203908251</v>
      </c>
      <c r="S2" s="2">
        <f>('[1]Qc, Summer, S1'!S2*Main!$B$5)</f>
        <v>3.929780858857109</v>
      </c>
      <c r="T2" s="2">
        <f>('[1]Qc, Summer, S1'!T2*Main!$B$5)</f>
        <v>2.367544974250464</v>
      </c>
      <c r="U2" s="2">
        <f>('[1]Qc, Summer, S1'!U2*Main!$B$5)</f>
        <v>-0.44165715129242855</v>
      </c>
      <c r="V2" s="2">
        <f>('[1]Qc, Summer, S1'!V2*Main!$B$5)</f>
        <v>-1.7241585736102172</v>
      </c>
      <c r="W2" s="2">
        <f>('[1]Qc, Summer, S1'!W2*Main!$B$5)</f>
        <v>-1.1995417900485388</v>
      </c>
      <c r="X2" s="2">
        <f>('[1]Qc, Summer, S1'!X2*Main!$B$5)</f>
        <v>-5.7526937047481272</v>
      </c>
      <c r="Y2" s="2">
        <f>('[1]Qc, Summer, S1'!Y2*Main!$B$5)</f>
        <v>-7.7867393186414047</v>
      </c>
    </row>
    <row r="3" spans="1:25" x14ac:dyDescent="0.3">
      <c r="A3">
        <v>2</v>
      </c>
      <c r="B3" s="2">
        <f>('[1]Qc, Summer, S1'!B3*Main!$B$5)</f>
        <v>-16.315267231802263</v>
      </c>
      <c r="C3" s="2">
        <f>('[1]Qc, Summer, S1'!C3*Main!$B$5)</f>
        <v>-16.315267231802263</v>
      </c>
      <c r="D3" s="2">
        <f>('[1]Qc, Summer, S1'!D3*Main!$B$5)</f>
        <v>-18.941063093941285</v>
      </c>
      <c r="E3" s="2">
        <f>('[1]Qc, Summer, S1'!E3*Main!$B$5)</f>
        <v>-21.566858956080317</v>
      </c>
      <c r="F3" s="2">
        <f>('[1]Qc, Summer, S1'!F3*Main!$B$5)</f>
        <v>-21.566858956080317</v>
      </c>
      <c r="G3" s="2">
        <f>('[1]Qc, Summer, S1'!G3*Main!$B$5)</f>
        <v>-21.566858956080317</v>
      </c>
      <c r="H3" s="2">
        <f>('[1]Qc, Summer, S1'!H3*Main!$B$5)</f>
        <v>-8.5994729633971563</v>
      </c>
      <c r="I3" s="2">
        <f>('[1]Qc, Summer, S1'!I3*Main!$B$5)</f>
        <v>1.7825198267731885</v>
      </c>
      <c r="J3" s="2">
        <f>('[1]Qc, Summer, S1'!J3*Main!$B$5)</f>
        <v>5.6606247959247096</v>
      </c>
      <c r="K3" s="2">
        <f>('[1]Qc, Summer, S1'!K3*Main!$B$5)</f>
        <v>5.6606247959247096</v>
      </c>
      <c r="L3" s="2">
        <f>('[1]Qc, Summer, S1'!L3*Main!$B$5)</f>
        <v>5.1758535419393636</v>
      </c>
      <c r="M3" s="2">
        <f>('[1]Qc, Summer, S1'!M3*Main!$B$5)</f>
        <v>7.2764798006879738</v>
      </c>
      <c r="N3" s="2">
        <f>('[1]Qc, Summer, S1'!N3*Main!$B$5)</f>
        <v>9.8618773134219317</v>
      </c>
      <c r="O3" s="2">
        <f>('[1]Qc, Summer, S1'!O3*Main!$B$5)</f>
        <v>10.164864797488582</v>
      </c>
      <c r="P3" s="2">
        <f>('[1]Qc, Summer, S1'!P3*Main!$B$5)</f>
        <v>5.7010187896181792</v>
      </c>
      <c r="Q3" s="2">
        <f>('[1]Qc, Summer, S1'!Q3*Main!$B$5)</f>
        <v>4.4487096598604561</v>
      </c>
      <c r="R3" s="2">
        <f>('[1]Qc, Summer, S1'!R3*Main!$B$5)</f>
        <v>-0.72208541109791802</v>
      </c>
      <c r="S3" s="2">
        <f>('[1]Qc, Summer, S1'!S3*Main!$B$5)</f>
        <v>-0.72208541109791802</v>
      </c>
      <c r="T3" s="2">
        <f>('[1]Qc, Summer, S1'!T3*Main!$B$5)</f>
        <v>-0.72208541109791802</v>
      </c>
      <c r="U3" s="2">
        <f>('[1]Qc, Summer, S1'!U3*Main!$B$5)</f>
        <v>-0.72208541109791802</v>
      </c>
      <c r="V3" s="2">
        <f>('[1]Qc, Summer, S1'!V3*Main!$B$5)</f>
        <v>-4.6001947132158101</v>
      </c>
      <c r="W3" s="2">
        <f>('[1]Qc, Summer, S1'!W3*Main!$B$5)</f>
        <v>-5.8928978139217723</v>
      </c>
      <c r="X3" s="2">
        <f>('[1]Qc, Summer, S1'!X3*Main!$B$5)</f>
        <v>-16.476843206576142</v>
      </c>
      <c r="Y3" s="2">
        <f>('[1]Qc, Summer, S1'!Y3*Main!$B$5)</f>
        <v>-16.476843206576142</v>
      </c>
    </row>
    <row r="4" spans="1:25" x14ac:dyDescent="0.3">
      <c r="A4">
        <v>3</v>
      </c>
      <c r="B4" s="2">
        <f>('[1]Qc, Summer, S1'!B4*Main!$B$5)</f>
        <v>13.170113053169299</v>
      </c>
      <c r="C4" s="2">
        <f>('[1]Qc, Summer, S1'!C4*Main!$B$5)</f>
        <v>10.090858659940288</v>
      </c>
      <c r="D4" s="2">
        <f>('[1]Qc, Summer, S1'!D4*Main!$B$5)</f>
        <v>9.5626000721305253</v>
      </c>
      <c r="E4" s="2">
        <f>('[1]Qc, Summer, S1'!E4*Main!$B$5)</f>
        <v>8.3517254728754047</v>
      </c>
      <c r="F4" s="2">
        <f>('[1]Qc, Summer, S1'!F4*Main!$B$5)</f>
        <v>9.6144889556637239</v>
      </c>
      <c r="G4" s="2">
        <f>('[1]Qc, Summer, S1'!G4*Main!$B$5)</f>
        <v>4.4622333407693162</v>
      </c>
      <c r="H4" s="2">
        <f>('[1]Qc, Summer, S1'!H4*Main!$B$5)</f>
        <v>7.7855550522803112</v>
      </c>
      <c r="I4" s="2">
        <f>('[1]Qc, Summer, S1'!I4*Main!$B$5)</f>
        <v>14.960863914918351</v>
      </c>
      <c r="J4" s="2">
        <f>('[1]Qc, Summer, S1'!J4*Main!$B$5)</f>
        <v>21.763489941608597</v>
      </c>
      <c r="K4" s="2">
        <f>('[1]Qc, Summer, S1'!K4*Main!$B$5)</f>
        <v>25.861079247184154</v>
      </c>
      <c r="L4" s="2">
        <f>('[1]Qc, Summer, S1'!L4*Main!$B$5)</f>
        <v>28.232338208205526</v>
      </c>
      <c r="M4" s="2">
        <f>('[1]Qc, Summer, S1'!M4*Main!$B$5)</f>
        <v>29.263069781726205</v>
      </c>
      <c r="N4" s="2">
        <f>('[1]Qc, Summer, S1'!N4*Main!$B$5)</f>
        <v>30.578444058963058</v>
      </c>
      <c r="O4" s="2">
        <f>('[1]Qc, Summer, S1'!O4*Main!$B$5)</f>
        <v>30.809798508686164</v>
      </c>
      <c r="P4" s="2">
        <f>('[1]Qc, Summer, S1'!P4*Main!$B$5)</f>
        <v>30.591111181451026</v>
      </c>
      <c r="Q4" s="2">
        <f>('[1]Qc, Summer, S1'!Q4*Main!$B$5)</f>
        <v>29.57277687021525</v>
      </c>
      <c r="R4" s="2">
        <f>('[1]Qc, Summer, S1'!R4*Main!$B$5)</f>
        <v>28.143214928311895</v>
      </c>
      <c r="S4" s="2">
        <f>('[1]Qc, Summer, S1'!S4*Main!$B$5)</f>
        <v>24.973934402225538</v>
      </c>
      <c r="T4" s="2">
        <f>('[1]Qc, Summer, S1'!T4*Main!$B$5)</f>
        <v>24.858391849296151</v>
      </c>
      <c r="U4" s="2">
        <f>('[1]Qc, Summer, S1'!U4*Main!$B$5)</f>
        <v>23.647834428450889</v>
      </c>
      <c r="V4" s="2">
        <f>('[1]Qc, Summer, S1'!V4*Main!$B$5)</f>
        <v>21.31611274227015</v>
      </c>
      <c r="W4" s="2">
        <f>('[1]Qc, Summer, S1'!W4*Main!$B$5)</f>
        <v>25.553856341431459</v>
      </c>
      <c r="X4" s="2">
        <f>('[1]Qc, Summer, S1'!X4*Main!$B$5)</f>
        <v>22.897185416745586</v>
      </c>
      <c r="Y4" s="2">
        <f>('[1]Qc, Summer, S1'!Y4*Main!$B$5)</f>
        <v>18.426732972817376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-12.891504769308554</v>
      </c>
      <c r="C2" s="2">
        <f>('[1]Qc, Summer, S1'!C2*Main!$B$5)</f>
        <v>-16.760539152726484</v>
      </c>
      <c r="D2" s="2">
        <f>('[1]Qc, Summer, S1'!D2*Main!$B$5)</f>
        <v>-18.473348684294965</v>
      </c>
      <c r="E2" s="2">
        <f>('[1]Qc, Summer, S1'!E2*Main!$B$5)</f>
        <v>-16.85789850583161</v>
      </c>
      <c r="F2" s="2">
        <f>('[1]Qc, Summer, S1'!F2*Main!$B$5)</f>
        <v>-18.069399125667111</v>
      </c>
      <c r="G2" s="2">
        <f>('[1]Qc, Summer, S1'!G2*Main!$B$5)</f>
        <v>-18.485879105211698</v>
      </c>
      <c r="H2" s="2">
        <f>('[1]Qc, Summer, S1'!H2*Main!$B$5)</f>
        <v>-16.021531833051672</v>
      </c>
      <c r="I2" s="2">
        <f>('[1]Qc, Summer, S1'!I2*Main!$B$5)</f>
        <v>-2.4925904013481865</v>
      </c>
      <c r="J2" s="2">
        <f>('[1]Qc, Summer, S1'!J2*Main!$B$5)</f>
        <v>8.0010317743342139</v>
      </c>
      <c r="K2" s="2">
        <f>('[1]Qc, Summer, S1'!K2*Main!$B$5)</f>
        <v>11.647947045792131</v>
      </c>
      <c r="L2" s="2">
        <f>('[1]Qc, Summer, S1'!L2*Main!$B$5)</f>
        <v>9.1563277297305827</v>
      </c>
      <c r="M2" s="2">
        <f>('[1]Qc, Summer, S1'!M2*Main!$B$5)</f>
        <v>12.196479939842767</v>
      </c>
      <c r="N2" s="2">
        <f>('[1]Qc, Summer, S1'!N2*Main!$B$5)</f>
        <v>10.823398702915341</v>
      </c>
      <c r="O2" s="2">
        <f>('[1]Qc, Summer, S1'!O2*Main!$B$5)</f>
        <v>11.149278093135559</v>
      </c>
      <c r="P2" s="2">
        <f>('[1]Qc, Summer, S1'!P2*Main!$B$5)</f>
        <v>5.7526183300936511</v>
      </c>
      <c r="Q2" s="2">
        <f>('[1]Qc, Summer, S1'!Q2*Main!$B$5)</f>
        <v>1.454331549435216</v>
      </c>
      <c r="R2" s="2">
        <f>('[1]Qc, Summer, S1'!R2*Main!$B$5)</f>
        <v>3.235308203908251</v>
      </c>
      <c r="S2" s="2">
        <f>('[1]Qc, Summer, S1'!S2*Main!$B$5)</f>
        <v>3.929780858857109</v>
      </c>
      <c r="T2" s="2">
        <f>('[1]Qc, Summer, S1'!T2*Main!$B$5)</f>
        <v>2.367544974250464</v>
      </c>
      <c r="U2" s="2">
        <f>('[1]Qc, Summer, S1'!U2*Main!$B$5)</f>
        <v>-0.44165715129242855</v>
      </c>
      <c r="V2" s="2">
        <f>('[1]Qc, Summer, S1'!V2*Main!$B$5)</f>
        <v>-1.7241585736102172</v>
      </c>
      <c r="W2" s="2">
        <f>('[1]Qc, Summer, S1'!W2*Main!$B$5)</f>
        <v>-1.1995417900485388</v>
      </c>
      <c r="X2" s="2">
        <f>('[1]Qc, Summer, S1'!X2*Main!$B$5)</f>
        <v>-5.7526937047481272</v>
      </c>
      <c r="Y2" s="2">
        <f>('[1]Qc, Summer, S1'!Y2*Main!$B$5)</f>
        <v>-7.7867393186414047</v>
      </c>
    </row>
    <row r="3" spans="1:25" x14ac:dyDescent="0.3">
      <c r="A3">
        <v>2</v>
      </c>
      <c r="B3" s="2">
        <f>('[1]Qc, Summer, S1'!B3*Main!$B$5)</f>
        <v>-16.315267231802263</v>
      </c>
      <c r="C3" s="2">
        <f>('[1]Qc, Summer, S1'!C3*Main!$B$5)</f>
        <v>-16.315267231802263</v>
      </c>
      <c r="D3" s="2">
        <f>('[1]Qc, Summer, S1'!D3*Main!$B$5)</f>
        <v>-18.941063093941285</v>
      </c>
      <c r="E3" s="2">
        <f>('[1]Qc, Summer, S1'!E3*Main!$B$5)</f>
        <v>-21.566858956080317</v>
      </c>
      <c r="F3" s="2">
        <f>('[1]Qc, Summer, S1'!F3*Main!$B$5)</f>
        <v>-21.566858956080317</v>
      </c>
      <c r="G3" s="2">
        <f>('[1]Qc, Summer, S1'!G3*Main!$B$5)</f>
        <v>-21.566858956080317</v>
      </c>
      <c r="H3" s="2">
        <f>('[1]Qc, Summer, S1'!H3*Main!$B$5)</f>
        <v>-8.5994729633971563</v>
      </c>
      <c r="I3" s="2">
        <f>('[1]Qc, Summer, S1'!I3*Main!$B$5)</f>
        <v>1.7825198267731885</v>
      </c>
      <c r="J3" s="2">
        <f>('[1]Qc, Summer, S1'!J3*Main!$B$5)</f>
        <v>5.6606247959247096</v>
      </c>
      <c r="K3" s="2">
        <f>('[1]Qc, Summer, S1'!K3*Main!$B$5)</f>
        <v>5.6606247959247096</v>
      </c>
      <c r="L3" s="2">
        <f>('[1]Qc, Summer, S1'!L3*Main!$B$5)</f>
        <v>5.1758535419393636</v>
      </c>
      <c r="M3" s="2">
        <f>('[1]Qc, Summer, S1'!M3*Main!$B$5)</f>
        <v>7.2764798006879738</v>
      </c>
      <c r="N3" s="2">
        <f>('[1]Qc, Summer, S1'!N3*Main!$B$5)</f>
        <v>9.8618773134219317</v>
      </c>
      <c r="O3" s="2">
        <f>('[1]Qc, Summer, S1'!O3*Main!$B$5)</f>
        <v>10.164864797488582</v>
      </c>
      <c r="P3" s="2">
        <f>('[1]Qc, Summer, S1'!P3*Main!$B$5)</f>
        <v>5.7010187896181792</v>
      </c>
      <c r="Q3" s="2">
        <f>('[1]Qc, Summer, S1'!Q3*Main!$B$5)</f>
        <v>4.4487096598604561</v>
      </c>
      <c r="R3" s="2">
        <f>('[1]Qc, Summer, S1'!R3*Main!$B$5)</f>
        <v>-0.72208541109791802</v>
      </c>
      <c r="S3" s="2">
        <f>('[1]Qc, Summer, S1'!S3*Main!$B$5)</f>
        <v>-0.72208541109791802</v>
      </c>
      <c r="T3" s="2">
        <f>('[1]Qc, Summer, S1'!T3*Main!$B$5)</f>
        <v>-0.72208541109791802</v>
      </c>
      <c r="U3" s="2">
        <f>('[1]Qc, Summer, S1'!U3*Main!$B$5)</f>
        <v>-0.72208541109791802</v>
      </c>
      <c r="V3" s="2">
        <f>('[1]Qc, Summer, S1'!V3*Main!$B$5)</f>
        <v>-4.6001947132158101</v>
      </c>
      <c r="W3" s="2">
        <f>('[1]Qc, Summer, S1'!W3*Main!$B$5)</f>
        <v>-5.8928978139217723</v>
      </c>
      <c r="X3" s="2">
        <f>('[1]Qc, Summer, S1'!X3*Main!$B$5)</f>
        <v>-16.476843206576142</v>
      </c>
      <c r="Y3" s="2">
        <f>('[1]Qc, Summer, S1'!Y3*Main!$B$5)</f>
        <v>-16.476843206576142</v>
      </c>
    </row>
    <row r="4" spans="1:25" x14ac:dyDescent="0.3">
      <c r="A4">
        <v>3</v>
      </c>
      <c r="B4" s="2">
        <f>('[1]Qc, Summer, S1'!B4*Main!$B$5)</f>
        <v>13.170113053169299</v>
      </c>
      <c r="C4" s="2">
        <f>('[1]Qc, Summer, S1'!C4*Main!$B$5)</f>
        <v>10.090858659940288</v>
      </c>
      <c r="D4" s="2">
        <f>('[1]Qc, Summer, S1'!D4*Main!$B$5)</f>
        <v>9.5626000721305253</v>
      </c>
      <c r="E4" s="2">
        <f>('[1]Qc, Summer, S1'!E4*Main!$B$5)</f>
        <v>8.3517254728754047</v>
      </c>
      <c r="F4" s="2">
        <f>('[1]Qc, Summer, S1'!F4*Main!$B$5)</f>
        <v>9.6144889556637239</v>
      </c>
      <c r="G4" s="2">
        <f>('[1]Qc, Summer, S1'!G4*Main!$B$5)</f>
        <v>4.4622333407693162</v>
      </c>
      <c r="H4" s="2">
        <f>('[1]Qc, Summer, S1'!H4*Main!$B$5)</f>
        <v>7.7855550522803112</v>
      </c>
      <c r="I4" s="2">
        <f>('[1]Qc, Summer, S1'!I4*Main!$B$5)</f>
        <v>14.960863914918351</v>
      </c>
      <c r="J4" s="2">
        <f>('[1]Qc, Summer, S1'!J4*Main!$B$5)</f>
        <v>21.763489941608597</v>
      </c>
      <c r="K4" s="2">
        <f>('[1]Qc, Summer, S1'!K4*Main!$B$5)</f>
        <v>25.861079247184154</v>
      </c>
      <c r="L4" s="2">
        <f>('[1]Qc, Summer, S1'!L4*Main!$B$5)</f>
        <v>28.232338208205526</v>
      </c>
      <c r="M4" s="2">
        <f>('[1]Qc, Summer, S1'!M4*Main!$B$5)</f>
        <v>29.263069781726205</v>
      </c>
      <c r="N4" s="2">
        <f>('[1]Qc, Summer, S1'!N4*Main!$B$5)</f>
        <v>30.578444058963058</v>
      </c>
      <c r="O4" s="2">
        <f>('[1]Qc, Summer, S1'!O4*Main!$B$5)</f>
        <v>30.809798508686164</v>
      </c>
      <c r="P4" s="2">
        <f>('[1]Qc, Summer, S1'!P4*Main!$B$5)</f>
        <v>30.591111181451026</v>
      </c>
      <c r="Q4" s="2">
        <f>('[1]Qc, Summer, S1'!Q4*Main!$B$5)</f>
        <v>29.57277687021525</v>
      </c>
      <c r="R4" s="2">
        <f>('[1]Qc, Summer, S1'!R4*Main!$B$5)</f>
        <v>28.143214928311895</v>
      </c>
      <c r="S4" s="2">
        <f>('[1]Qc, Summer, S1'!S4*Main!$B$5)</f>
        <v>24.973934402225538</v>
      </c>
      <c r="T4" s="2">
        <f>('[1]Qc, Summer, S1'!T4*Main!$B$5)</f>
        <v>24.858391849296151</v>
      </c>
      <c r="U4" s="2">
        <f>('[1]Qc, Summer, S1'!U4*Main!$B$5)</f>
        <v>23.647834428450889</v>
      </c>
      <c r="V4" s="2">
        <f>('[1]Qc, Summer, S1'!V4*Main!$B$5)</f>
        <v>21.31611274227015</v>
      </c>
      <c r="W4" s="2">
        <f>('[1]Qc, Summer, S1'!W4*Main!$B$5)</f>
        <v>25.553856341431459</v>
      </c>
      <c r="X4" s="2">
        <f>('[1]Qc, Summer, S1'!X4*Main!$B$5)</f>
        <v>22.897185416745586</v>
      </c>
      <c r="Y4" s="2">
        <f>('[1]Qc, Summer, S1'!Y4*Main!$B$5)</f>
        <v>18.426732972817376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-13.278249912387809</v>
      </c>
      <c r="C2" s="2">
        <f>('[1]Qc, Summer, S2'!C2*Main!$B$5)</f>
        <v>-17.263355327308279</v>
      </c>
      <c r="D2" s="2">
        <f>('[1]Qc, Summer, S2'!D2*Main!$B$5)</f>
        <v>-19.027549144823816</v>
      </c>
      <c r="E2" s="2">
        <f>('[1]Qc, Summer, S2'!E2*Main!$B$5)</f>
        <v>-17.363635461006563</v>
      </c>
      <c r="F2" s="2">
        <f>('[1]Qc, Summer, S2'!F2*Main!$B$5)</f>
        <v>-18.611481099437121</v>
      </c>
      <c r="G2" s="2">
        <f>('[1]Qc, Summer, S2'!G2*Main!$B$5)</f>
        <v>-19.040455478368052</v>
      </c>
      <c r="H2" s="2">
        <f>('[1]Qc, Summer, S2'!H2*Main!$B$5)</f>
        <v>-16.502177788043223</v>
      </c>
      <c r="I2" s="2">
        <f>('[1]Qc, Summer, S2'!I2*Main!$B$5)</f>
        <v>-2.5673681133886324</v>
      </c>
      <c r="J2" s="2">
        <f>('[1]Qc, Summer, S2'!J2*Main!$B$5)</f>
        <v>8.2410627275642412</v>
      </c>
      <c r="K2" s="2">
        <f>('[1]Qc, Summer, S2'!K2*Main!$B$5)</f>
        <v>11.997385457165896</v>
      </c>
      <c r="L2" s="2">
        <f>('[1]Qc, Summer, S2'!L2*Main!$B$5)</f>
        <v>9.431017561622502</v>
      </c>
      <c r="M2" s="2">
        <f>('[1]Qc, Summer, S2'!M2*Main!$B$5)</f>
        <v>12.562374338038049</v>
      </c>
      <c r="N2" s="2">
        <f>('[1]Qc, Summer, S2'!N2*Main!$B$5)</f>
        <v>11.148100664002801</v>
      </c>
      <c r="O2" s="2">
        <f>('[1]Qc, Summer, S2'!O2*Main!$B$5)</f>
        <v>11.483756435929624</v>
      </c>
      <c r="P2" s="2">
        <f>('[1]Qc, Summer, S2'!P2*Main!$B$5)</f>
        <v>5.9251968799964612</v>
      </c>
      <c r="Q2" s="2">
        <f>('[1]Qc, Summer, S2'!Q2*Main!$B$5)</f>
        <v>1.4979614959182725</v>
      </c>
      <c r="R2" s="2">
        <f>('[1]Qc, Summer, S2'!R2*Main!$B$5)</f>
        <v>3.3323674500254983</v>
      </c>
      <c r="S2" s="2">
        <f>('[1]Qc, Summer, S2'!S2*Main!$B$5)</f>
        <v>4.0476742846228229</v>
      </c>
      <c r="T2" s="2">
        <f>('[1]Qc, Summer, S2'!T2*Main!$B$5)</f>
        <v>2.4385713234779778</v>
      </c>
      <c r="U2" s="2">
        <f>('[1]Qc, Summer, S2'!U2*Main!$B$5)</f>
        <v>-0.45490686583120143</v>
      </c>
      <c r="V2" s="2">
        <f>('[1]Qc, Summer, S2'!V2*Main!$B$5)</f>
        <v>-1.7758833308185238</v>
      </c>
      <c r="W2" s="2">
        <f>('[1]Qc, Summer, S2'!W2*Main!$B$5)</f>
        <v>-1.2355280437499947</v>
      </c>
      <c r="X2" s="2">
        <f>('[1]Qc, Summer, S2'!X2*Main!$B$5)</f>
        <v>-5.925274515890572</v>
      </c>
      <c r="Y2" s="2">
        <f>('[1]Qc, Summer, S2'!Y2*Main!$B$5)</f>
        <v>-8.0203414982006471</v>
      </c>
    </row>
    <row r="3" spans="1:25" x14ac:dyDescent="0.3">
      <c r="A3">
        <v>2</v>
      </c>
      <c r="B3" s="2">
        <f>('[1]Qc, Summer, S2'!B3*Main!$B$5)</f>
        <v>-16.804725248756327</v>
      </c>
      <c r="C3" s="2">
        <f>('[1]Qc, Summer, S2'!C3*Main!$B$5)</f>
        <v>-16.804725248756327</v>
      </c>
      <c r="D3" s="2">
        <f>('[1]Qc, Summer, S2'!D3*Main!$B$5)</f>
        <v>-19.509294986759524</v>
      </c>
      <c r="E3" s="2">
        <f>('[1]Qc, Summer, S2'!E3*Main!$B$5)</f>
        <v>-22.213864724762729</v>
      </c>
      <c r="F3" s="2">
        <f>('[1]Qc, Summer, S2'!F3*Main!$B$5)</f>
        <v>-22.213864724762729</v>
      </c>
      <c r="G3" s="2">
        <f>('[1]Qc, Summer, S2'!G3*Main!$B$5)</f>
        <v>-22.213864724762729</v>
      </c>
      <c r="H3" s="2">
        <f>('[1]Qc, Summer, S2'!H3*Main!$B$5)</f>
        <v>-8.8574571522990713</v>
      </c>
      <c r="I3" s="2">
        <f>('[1]Qc, Summer, S2'!I3*Main!$B$5)</f>
        <v>1.8359954215763845</v>
      </c>
      <c r="J3" s="2">
        <f>('[1]Qc, Summer, S2'!J3*Main!$B$5)</f>
        <v>5.8304435398024506</v>
      </c>
      <c r="K3" s="2">
        <f>('[1]Qc, Summer, S2'!K3*Main!$B$5)</f>
        <v>5.8304435398024506</v>
      </c>
      <c r="L3" s="2">
        <f>('[1]Qc, Summer, S2'!L3*Main!$B$5)</f>
        <v>5.3311291481975447</v>
      </c>
      <c r="M3" s="2">
        <f>('[1]Qc, Summer, S2'!M3*Main!$B$5)</f>
        <v>7.4947741947086124</v>
      </c>
      <c r="N3" s="2">
        <f>('[1]Qc, Summer, S2'!N3*Main!$B$5)</f>
        <v>10.157733632824588</v>
      </c>
      <c r="O3" s="2">
        <f>('[1]Qc, Summer, S2'!O3*Main!$B$5)</f>
        <v>10.469810741413239</v>
      </c>
      <c r="P3" s="2">
        <f>('[1]Qc, Summer, S2'!P3*Main!$B$5)</f>
        <v>5.8720493533067257</v>
      </c>
      <c r="Q3" s="2">
        <f>('[1]Qc, Summer, S2'!Q3*Main!$B$5)</f>
        <v>4.5821709496562697</v>
      </c>
      <c r="R3" s="2">
        <f>('[1]Qc, Summer, S2'!R3*Main!$B$5)</f>
        <v>-0.74374797343085552</v>
      </c>
      <c r="S3" s="2">
        <f>('[1]Qc, Summer, S2'!S3*Main!$B$5)</f>
        <v>-0.74374797343085552</v>
      </c>
      <c r="T3" s="2">
        <f>('[1]Qc, Summer, S2'!T3*Main!$B$5)</f>
        <v>-0.74374797343085552</v>
      </c>
      <c r="U3" s="2">
        <f>('[1]Qc, Summer, S2'!U3*Main!$B$5)</f>
        <v>-0.74374797343085552</v>
      </c>
      <c r="V3" s="2">
        <f>('[1]Qc, Summer, S2'!V3*Main!$B$5)</f>
        <v>-4.7382005546122841</v>
      </c>
      <c r="W3" s="2">
        <f>('[1]Qc, Summer, S2'!W3*Main!$B$5)</f>
        <v>-6.0696847483394265</v>
      </c>
      <c r="X3" s="2">
        <f>('[1]Qc, Summer, S2'!X3*Main!$B$5)</f>
        <v>-16.971148502773428</v>
      </c>
      <c r="Y3" s="2">
        <f>('[1]Qc, Summer, S2'!Y3*Main!$B$5)</f>
        <v>-16.971148502773428</v>
      </c>
    </row>
    <row r="4" spans="1:25" x14ac:dyDescent="0.3">
      <c r="A4">
        <v>3</v>
      </c>
      <c r="B4" s="2">
        <f>('[1]Qc, Summer, S2'!B4*Main!$B$5)</f>
        <v>13.565216444764378</v>
      </c>
      <c r="C4" s="2">
        <f>('[1]Qc, Summer, S2'!C4*Main!$B$5)</f>
        <v>10.393584419738495</v>
      </c>
      <c r="D4" s="2">
        <f>('[1]Qc, Summer, S2'!D4*Main!$B$5)</f>
        <v>9.8494780742944403</v>
      </c>
      <c r="E4" s="2">
        <f>('[1]Qc, Summer, S2'!E4*Main!$B$5)</f>
        <v>8.6022772370616671</v>
      </c>
      <c r="F4" s="2">
        <f>('[1]Qc, Summer, S2'!F4*Main!$B$5)</f>
        <v>9.9029236243336367</v>
      </c>
      <c r="G4" s="2">
        <f>('[1]Qc, Summer, S2'!G4*Main!$B$5)</f>
        <v>4.5961003409923959</v>
      </c>
      <c r="H4" s="2">
        <f>('[1]Qc, Summer, S2'!H4*Main!$B$5)</f>
        <v>8.0191217038487199</v>
      </c>
      <c r="I4" s="2">
        <f>('[1]Qc, Summer, S2'!I4*Main!$B$5)</f>
        <v>15.409689832365903</v>
      </c>
      <c r="J4" s="2">
        <f>('[1]Qc, Summer, S2'!J4*Main!$B$5)</f>
        <v>22.416394639856861</v>
      </c>
      <c r="K4" s="2">
        <f>('[1]Qc, Summer, S2'!K4*Main!$B$5)</f>
        <v>26.636911624599676</v>
      </c>
      <c r="L4" s="2">
        <f>('[1]Qc, Summer, S2'!L4*Main!$B$5)</f>
        <v>29.079308354451694</v>
      </c>
      <c r="M4" s="2">
        <f>('[1]Qc, Summer, S2'!M4*Main!$B$5)</f>
        <v>30.140961875177993</v>
      </c>
      <c r="N4" s="2">
        <f>('[1]Qc, Summer, S2'!N4*Main!$B$5)</f>
        <v>31.49579738073195</v>
      </c>
      <c r="O4" s="2">
        <f>('[1]Qc, Summer, S2'!O4*Main!$B$5)</f>
        <v>31.734092463946748</v>
      </c>
      <c r="P4" s="2">
        <f>('[1]Qc, Summer, S2'!P4*Main!$B$5)</f>
        <v>31.508844516894563</v>
      </c>
      <c r="Q4" s="2">
        <f>('[1]Qc, Summer, S2'!Q4*Main!$B$5)</f>
        <v>30.459960176321704</v>
      </c>
      <c r="R4" s="2">
        <f>('[1]Qc, Summer, S2'!R4*Main!$B$5)</f>
        <v>28.987511376161251</v>
      </c>
      <c r="S4" s="2">
        <f>('[1]Qc, Summer, S2'!S4*Main!$B$5)</f>
        <v>25.723152434292306</v>
      </c>
      <c r="T4" s="2">
        <f>('[1]Qc, Summer, S2'!T4*Main!$B$5)</f>
        <v>25.604143604775039</v>
      </c>
      <c r="U4" s="2">
        <f>('[1]Qc, Summer, S2'!U4*Main!$B$5)</f>
        <v>24.357269461304416</v>
      </c>
      <c r="V4" s="2">
        <f>('[1]Qc, Summer, S2'!V4*Main!$B$5)</f>
        <v>21.955596124538253</v>
      </c>
      <c r="W4" s="2">
        <f>('[1]Qc, Summer, S2'!W4*Main!$B$5)</f>
        <v>26.320472031674402</v>
      </c>
      <c r="X4" s="2">
        <f>('[1]Qc, Summer, S2'!X4*Main!$B$5)</f>
        <v>23.584100979247953</v>
      </c>
      <c r="Y4" s="2">
        <f>('[1]Qc, Summer, S2'!Y4*Main!$B$5)</f>
        <v>18.9795349620019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-13.278249912387809</v>
      </c>
      <c r="C2" s="2">
        <f>('[1]Qc, Summer, S2'!C2*Main!$B$5)</f>
        <v>-17.263355327308279</v>
      </c>
      <c r="D2" s="2">
        <f>('[1]Qc, Summer, S2'!D2*Main!$B$5)</f>
        <v>-19.027549144823816</v>
      </c>
      <c r="E2" s="2">
        <f>('[1]Qc, Summer, S2'!E2*Main!$B$5)</f>
        <v>-17.363635461006563</v>
      </c>
      <c r="F2" s="2">
        <f>('[1]Qc, Summer, S2'!F2*Main!$B$5)</f>
        <v>-18.611481099437121</v>
      </c>
      <c r="G2" s="2">
        <f>('[1]Qc, Summer, S2'!G2*Main!$B$5)</f>
        <v>-19.040455478368052</v>
      </c>
      <c r="H2" s="2">
        <f>('[1]Qc, Summer, S2'!H2*Main!$B$5)</f>
        <v>-16.502177788043223</v>
      </c>
      <c r="I2" s="2">
        <f>('[1]Qc, Summer, S2'!I2*Main!$B$5)</f>
        <v>-2.5673681133886324</v>
      </c>
      <c r="J2" s="2">
        <f>('[1]Qc, Summer, S2'!J2*Main!$B$5)</f>
        <v>8.2410627275642412</v>
      </c>
      <c r="K2" s="2">
        <f>('[1]Qc, Summer, S2'!K2*Main!$B$5)</f>
        <v>11.997385457165896</v>
      </c>
      <c r="L2" s="2">
        <f>('[1]Qc, Summer, S2'!L2*Main!$B$5)</f>
        <v>9.431017561622502</v>
      </c>
      <c r="M2" s="2">
        <f>('[1]Qc, Summer, S2'!M2*Main!$B$5)</f>
        <v>12.562374338038049</v>
      </c>
      <c r="N2" s="2">
        <f>('[1]Qc, Summer, S2'!N2*Main!$B$5)</f>
        <v>11.148100664002801</v>
      </c>
      <c r="O2" s="2">
        <f>('[1]Qc, Summer, S2'!O2*Main!$B$5)</f>
        <v>11.483756435929624</v>
      </c>
      <c r="P2" s="2">
        <f>('[1]Qc, Summer, S2'!P2*Main!$B$5)</f>
        <v>5.9251968799964612</v>
      </c>
      <c r="Q2" s="2">
        <f>('[1]Qc, Summer, S2'!Q2*Main!$B$5)</f>
        <v>1.4979614959182725</v>
      </c>
      <c r="R2" s="2">
        <f>('[1]Qc, Summer, S2'!R2*Main!$B$5)</f>
        <v>3.3323674500254983</v>
      </c>
      <c r="S2" s="2">
        <f>('[1]Qc, Summer, S2'!S2*Main!$B$5)</f>
        <v>4.0476742846228229</v>
      </c>
      <c r="T2" s="2">
        <f>('[1]Qc, Summer, S2'!T2*Main!$B$5)</f>
        <v>2.4385713234779778</v>
      </c>
      <c r="U2" s="2">
        <f>('[1]Qc, Summer, S2'!U2*Main!$B$5)</f>
        <v>-0.45490686583120143</v>
      </c>
      <c r="V2" s="2">
        <f>('[1]Qc, Summer, S2'!V2*Main!$B$5)</f>
        <v>-1.7758833308185238</v>
      </c>
      <c r="W2" s="2">
        <f>('[1]Qc, Summer, S2'!W2*Main!$B$5)</f>
        <v>-1.2355280437499947</v>
      </c>
      <c r="X2" s="2">
        <f>('[1]Qc, Summer, S2'!X2*Main!$B$5)</f>
        <v>-5.925274515890572</v>
      </c>
      <c r="Y2" s="2">
        <f>('[1]Qc, Summer, S2'!Y2*Main!$B$5)</f>
        <v>-8.0203414982006471</v>
      </c>
    </row>
    <row r="3" spans="1:25" x14ac:dyDescent="0.3">
      <c r="A3">
        <v>2</v>
      </c>
      <c r="B3" s="2">
        <f>('[1]Qc, Summer, S2'!B3*Main!$B$5)</f>
        <v>-16.804725248756327</v>
      </c>
      <c r="C3" s="2">
        <f>('[1]Qc, Summer, S2'!C3*Main!$B$5)</f>
        <v>-16.804725248756327</v>
      </c>
      <c r="D3" s="2">
        <f>('[1]Qc, Summer, S2'!D3*Main!$B$5)</f>
        <v>-19.509294986759524</v>
      </c>
      <c r="E3" s="2">
        <f>('[1]Qc, Summer, S2'!E3*Main!$B$5)</f>
        <v>-22.213864724762729</v>
      </c>
      <c r="F3" s="2">
        <f>('[1]Qc, Summer, S2'!F3*Main!$B$5)</f>
        <v>-22.213864724762729</v>
      </c>
      <c r="G3" s="2">
        <f>('[1]Qc, Summer, S2'!G3*Main!$B$5)</f>
        <v>-22.213864724762729</v>
      </c>
      <c r="H3" s="2">
        <f>('[1]Qc, Summer, S2'!H3*Main!$B$5)</f>
        <v>-8.8574571522990713</v>
      </c>
      <c r="I3" s="2">
        <f>('[1]Qc, Summer, S2'!I3*Main!$B$5)</f>
        <v>1.8359954215763845</v>
      </c>
      <c r="J3" s="2">
        <f>('[1]Qc, Summer, S2'!J3*Main!$B$5)</f>
        <v>5.8304435398024506</v>
      </c>
      <c r="K3" s="2">
        <f>('[1]Qc, Summer, S2'!K3*Main!$B$5)</f>
        <v>5.8304435398024506</v>
      </c>
      <c r="L3" s="2">
        <f>('[1]Qc, Summer, S2'!L3*Main!$B$5)</f>
        <v>5.3311291481975447</v>
      </c>
      <c r="M3" s="2">
        <f>('[1]Qc, Summer, S2'!M3*Main!$B$5)</f>
        <v>7.4947741947086124</v>
      </c>
      <c r="N3" s="2">
        <f>('[1]Qc, Summer, S2'!N3*Main!$B$5)</f>
        <v>10.157733632824588</v>
      </c>
      <c r="O3" s="2">
        <f>('[1]Qc, Summer, S2'!O3*Main!$B$5)</f>
        <v>10.469810741413239</v>
      </c>
      <c r="P3" s="2">
        <f>('[1]Qc, Summer, S2'!P3*Main!$B$5)</f>
        <v>5.8720493533067257</v>
      </c>
      <c r="Q3" s="2">
        <f>('[1]Qc, Summer, S2'!Q3*Main!$B$5)</f>
        <v>4.5821709496562697</v>
      </c>
      <c r="R3" s="2">
        <f>('[1]Qc, Summer, S2'!R3*Main!$B$5)</f>
        <v>-0.74374797343085552</v>
      </c>
      <c r="S3" s="2">
        <f>('[1]Qc, Summer, S2'!S3*Main!$B$5)</f>
        <v>-0.74374797343085552</v>
      </c>
      <c r="T3" s="2">
        <f>('[1]Qc, Summer, S2'!T3*Main!$B$5)</f>
        <v>-0.74374797343085552</v>
      </c>
      <c r="U3" s="2">
        <f>('[1]Qc, Summer, S2'!U3*Main!$B$5)</f>
        <v>-0.74374797343085552</v>
      </c>
      <c r="V3" s="2">
        <f>('[1]Qc, Summer, S2'!V3*Main!$B$5)</f>
        <v>-4.7382005546122841</v>
      </c>
      <c r="W3" s="2">
        <f>('[1]Qc, Summer, S2'!W3*Main!$B$5)</f>
        <v>-6.0696847483394265</v>
      </c>
      <c r="X3" s="2">
        <f>('[1]Qc, Summer, S2'!X3*Main!$B$5)</f>
        <v>-16.971148502773428</v>
      </c>
      <c r="Y3" s="2">
        <f>('[1]Qc, Summer, S2'!Y3*Main!$B$5)</f>
        <v>-16.971148502773428</v>
      </c>
    </row>
    <row r="4" spans="1:25" x14ac:dyDescent="0.3">
      <c r="A4">
        <v>3</v>
      </c>
      <c r="B4" s="2">
        <f>('[1]Qc, Summer, S2'!B4*Main!$B$5)</f>
        <v>13.565216444764378</v>
      </c>
      <c r="C4" s="2">
        <f>('[1]Qc, Summer, S2'!C4*Main!$B$5)</f>
        <v>10.393584419738495</v>
      </c>
      <c r="D4" s="2">
        <f>('[1]Qc, Summer, S2'!D4*Main!$B$5)</f>
        <v>9.8494780742944403</v>
      </c>
      <c r="E4" s="2">
        <f>('[1]Qc, Summer, S2'!E4*Main!$B$5)</f>
        <v>8.6022772370616671</v>
      </c>
      <c r="F4" s="2">
        <f>('[1]Qc, Summer, S2'!F4*Main!$B$5)</f>
        <v>9.9029236243336367</v>
      </c>
      <c r="G4" s="2">
        <f>('[1]Qc, Summer, S2'!G4*Main!$B$5)</f>
        <v>4.5961003409923959</v>
      </c>
      <c r="H4" s="2">
        <f>('[1]Qc, Summer, S2'!H4*Main!$B$5)</f>
        <v>8.0191217038487199</v>
      </c>
      <c r="I4" s="2">
        <f>('[1]Qc, Summer, S2'!I4*Main!$B$5)</f>
        <v>15.409689832365903</v>
      </c>
      <c r="J4" s="2">
        <f>('[1]Qc, Summer, S2'!J4*Main!$B$5)</f>
        <v>22.416394639856861</v>
      </c>
      <c r="K4" s="2">
        <f>('[1]Qc, Summer, S2'!K4*Main!$B$5)</f>
        <v>26.636911624599676</v>
      </c>
      <c r="L4" s="2">
        <f>('[1]Qc, Summer, S2'!L4*Main!$B$5)</f>
        <v>29.079308354451694</v>
      </c>
      <c r="M4" s="2">
        <f>('[1]Qc, Summer, S2'!M4*Main!$B$5)</f>
        <v>30.140961875177993</v>
      </c>
      <c r="N4" s="2">
        <f>('[1]Qc, Summer, S2'!N4*Main!$B$5)</f>
        <v>31.49579738073195</v>
      </c>
      <c r="O4" s="2">
        <f>('[1]Qc, Summer, S2'!O4*Main!$B$5)</f>
        <v>31.734092463946748</v>
      </c>
      <c r="P4" s="2">
        <f>('[1]Qc, Summer, S2'!P4*Main!$B$5)</f>
        <v>31.508844516894563</v>
      </c>
      <c r="Q4" s="2">
        <f>('[1]Qc, Summer, S2'!Q4*Main!$B$5)</f>
        <v>30.459960176321704</v>
      </c>
      <c r="R4" s="2">
        <f>('[1]Qc, Summer, S2'!R4*Main!$B$5)</f>
        <v>28.987511376161251</v>
      </c>
      <c r="S4" s="2">
        <f>('[1]Qc, Summer, S2'!S4*Main!$B$5)</f>
        <v>25.723152434292306</v>
      </c>
      <c r="T4" s="2">
        <f>('[1]Qc, Summer, S2'!T4*Main!$B$5)</f>
        <v>25.604143604775039</v>
      </c>
      <c r="U4" s="2">
        <f>('[1]Qc, Summer, S2'!U4*Main!$B$5)</f>
        <v>24.357269461304416</v>
      </c>
      <c r="V4" s="2">
        <f>('[1]Qc, Summer, S2'!V4*Main!$B$5)</f>
        <v>21.955596124538253</v>
      </c>
      <c r="W4" s="2">
        <f>('[1]Qc, Summer, S2'!W4*Main!$B$5)</f>
        <v>26.320472031674402</v>
      </c>
      <c r="X4" s="2">
        <f>('[1]Qc, Summer, S2'!X4*Main!$B$5)</f>
        <v>23.584100979247953</v>
      </c>
      <c r="Y4" s="2">
        <f>('[1]Qc, Summer, S2'!Y4*Main!$B$5)</f>
        <v>18.9795349620019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-13.278249912387809</v>
      </c>
      <c r="C2" s="2">
        <f>('[1]Qc, Summer, S2'!C2*Main!$B$5)</f>
        <v>-17.263355327308279</v>
      </c>
      <c r="D2" s="2">
        <f>('[1]Qc, Summer, S2'!D2*Main!$B$5)</f>
        <v>-19.027549144823816</v>
      </c>
      <c r="E2" s="2">
        <f>('[1]Qc, Summer, S2'!E2*Main!$B$5)</f>
        <v>-17.363635461006563</v>
      </c>
      <c r="F2" s="2">
        <f>('[1]Qc, Summer, S2'!F2*Main!$B$5)</f>
        <v>-18.611481099437121</v>
      </c>
      <c r="G2" s="2">
        <f>('[1]Qc, Summer, S2'!G2*Main!$B$5)</f>
        <v>-19.040455478368052</v>
      </c>
      <c r="H2" s="2">
        <f>('[1]Qc, Summer, S2'!H2*Main!$B$5)</f>
        <v>-16.502177788043223</v>
      </c>
      <c r="I2" s="2">
        <f>('[1]Qc, Summer, S2'!I2*Main!$B$5)</f>
        <v>-2.5673681133886324</v>
      </c>
      <c r="J2" s="2">
        <f>('[1]Qc, Summer, S2'!J2*Main!$B$5)</f>
        <v>8.2410627275642412</v>
      </c>
      <c r="K2" s="2">
        <f>('[1]Qc, Summer, S2'!K2*Main!$B$5)</f>
        <v>11.997385457165896</v>
      </c>
      <c r="L2" s="2">
        <f>('[1]Qc, Summer, S2'!L2*Main!$B$5)</f>
        <v>9.431017561622502</v>
      </c>
      <c r="M2" s="2">
        <f>('[1]Qc, Summer, S2'!M2*Main!$B$5)</f>
        <v>12.562374338038049</v>
      </c>
      <c r="N2" s="2">
        <f>('[1]Qc, Summer, S2'!N2*Main!$B$5)</f>
        <v>11.148100664002801</v>
      </c>
      <c r="O2" s="2">
        <f>('[1]Qc, Summer, S2'!O2*Main!$B$5)</f>
        <v>11.483756435929624</v>
      </c>
      <c r="P2" s="2">
        <f>('[1]Qc, Summer, S2'!P2*Main!$B$5)</f>
        <v>5.9251968799964612</v>
      </c>
      <c r="Q2" s="2">
        <f>('[1]Qc, Summer, S2'!Q2*Main!$B$5)</f>
        <v>1.4979614959182725</v>
      </c>
      <c r="R2" s="2">
        <f>('[1]Qc, Summer, S2'!R2*Main!$B$5)</f>
        <v>3.3323674500254983</v>
      </c>
      <c r="S2" s="2">
        <f>('[1]Qc, Summer, S2'!S2*Main!$B$5)</f>
        <v>4.0476742846228229</v>
      </c>
      <c r="T2" s="2">
        <f>('[1]Qc, Summer, S2'!T2*Main!$B$5)</f>
        <v>2.4385713234779778</v>
      </c>
      <c r="U2" s="2">
        <f>('[1]Qc, Summer, S2'!U2*Main!$B$5)</f>
        <v>-0.45490686583120143</v>
      </c>
      <c r="V2" s="2">
        <f>('[1]Qc, Summer, S2'!V2*Main!$B$5)</f>
        <v>-1.7758833308185238</v>
      </c>
      <c r="W2" s="2">
        <f>('[1]Qc, Summer, S2'!W2*Main!$B$5)</f>
        <v>-1.2355280437499947</v>
      </c>
      <c r="X2" s="2">
        <f>('[1]Qc, Summer, S2'!X2*Main!$B$5)</f>
        <v>-5.925274515890572</v>
      </c>
      <c r="Y2" s="2">
        <f>('[1]Qc, Summer, S2'!Y2*Main!$B$5)</f>
        <v>-8.0203414982006471</v>
      </c>
    </row>
    <row r="3" spans="1:25" x14ac:dyDescent="0.3">
      <c r="A3">
        <v>2</v>
      </c>
      <c r="B3" s="2">
        <f>('[1]Qc, Summer, S2'!B3*Main!$B$5)</f>
        <v>-16.804725248756327</v>
      </c>
      <c r="C3" s="2">
        <f>('[1]Qc, Summer, S2'!C3*Main!$B$5)</f>
        <v>-16.804725248756327</v>
      </c>
      <c r="D3" s="2">
        <f>('[1]Qc, Summer, S2'!D3*Main!$B$5)</f>
        <v>-19.509294986759524</v>
      </c>
      <c r="E3" s="2">
        <f>('[1]Qc, Summer, S2'!E3*Main!$B$5)</f>
        <v>-22.213864724762729</v>
      </c>
      <c r="F3" s="2">
        <f>('[1]Qc, Summer, S2'!F3*Main!$B$5)</f>
        <v>-22.213864724762729</v>
      </c>
      <c r="G3" s="2">
        <f>('[1]Qc, Summer, S2'!G3*Main!$B$5)</f>
        <v>-22.213864724762729</v>
      </c>
      <c r="H3" s="2">
        <f>('[1]Qc, Summer, S2'!H3*Main!$B$5)</f>
        <v>-8.8574571522990713</v>
      </c>
      <c r="I3" s="2">
        <f>('[1]Qc, Summer, S2'!I3*Main!$B$5)</f>
        <v>1.8359954215763845</v>
      </c>
      <c r="J3" s="2">
        <f>('[1]Qc, Summer, S2'!J3*Main!$B$5)</f>
        <v>5.8304435398024506</v>
      </c>
      <c r="K3" s="2">
        <f>('[1]Qc, Summer, S2'!K3*Main!$B$5)</f>
        <v>5.8304435398024506</v>
      </c>
      <c r="L3" s="2">
        <f>('[1]Qc, Summer, S2'!L3*Main!$B$5)</f>
        <v>5.3311291481975447</v>
      </c>
      <c r="M3" s="2">
        <f>('[1]Qc, Summer, S2'!M3*Main!$B$5)</f>
        <v>7.4947741947086124</v>
      </c>
      <c r="N3" s="2">
        <f>('[1]Qc, Summer, S2'!N3*Main!$B$5)</f>
        <v>10.157733632824588</v>
      </c>
      <c r="O3" s="2">
        <f>('[1]Qc, Summer, S2'!O3*Main!$B$5)</f>
        <v>10.469810741413239</v>
      </c>
      <c r="P3" s="2">
        <f>('[1]Qc, Summer, S2'!P3*Main!$B$5)</f>
        <v>5.8720493533067257</v>
      </c>
      <c r="Q3" s="2">
        <f>('[1]Qc, Summer, S2'!Q3*Main!$B$5)</f>
        <v>4.5821709496562697</v>
      </c>
      <c r="R3" s="2">
        <f>('[1]Qc, Summer, S2'!R3*Main!$B$5)</f>
        <v>-0.74374797343085552</v>
      </c>
      <c r="S3" s="2">
        <f>('[1]Qc, Summer, S2'!S3*Main!$B$5)</f>
        <v>-0.74374797343085552</v>
      </c>
      <c r="T3" s="2">
        <f>('[1]Qc, Summer, S2'!T3*Main!$B$5)</f>
        <v>-0.74374797343085552</v>
      </c>
      <c r="U3" s="2">
        <f>('[1]Qc, Summer, S2'!U3*Main!$B$5)</f>
        <v>-0.74374797343085552</v>
      </c>
      <c r="V3" s="2">
        <f>('[1]Qc, Summer, S2'!V3*Main!$B$5)</f>
        <v>-4.7382005546122841</v>
      </c>
      <c r="W3" s="2">
        <f>('[1]Qc, Summer, S2'!W3*Main!$B$5)</f>
        <v>-6.0696847483394265</v>
      </c>
      <c r="X3" s="2">
        <f>('[1]Qc, Summer, S2'!X3*Main!$B$5)</f>
        <v>-16.971148502773428</v>
      </c>
      <c r="Y3" s="2">
        <f>('[1]Qc, Summer, S2'!Y3*Main!$B$5)</f>
        <v>-16.971148502773428</v>
      </c>
    </row>
    <row r="4" spans="1:25" x14ac:dyDescent="0.3">
      <c r="A4">
        <v>3</v>
      </c>
      <c r="B4" s="2">
        <f>('[1]Qc, Summer, S2'!B4*Main!$B$5)</f>
        <v>13.565216444764378</v>
      </c>
      <c r="C4" s="2">
        <f>('[1]Qc, Summer, S2'!C4*Main!$B$5)</f>
        <v>10.393584419738495</v>
      </c>
      <c r="D4" s="2">
        <f>('[1]Qc, Summer, S2'!D4*Main!$B$5)</f>
        <v>9.8494780742944403</v>
      </c>
      <c r="E4" s="2">
        <f>('[1]Qc, Summer, S2'!E4*Main!$B$5)</f>
        <v>8.6022772370616671</v>
      </c>
      <c r="F4" s="2">
        <f>('[1]Qc, Summer, S2'!F4*Main!$B$5)</f>
        <v>9.9029236243336367</v>
      </c>
      <c r="G4" s="2">
        <f>('[1]Qc, Summer, S2'!G4*Main!$B$5)</f>
        <v>4.5961003409923959</v>
      </c>
      <c r="H4" s="2">
        <f>('[1]Qc, Summer, S2'!H4*Main!$B$5)</f>
        <v>8.0191217038487199</v>
      </c>
      <c r="I4" s="2">
        <f>('[1]Qc, Summer, S2'!I4*Main!$B$5)</f>
        <v>15.409689832365903</v>
      </c>
      <c r="J4" s="2">
        <f>('[1]Qc, Summer, S2'!J4*Main!$B$5)</f>
        <v>22.416394639856861</v>
      </c>
      <c r="K4" s="2">
        <f>('[1]Qc, Summer, S2'!K4*Main!$B$5)</f>
        <v>26.636911624599676</v>
      </c>
      <c r="L4" s="2">
        <f>('[1]Qc, Summer, S2'!L4*Main!$B$5)</f>
        <v>29.079308354451694</v>
      </c>
      <c r="M4" s="2">
        <f>('[1]Qc, Summer, S2'!M4*Main!$B$5)</f>
        <v>30.140961875177993</v>
      </c>
      <c r="N4" s="2">
        <f>('[1]Qc, Summer, S2'!N4*Main!$B$5)</f>
        <v>31.49579738073195</v>
      </c>
      <c r="O4" s="2">
        <f>('[1]Qc, Summer, S2'!O4*Main!$B$5)</f>
        <v>31.734092463946748</v>
      </c>
      <c r="P4" s="2">
        <f>('[1]Qc, Summer, S2'!P4*Main!$B$5)</f>
        <v>31.508844516894563</v>
      </c>
      <c r="Q4" s="2">
        <f>('[1]Qc, Summer, S2'!Q4*Main!$B$5)</f>
        <v>30.459960176321704</v>
      </c>
      <c r="R4" s="2">
        <f>('[1]Qc, Summer, S2'!R4*Main!$B$5)</f>
        <v>28.987511376161251</v>
      </c>
      <c r="S4" s="2">
        <f>('[1]Qc, Summer, S2'!S4*Main!$B$5)</f>
        <v>25.723152434292306</v>
      </c>
      <c r="T4" s="2">
        <f>('[1]Qc, Summer, S2'!T4*Main!$B$5)</f>
        <v>25.604143604775039</v>
      </c>
      <c r="U4" s="2">
        <f>('[1]Qc, Summer, S2'!U4*Main!$B$5)</f>
        <v>24.357269461304416</v>
      </c>
      <c r="V4" s="2">
        <f>('[1]Qc, Summer, S2'!V4*Main!$B$5)</f>
        <v>21.955596124538253</v>
      </c>
      <c r="W4" s="2">
        <f>('[1]Qc, Summer, S2'!W4*Main!$B$5)</f>
        <v>26.320472031674402</v>
      </c>
      <c r="X4" s="2">
        <f>('[1]Qc, Summer, S2'!X4*Main!$B$5)</f>
        <v>23.584100979247953</v>
      </c>
      <c r="Y4" s="2">
        <f>('[1]Qc, Summer, S2'!Y4*Main!$B$5)</f>
        <v>18.9795349620019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-12.633674673922382</v>
      </c>
      <c r="C2" s="2">
        <f>('[1]Qc, Summer, S3'!C2*Main!$B$5)</f>
        <v>-16.425328369671956</v>
      </c>
      <c r="D2" s="2">
        <f>('[1]Qc, Summer, S3'!D2*Main!$B$5)</f>
        <v>-18.103881710609063</v>
      </c>
      <c r="E2" s="2">
        <f>('[1]Qc, Summer, S3'!E2*Main!$B$5)</f>
        <v>-16.520740535714978</v>
      </c>
      <c r="F2" s="2">
        <f>('[1]Qc, Summer, S3'!F2*Main!$B$5)</f>
        <v>-17.708011143153769</v>
      </c>
      <c r="G2" s="2">
        <f>('[1]Qc, Summer, S3'!G2*Main!$B$5)</f>
        <v>-18.116161523107465</v>
      </c>
      <c r="H2" s="2">
        <f>('[1]Qc, Summer, S3'!H2*Main!$B$5)</f>
        <v>-15.701101196390637</v>
      </c>
      <c r="I2" s="2">
        <f>('[1]Qc, Summer, S3'!I2*Main!$B$5)</f>
        <v>-2.4427385933212227</v>
      </c>
      <c r="J2" s="2">
        <f>('[1]Qc, Summer, S3'!J2*Main!$B$5)</f>
        <v>7.8410111388475299</v>
      </c>
      <c r="K2" s="2">
        <f>('[1]Qc, Summer, S3'!K2*Main!$B$5)</f>
        <v>11.414988104876288</v>
      </c>
      <c r="L2" s="2">
        <f>('[1]Qc, Summer, S3'!L2*Main!$B$5)</f>
        <v>8.973201175135971</v>
      </c>
      <c r="M2" s="2">
        <f>('[1]Qc, Summer, S3'!M2*Main!$B$5)</f>
        <v>11.952550341045912</v>
      </c>
      <c r="N2" s="2">
        <f>('[1]Qc, Summer, S3'!N2*Main!$B$5)</f>
        <v>10.606930728857034</v>
      </c>
      <c r="O2" s="2">
        <f>('[1]Qc, Summer, S3'!O2*Main!$B$5)</f>
        <v>10.926292531272846</v>
      </c>
      <c r="P2" s="2">
        <f>('[1]Qc, Summer, S3'!P2*Main!$B$5)</f>
        <v>5.6375659634917783</v>
      </c>
      <c r="Q2" s="2">
        <f>('[1]Qc, Summer, S3'!Q2*Main!$B$5)</f>
        <v>1.4252449184465115</v>
      </c>
      <c r="R2" s="2">
        <f>('[1]Qc, Summer, S3'!R2*Main!$B$5)</f>
        <v>3.1706020398300856</v>
      </c>
      <c r="S2" s="2">
        <f>('[1]Qc, Summer, S3'!S2*Main!$B$5)</f>
        <v>3.8511852416799668</v>
      </c>
      <c r="T2" s="2">
        <f>('[1]Qc, Summer, S3'!T2*Main!$B$5)</f>
        <v>2.320194074765455</v>
      </c>
      <c r="U2" s="2">
        <f>('[1]Qc, Summer, S3'!U2*Main!$B$5)</f>
        <v>-0.43282400826658002</v>
      </c>
      <c r="V2" s="2">
        <f>('[1]Qc, Summer, S3'!V2*Main!$B$5)</f>
        <v>-1.6896754021380127</v>
      </c>
      <c r="W2" s="2">
        <f>('[1]Qc, Summer, S3'!W2*Main!$B$5)</f>
        <v>-1.1755509542475677</v>
      </c>
      <c r="X2" s="2">
        <f>('[1]Qc, Summer, S3'!X2*Main!$B$5)</f>
        <v>-5.637639830653165</v>
      </c>
      <c r="Y2" s="2">
        <f>('[1]Qc, Summer, S3'!Y2*Main!$B$5)</f>
        <v>-7.6310045322685776</v>
      </c>
    </row>
    <row r="3" spans="1:25" x14ac:dyDescent="0.3">
      <c r="A3">
        <v>2</v>
      </c>
      <c r="B3" s="2">
        <f>('[1]Qc, Summer, S3'!B3*Main!$B$5)</f>
        <v>-15.988961887166216</v>
      </c>
      <c r="C3" s="2">
        <f>('[1]Qc, Summer, S3'!C3*Main!$B$5)</f>
        <v>-15.988961887166216</v>
      </c>
      <c r="D3" s="2">
        <f>('[1]Qc, Summer, S3'!D3*Main!$B$5)</f>
        <v>-18.562241832062462</v>
      </c>
      <c r="E3" s="2">
        <f>('[1]Qc, Summer, S3'!E3*Main!$B$5)</f>
        <v>-21.135521776958708</v>
      </c>
      <c r="F3" s="2">
        <f>('[1]Qc, Summer, S3'!F3*Main!$B$5)</f>
        <v>-21.135521776958708</v>
      </c>
      <c r="G3" s="2">
        <f>('[1]Qc, Summer, S3'!G3*Main!$B$5)</f>
        <v>-21.135521776958708</v>
      </c>
      <c r="H3" s="2">
        <f>('[1]Qc, Summer, S3'!H3*Main!$B$5)</f>
        <v>-8.4274835041292118</v>
      </c>
      <c r="I3" s="2">
        <f>('[1]Qc, Summer, S3'!I3*Main!$B$5)</f>
        <v>1.7468694302377246</v>
      </c>
      <c r="J3" s="2">
        <f>('[1]Qc, Summer, S3'!J3*Main!$B$5)</f>
        <v>5.547412300006215</v>
      </c>
      <c r="K3" s="2">
        <f>('[1]Qc, Summer, S3'!K3*Main!$B$5)</f>
        <v>5.547412300006215</v>
      </c>
      <c r="L3" s="2">
        <f>('[1]Qc, Summer, S3'!L3*Main!$B$5)</f>
        <v>5.0723364711005763</v>
      </c>
      <c r="M3" s="2">
        <f>('[1]Qc, Summer, S3'!M3*Main!$B$5)</f>
        <v>7.1309502046742148</v>
      </c>
      <c r="N3" s="2">
        <f>('[1]Qc, Summer, S3'!N3*Main!$B$5)</f>
        <v>9.664639767153492</v>
      </c>
      <c r="O3" s="2">
        <f>('[1]Qc, Summer, S3'!O3*Main!$B$5)</f>
        <v>9.9615675015388092</v>
      </c>
      <c r="P3" s="2">
        <f>('[1]Qc, Summer, S3'!P3*Main!$B$5)</f>
        <v>5.5869984138258157</v>
      </c>
      <c r="Q3" s="2">
        <f>('[1]Qc, Summer, S3'!Q3*Main!$B$5)</f>
        <v>4.3597354666632464</v>
      </c>
      <c r="R3" s="2">
        <f>('[1]Qc, Summer, S3'!R3*Main!$B$5)</f>
        <v>-0.70764370287595957</v>
      </c>
      <c r="S3" s="2">
        <f>('[1]Qc, Summer, S3'!S3*Main!$B$5)</f>
        <v>-0.70764370287595957</v>
      </c>
      <c r="T3" s="2">
        <f>('[1]Qc, Summer, S3'!T3*Main!$B$5)</f>
        <v>-0.70764370287595957</v>
      </c>
      <c r="U3" s="2">
        <f>('[1]Qc, Summer, S3'!U3*Main!$B$5)</f>
        <v>-0.70764370287595957</v>
      </c>
      <c r="V3" s="2">
        <f>('[1]Qc, Summer, S3'!V3*Main!$B$5)</f>
        <v>-4.5081908189514932</v>
      </c>
      <c r="W3" s="2">
        <f>('[1]Qc, Summer, S3'!W3*Main!$B$5)</f>
        <v>-5.7750398576433373</v>
      </c>
      <c r="X3" s="2">
        <f>('[1]Qc, Summer, S3'!X3*Main!$B$5)</f>
        <v>-16.147306342444622</v>
      </c>
      <c r="Y3" s="2">
        <f>('[1]Qc, Summer, S3'!Y3*Main!$B$5)</f>
        <v>-16.147306342444622</v>
      </c>
    </row>
    <row r="4" spans="1:25" x14ac:dyDescent="0.3">
      <c r="A4">
        <v>3</v>
      </c>
      <c r="B4" s="2">
        <f>('[1]Qc, Summer, S3'!B4*Main!$B$5)</f>
        <v>12.906710792105914</v>
      </c>
      <c r="C4" s="2">
        <f>('[1]Qc, Summer, S3'!C4*Main!$B$5)</f>
        <v>9.8890414867414815</v>
      </c>
      <c r="D4" s="2">
        <f>('[1]Qc, Summer, S3'!D4*Main!$B$5)</f>
        <v>9.3713480706879135</v>
      </c>
      <c r="E4" s="2">
        <f>('[1]Qc, Summer, S3'!E4*Main!$B$5)</f>
        <v>8.1846909634178964</v>
      </c>
      <c r="F4" s="2">
        <f>('[1]Qc, Summer, S3'!F4*Main!$B$5)</f>
        <v>9.4221991765504498</v>
      </c>
      <c r="G4" s="2">
        <f>('[1]Qc, Summer, S3'!G4*Main!$B$5)</f>
        <v>4.3729886739539303</v>
      </c>
      <c r="H4" s="2">
        <f>('[1]Qc, Summer, S3'!H4*Main!$B$5)</f>
        <v>7.6298439512347045</v>
      </c>
      <c r="I4" s="2">
        <f>('[1]Qc, Summer, S3'!I4*Main!$B$5)</f>
        <v>14.661646636619983</v>
      </c>
      <c r="J4" s="2">
        <f>('[1]Qc, Summer, S3'!J4*Main!$B$5)</f>
        <v>21.328220142776427</v>
      </c>
      <c r="K4" s="2">
        <f>('[1]Qc, Summer, S3'!K4*Main!$B$5)</f>
        <v>25.34385766224047</v>
      </c>
      <c r="L4" s="2">
        <f>('[1]Qc, Summer, S3'!L4*Main!$B$5)</f>
        <v>27.66769144404142</v>
      </c>
      <c r="M4" s="2">
        <f>('[1]Qc, Summer, S3'!M4*Main!$B$5)</f>
        <v>28.67780838609168</v>
      </c>
      <c r="N4" s="2">
        <f>('[1]Qc, Summer, S3'!N4*Main!$B$5)</f>
        <v>29.966875177783795</v>
      </c>
      <c r="O4" s="2">
        <f>('[1]Qc, Summer, S3'!O4*Main!$B$5)</f>
        <v>30.19360253851244</v>
      </c>
      <c r="P4" s="2">
        <f>('[1]Qc, Summer, S3'!P4*Main!$B$5)</f>
        <v>29.979288957822007</v>
      </c>
      <c r="Q4" s="2">
        <f>('[1]Qc, Summer, S3'!Q4*Main!$B$5)</f>
        <v>28.981321332810943</v>
      </c>
      <c r="R4" s="2">
        <f>('[1]Qc, Summer, S3'!R4*Main!$B$5)</f>
        <v>27.580350629745659</v>
      </c>
      <c r="S4" s="2">
        <f>('[1]Qc, Summer, S3'!S4*Main!$B$5)</f>
        <v>24.47445571418103</v>
      </c>
      <c r="T4" s="2">
        <f>('[1]Qc, Summer, S3'!T4*Main!$B$5)</f>
        <v>24.361224012310227</v>
      </c>
      <c r="U4" s="2">
        <f>('[1]Qc, Summer, S3'!U4*Main!$B$5)</f>
        <v>23.174877739881875</v>
      </c>
      <c r="V4" s="2">
        <f>('[1]Qc, Summer, S3'!V4*Main!$B$5)</f>
        <v>20.889790487424744</v>
      </c>
      <c r="W4" s="2">
        <f>('[1]Qc, Summer, S3'!W4*Main!$B$5)</f>
        <v>25.042779214602827</v>
      </c>
      <c r="X4" s="2">
        <f>('[1]Qc, Summer, S3'!X4*Main!$B$5)</f>
        <v>22.439241708410673</v>
      </c>
      <c r="Y4" s="2">
        <f>('[1]Qc, Summer, S3'!Y4*Main!$B$5)</f>
        <v>18.058198313361029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-12.633674673922382</v>
      </c>
      <c r="C2" s="2">
        <f>('[1]Qc, Summer, S3'!C2*Main!$B$5)</f>
        <v>-16.425328369671956</v>
      </c>
      <c r="D2" s="2">
        <f>('[1]Qc, Summer, S3'!D2*Main!$B$5)</f>
        <v>-18.103881710609063</v>
      </c>
      <c r="E2" s="2">
        <f>('[1]Qc, Summer, S3'!E2*Main!$B$5)</f>
        <v>-16.520740535714978</v>
      </c>
      <c r="F2" s="2">
        <f>('[1]Qc, Summer, S3'!F2*Main!$B$5)</f>
        <v>-17.708011143153769</v>
      </c>
      <c r="G2" s="2">
        <f>('[1]Qc, Summer, S3'!G2*Main!$B$5)</f>
        <v>-18.116161523107465</v>
      </c>
      <c r="H2" s="2">
        <f>('[1]Qc, Summer, S3'!H2*Main!$B$5)</f>
        <v>-15.701101196390637</v>
      </c>
      <c r="I2" s="2">
        <f>('[1]Qc, Summer, S3'!I2*Main!$B$5)</f>
        <v>-2.4427385933212227</v>
      </c>
      <c r="J2" s="2">
        <f>('[1]Qc, Summer, S3'!J2*Main!$B$5)</f>
        <v>7.8410111388475299</v>
      </c>
      <c r="K2" s="2">
        <f>('[1]Qc, Summer, S3'!K2*Main!$B$5)</f>
        <v>11.414988104876288</v>
      </c>
      <c r="L2" s="2">
        <f>('[1]Qc, Summer, S3'!L2*Main!$B$5)</f>
        <v>8.973201175135971</v>
      </c>
      <c r="M2" s="2">
        <f>('[1]Qc, Summer, S3'!M2*Main!$B$5)</f>
        <v>11.952550341045912</v>
      </c>
      <c r="N2" s="2">
        <f>('[1]Qc, Summer, S3'!N2*Main!$B$5)</f>
        <v>10.606930728857034</v>
      </c>
      <c r="O2" s="2">
        <f>('[1]Qc, Summer, S3'!O2*Main!$B$5)</f>
        <v>10.926292531272846</v>
      </c>
      <c r="P2" s="2">
        <f>('[1]Qc, Summer, S3'!P2*Main!$B$5)</f>
        <v>5.6375659634917783</v>
      </c>
      <c r="Q2" s="2">
        <f>('[1]Qc, Summer, S3'!Q2*Main!$B$5)</f>
        <v>1.4252449184465115</v>
      </c>
      <c r="R2" s="2">
        <f>('[1]Qc, Summer, S3'!R2*Main!$B$5)</f>
        <v>3.1706020398300856</v>
      </c>
      <c r="S2" s="2">
        <f>('[1]Qc, Summer, S3'!S2*Main!$B$5)</f>
        <v>3.8511852416799668</v>
      </c>
      <c r="T2" s="2">
        <f>('[1]Qc, Summer, S3'!T2*Main!$B$5)</f>
        <v>2.320194074765455</v>
      </c>
      <c r="U2" s="2">
        <f>('[1]Qc, Summer, S3'!U2*Main!$B$5)</f>
        <v>-0.43282400826658002</v>
      </c>
      <c r="V2" s="2">
        <f>('[1]Qc, Summer, S3'!V2*Main!$B$5)</f>
        <v>-1.6896754021380127</v>
      </c>
      <c r="W2" s="2">
        <f>('[1]Qc, Summer, S3'!W2*Main!$B$5)</f>
        <v>-1.1755509542475677</v>
      </c>
      <c r="X2" s="2">
        <f>('[1]Qc, Summer, S3'!X2*Main!$B$5)</f>
        <v>-5.637639830653165</v>
      </c>
      <c r="Y2" s="2">
        <f>('[1]Qc, Summer, S3'!Y2*Main!$B$5)</f>
        <v>-7.6310045322685776</v>
      </c>
    </row>
    <row r="3" spans="1:25" x14ac:dyDescent="0.3">
      <c r="A3">
        <v>2</v>
      </c>
      <c r="B3" s="2">
        <f>('[1]Qc, Summer, S3'!B3*Main!$B$5)</f>
        <v>-15.988961887166216</v>
      </c>
      <c r="C3" s="2">
        <f>('[1]Qc, Summer, S3'!C3*Main!$B$5)</f>
        <v>-15.988961887166216</v>
      </c>
      <c r="D3" s="2">
        <f>('[1]Qc, Summer, S3'!D3*Main!$B$5)</f>
        <v>-18.562241832062462</v>
      </c>
      <c r="E3" s="2">
        <f>('[1]Qc, Summer, S3'!E3*Main!$B$5)</f>
        <v>-21.135521776958708</v>
      </c>
      <c r="F3" s="2">
        <f>('[1]Qc, Summer, S3'!F3*Main!$B$5)</f>
        <v>-21.135521776958708</v>
      </c>
      <c r="G3" s="2">
        <f>('[1]Qc, Summer, S3'!G3*Main!$B$5)</f>
        <v>-21.135521776958708</v>
      </c>
      <c r="H3" s="2">
        <f>('[1]Qc, Summer, S3'!H3*Main!$B$5)</f>
        <v>-8.4274835041292118</v>
      </c>
      <c r="I3" s="2">
        <f>('[1]Qc, Summer, S3'!I3*Main!$B$5)</f>
        <v>1.7468694302377246</v>
      </c>
      <c r="J3" s="2">
        <f>('[1]Qc, Summer, S3'!J3*Main!$B$5)</f>
        <v>5.547412300006215</v>
      </c>
      <c r="K3" s="2">
        <f>('[1]Qc, Summer, S3'!K3*Main!$B$5)</f>
        <v>5.547412300006215</v>
      </c>
      <c r="L3" s="2">
        <f>('[1]Qc, Summer, S3'!L3*Main!$B$5)</f>
        <v>5.0723364711005763</v>
      </c>
      <c r="M3" s="2">
        <f>('[1]Qc, Summer, S3'!M3*Main!$B$5)</f>
        <v>7.1309502046742148</v>
      </c>
      <c r="N3" s="2">
        <f>('[1]Qc, Summer, S3'!N3*Main!$B$5)</f>
        <v>9.664639767153492</v>
      </c>
      <c r="O3" s="2">
        <f>('[1]Qc, Summer, S3'!O3*Main!$B$5)</f>
        <v>9.9615675015388092</v>
      </c>
      <c r="P3" s="2">
        <f>('[1]Qc, Summer, S3'!P3*Main!$B$5)</f>
        <v>5.5869984138258157</v>
      </c>
      <c r="Q3" s="2">
        <f>('[1]Qc, Summer, S3'!Q3*Main!$B$5)</f>
        <v>4.3597354666632464</v>
      </c>
      <c r="R3" s="2">
        <f>('[1]Qc, Summer, S3'!R3*Main!$B$5)</f>
        <v>-0.70764370287595957</v>
      </c>
      <c r="S3" s="2">
        <f>('[1]Qc, Summer, S3'!S3*Main!$B$5)</f>
        <v>-0.70764370287595957</v>
      </c>
      <c r="T3" s="2">
        <f>('[1]Qc, Summer, S3'!T3*Main!$B$5)</f>
        <v>-0.70764370287595957</v>
      </c>
      <c r="U3" s="2">
        <f>('[1]Qc, Summer, S3'!U3*Main!$B$5)</f>
        <v>-0.70764370287595957</v>
      </c>
      <c r="V3" s="2">
        <f>('[1]Qc, Summer, S3'!V3*Main!$B$5)</f>
        <v>-4.5081908189514932</v>
      </c>
      <c r="W3" s="2">
        <f>('[1]Qc, Summer, S3'!W3*Main!$B$5)</f>
        <v>-5.7750398576433373</v>
      </c>
      <c r="X3" s="2">
        <f>('[1]Qc, Summer, S3'!X3*Main!$B$5)</f>
        <v>-16.147306342444622</v>
      </c>
      <c r="Y3" s="2">
        <f>('[1]Qc, Summer, S3'!Y3*Main!$B$5)</f>
        <v>-16.147306342444622</v>
      </c>
    </row>
    <row r="4" spans="1:25" x14ac:dyDescent="0.3">
      <c r="A4">
        <v>3</v>
      </c>
      <c r="B4" s="2">
        <f>('[1]Qc, Summer, S3'!B4*Main!$B$5)</f>
        <v>12.906710792105914</v>
      </c>
      <c r="C4" s="2">
        <f>('[1]Qc, Summer, S3'!C4*Main!$B$5)</f>
        <v>9.8890414867414815</v>
      </c>
      <c r="D4" s="2">
        <f>('[1]Qc, Summer, S3'!D4*Main!$B$5)</f>
        <v>9.3713480706879135</v>
      </c>
      <c r="E4" s="2">
        <f>('[1]Qc, Summer, S3'!E4*Main!$B$5)</f>
        <v>8.1846909634178964</v>
      </c>
      <c r="F4" s="2">
        <f>('[1]Qc, Summer, S3'!F4*Main!$B$5)</f>
        <v>9.4221991765504498</v>
      </c>
      <c r="G4" s="2">
        <f>('[1]Qc, Summer, S3'!G4*Main!$B$5)</f>
        <v>4.3729886739539303</v>
      </c>
      <c r="H4" s="2">
        <f>('[1]Qc, Summer, S3'!H4*Main!$B$5)</f>
        <v>7.6298439512347045</v>
      </c>
      <c r="I4" s="2">
        <f>('[1]Qc, Summer, S3'!I4*Main!$B$5)</f>
        <v>14.661646636619983</v>
      </c>
      <c r="J4" s="2">
        <f>('[1]Qc, Summer, S3'!J4*Main!$B$5)</f>
        <v>21.328220142776427</v>
      </c>
      <c r="K4" s="2">
        <f>('[1]Qc, Summer, S3'!K4*Main!$B$5)</f>
        <v>25.34385766224047</v>
      </c>
      <c r="L4" s="2">
        <f>('[1]Qc, Summer, S3'!L4*Main!$B$5)</f>
        <v>27.66769144404142</v>
      </c>
      <c r="M4" s="2">
        <f>('[1]Qc, Summer, S3'!M4*Main!$B$5)</f>
        <v>28.67780838609168</v>
      </c>
      <c r="N4" s="2">
        <f>('[1]Qc, Summer, S3'!N4*Main!$B$5)</f>
        <v>29.966875177783795</v>
      </c>
      <c r="O4" s="2">
        <f>('[1]Qc, Summer, S3'!O4*Main!$B$5)</f>
        <v>30.19360253851244</v>
      </c>
      <c r="P4" s="2">
        <f>('[1]Qc, Summer, S3'!P4*Main!$B$5)</f>
        <v>29.979288957822007</v>
      </c>
      <c r="Q4" s="2">
        <f>('[1]Qc, Summer, S3'!Q4*Main!$B$5)</f>
        <v>28.981321332810943</v>
      </c>
      <c r="R4" s="2">
        <f>('[1]Qc, Summer, S3'!R4*Main!$B$5)</f>
        <v>27.580350629745659</v>
      </c>
      <c r="S4" s="2">
        <f>('[1]Qc, Summer, S3'!S4*Main!$B$5)</f>
        <v>24.47445571418103</v>
      </c>
      <c r="T4" s="2">
        <f>('[1]Qc, Summer, S3'!T4*Main!$B$5)</f>
        <v>24.361224012310227</v>
      </c>
      <c r="U4" s="2">
        <f>('[1]Qc, Summer, S3'!U4*Main!$B$5)</f>
        <v>23.174877739881875</v>
      </c>
      <c r="V4" s="2">
        <f>('[1]Qc, Summer, S3'!V4*Main!$B$5)</f>
        <v>20.889790487424744</v>
      </c>
      <c r="W4" s="2">
        <f>('[1]Qc, Summer, S3'!W4*Main!$B$5)</f>
        <v>25.042779214602827</v>
      </c>
      <c r="X4" s="2">
        <f>('[1]Qc, Summer, S3'!X4*Main!$B$5)</f>
        <v>22.439241708410673</v>
      </c>
      <c r="Y4" s="2">
        <f>('[1]Qc, Summer, S3'!Y4*Main!$B$5)</f>
        <v>18.058198313361029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-12.633674673922382</v>
      </c>
      <c r="C2" s="2">
        <f>('[1]Qc, Summer, S3'!C2*Main!$B$5)</f>
        <v>-16.425328369671956</v>
      </c>
      <c r="D2" s="2">
        <f>('[1]Qc, Summer, S3'!D2*Main!$B$5)</f>
        <v>-18.103881710609063</v>
      </c>
      <c r="E2" s="2">
        <f>('[1]Qc, Summer, S3'!E2*Main!$B$5)</f>
        <v>-16.520740535714978</v>
      </c>
      <c r="F2" s="2">
        <f>('[1]Qc, Summer, S3'!F2*Main!$B$5)</f>
        <v>-17.708011143153769</v>
      </c>
      <c r="G2" s="2">
        <f>('[1]Qc, Summer, S3'!G2*Main!$B$5)</f>
        <v>-18.116161523107465</v>
      </c>
      <c r="H2" s="2">
        <f>('[1]Qc, Summer, S3'!H2*Main!$B$5)</f>
        <v>-15.701101196390637</v>
      </c>
      <c r="I2" s="2">
        <f>('[1]Qc, Summer, S3'!I2*Main!$B$5)</f>
        <v>-2.4427385933212227</v>
      </c>
      <c r="J2" s="2">
        <f>('[1]Qc, Summer, S3'!J2*Main!$B$5)</f>
        <v>7.8410111388475299</v>
      </c>
      <c r="K2" s="2">
        <f>('[1]Qc, Summer, S3'!K2*Main!$B$5)</f>
        <v>11.414988104876288</v>
      </c>
      <c r="L2" s="2">
        <f>('[1]Qc, Summer, S3'!L2*Main!$B$5)</f>
        <v>8.973201175135971</v>
      </c>
      <c r="M2" s="2">
        <f>('[1]Qc, Summer, S3'!M2*Main!$B$5)</f>
        <v>11.952550341045912</v>
      </c>
      <c r="N2" s="2">
        <f>('[1]Qc, Summer, S3'!N2*Main!$B$5)</f>
        <v>10.606930728857034</v>
      </c>
      <c r="O2" s="2">
        <f>('[1]Qc, Summer, S3'!O2*Main!$B$5)</f>
        <v>10.926292531272846</v>
      </c>
      <c r="P2" s="2">
        <f>('[1]Qc, Summer, S3'!P2*Main!$B$5)</f>
        <v>5.6375659634917783</v>
      </c>
      <c r="Q2" s="2">
        <f>('[1]Qc, Summer, S3'!Q2*Main!$B$5)</f>
        <v>1.4252449184465115</v>
      </c>
      <c r="R2" s="2">
        <f>('[1]Qc, Summer, S3'!R2*Main!$B$5)</f>
        <v>3.1706020398300856</v>
      </c>
      <c r="S2" s="2">
        <f>('[1]Qc, Summer, S3'!S2*Main!$B$5)</f>
        <v>3.8511852416799668</v>
      </c>
      <c r="T2" s="2">
        <f>('[1]Qc, Summer, S3'!T2*Main!$B$5)</f>
        <v>2.320194074765455</v>
      </c>
      <c r="U2" s="2">
        <f>('[1]Qc, Summer, S3'!U2*Main!$B$5)</f>
        <v>-0.43282400826658002</v>
      </c>
      <c r="V2" s="2">
        <f>('[1]Qc, Summer, S3'!V2*Main!$B$5)</f>
        <v>-1.6896754021380127</v>
      </c>
      <c r="W2" s="2">
        <f>('[1]Qc, Summer, S3'!W2*Main!$B$5)</f>
        <v>-1.1755509542475677</v>
      </c>
      <c r="X2" s="2">
        <f>('[1]Qc, Summer, S3'!X2*Main!$B$5)</f>
        <v>-5.637639830653165</v>
      </c>
      <c r="Y2" s="2">
        <f>('[1]Qc, Summer, S3'!Y2*Main!$B$5)</f>
        <v>-7.6310045322685776</v>
      </c>
    </row>
    <row r="3" spans="1:25" x14ac:dyDescent="0.3">
      <c r="A3">
        <v>2</v>
      </c>
      <c r="B3" s="2">
        <f>('[1]Qc, Summer, S3'!B3*Main!$B$5)</f>
        <v>-15.988961887166216</v>
      </c>
      <c r="C3" s="2">
        <f>('[1]Qc, Summer, S3'!C3*Main!$B$5)</f>
        <v>-15.988961887166216</v>
      </c>
      <c r="D3" s="2">
        <f>('[1]Qc, Summer, S3'!D3*Main!$B$5)</f>
        <v>-18.562241832062462</v>
      </c>
      <c r="E3" s="2">
        <f>('[1]Qc, Summer, S3'!E3*Main!$B$5)</f>
        <v>-21.135521776958708</v>
      </c>
      <c r="F3" s="2">
        <f>('[1]Qc, Summer, S3'!F3*Main!$B$5)</f>
        <v>-21.135521776958708</v>
      </c>
      <c r="G3" s="2">
        <f>('[1]Qc, Summer, S3'!G3*Main!$B$5)</f>
        <v>-21.135521776958708</v>
      </c>
      <c r="H3" s="2">
        <f>('[1]Qc, Summer, S3'!H3*Main!$B$5)</f>
        <v>-8.4274835041292118</v>
      </c>
      <c r="I3" s="2">
        <f>('[1]Qc, Summer, S3'!I3*Main!$B$5)</f>
        <v>1.7468694302377246</v>
      </c>
      <c r="J3" s="2">
        <f>('[1]Qc, Summer, S3'!J3*Main!$B$5)</f>
        <v>5.547412300006215</v>
      </c>
      <c r="K3" s="2">
        <f>('[1]Qc, Summer, S3'!K3*Main!$B$5)</f>
        <v>5.547412300006215</v>
      </c>
      <c r="L3" s="2">
        <f>('[1]Qc, Summer, S3'!L3*Main!$B$5)</f>
        <v>5.0723364711005763</v>
      </c>
      <c r="M3" s="2">
        <f>('[1]Qc, Summer, S3'!M3*Main!$B$5)</f>
        <v>7.1309502046742148</v>
      </c>
      <c r="N3" s="2">
        <f>('[1]Qc, Summer, S3'!N3*Main!$B$5)</f>
        <v>9.664639767153492</v>
      </c>
      <c r="O3" s="2">
        <f>('[1]Qc, Summer, S3'!O3*Main!$B$5)</f>
        <v>9.9615675015388092</v>
      </c>
      <c r="P3" s="2">
        <f>('[1]Qc, Summer, S3'!P3*Main!$B$5)</f>
        <v>5.5869984138258157</v>
      </c>
      <c r="Q3" s="2">
        <f>('[1]Qc, Summer, S3'!Q3*Main!$B$5)</f>
        <v>4.3597354666632464</v>
      </c>
      <c r="R3" s="2">
        <f>('[1]Qc, Summer, S3'!R3*Main!$B$5)</f>
        <v>-0.70764370287595957</v>
      </c>
      <c r="S3" s="2">
        <f>('[1]Qc, Summer, S3'!S3*Main!$B$5)</f>
        <v>-0.70764370287595957</v>
      </c>
      <c r="T3" s="2">
        <f>('[1]Qc, Summer, S3'!T3*Main!$B$5)</f>
        <v>-0.70764370287595957</v>
      </c>
      <c r="U3" s="2">
        <f>('[1]Qc, Summer, S3'!U3*Main!$B$5)</f>
        <v>-0.70764370287595957</v>
      </c>
      <c r="V3" s="2">
        <f>('[1]Qc, Summer, S3'!V3*Main!$B$5)</f>
        <v>-4.5081908189514932</v>
      </c>
      <c r="W3" s="2">
        <f>('[1]Qc, Summer, S3'!W3*Main!$B$5)</f>
        <v>-5.7750398576433373</v>
      </c>
      <c r="X3" s="2">
        <f>('[1]Qc, Summer, S3'!X3*Main!$B$5)</f>
        <v>-16.147306342444622</v>
      </c>
      <c r="Y3" s="2">
        <f>('[1]Qc, Summer, S3'!Y3*Main!$B$5)</f>
        <v>-16.147306342444622</v>
      </c>
    </row>
    <row r="4" spans="1:25" x14ac:dyDescent="0.3">
      <c r="A4">
        <v>3</v>
      </c>
      <c r="B4" s="2">
        <f>('[1]Qc, Summer, S3'!B4*Main!$B$5)</f>
        <v>12.906710792105914</v>
      </c>
      <c r="C4" s="2">
        <f>('[1]Qc, Summer, S3'!C4*Main!$B$5)</f>
        <v>9.8890414867414815</v>
      </c>
      <c r="D4" s="2">
        <f>('[1]Qc, Summer, S3'!D4*Main!$B$5)</f>
        <v>9.3713480706879135</v>
      </c>
      <c r="E4" s="2">
        <f>('[1]Qc, Summer, S3'!E4*Main!$B$5)</f>
        <v>8.1846909634178964</v>
      </c>
      <c r="F4" s="2">
        <f>('[1]Qc, Summer, S3'!F4*Main!$B$5)</f>
        <v>9.4221991765504498</v>
      </c>
      <c r="G4" s="2">
        <f>('[1]Qc, Summer, S3'!G4*Main!$B$5)</f>
        <v>4.3729886739539303</v>
      </c>
      <c r="H4" s="2">
        <f>('[1]Qc, Summer, S3'!H4*Main!$B$5)</f>
        <v>7.6298439512347045</v>
      </c>
      <c r="I4" s="2">
        <f>('[1]Qc, Summer, S3'!I4*Main!$B$5)</f>
        <v>14.661646636619983</v>
      </c>
      <c r="J4" s="2">
        <f>('[1]Qc, Summer, S3'!J4*Main!$B$5)</f>
        <v>21.328220142776427</v>
      </c>
      <c r="K4" s="2">
        <f>('[1]Qc, Summer, S3'!K4*Main!$B$5)</f>
        <v>25.34385766224047</v>
      </c>
      <c r="L4" s="2">
        <f>('[1]Qc, Summer, S3'!L4*Main!$B$5)</f>
        <v>27.66769144404142</v>
      </c>
      <c r="M4" s="2">
        <f>('[1]Qc, Summer, S3'!M4*Main!$B$5)</f>
        <v>28.67780838609168</v>
      </c>
      <c r="N4" s="2">
        <f>('[1]Qc, Summer, S3'!N4*Main!$B$5)</f>
        <v>29.966875177783795</v>
      </c>
      <c r="O4" s="2">
        <f>('[1]Qc, Summer, S3'!O4*Main!$B$5)</f>
        <v>30.19360253851244</v>
      </c>
      <c r="P4" s="2">
        <f>('[1]Qc, Summer, S3'!P4*Main!$B$5)</f>
        <v>29.979288957822007</v>
      </c>
      <c r="Q4" s="2">
        <f>('[1]Qc, Summer, S3'!Q4*Main!$B$5)</f>
        <v>28.981321332810943</v>
      </c>
      <c r="R4" s="2">
        <f>('[1]Qc, Summer, S3'!R4*Main!$B$5)</f>
        <v>27.580350629745659</v>
      </c>
      <c r="S4" s="2">
        <f>('[1]Qc, Summer, S3'!S4*Main!$B$5)</f>
        <v>24.47445571418103</v>
      </c>
      <c r="T4" s="2">
        <f>('[1]Qc, Summer, S3'!T4*Main!$B$5)</f>
        <v>24.361224012310227</v>
      </c>
      <c r="U4" s="2">
        <f>('[1]Qc, Summer, S3'!U4*Main!$B$5)</f>
        <v>23.174877739881875</v>
      </c>
      <c r="V4" s="2">
        <f>('[1]Qc, Summer, S3'!V4*Main!$B$5)</f>
        <v>20.889790487424744</v>
      </c>
      <c r="W4" s="2">
        <f>('[1]Qc, Summer, S3'!W4*Main!$B$5)</f>
        <v>25.042779214602827</v>
      </c>
      <c r="X4" s="2">
        <f>('[1]Qc, Summer, S3'!X4*Main!$B$5)</f>
        <v>22.439241708410673</v>
      </c>
      <c r="Y4" s="2">
        <f>('[1]Qc, Summer, S3'!Y4*Main!$B$5)</f>
        <v>18.058198313361029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3.2344043626809196</v>
      </c>
      <c r="C2" s="2">
        <f>('FL Characterization'!C$4-'FL Characterization'!C$2)*VLOOKUP($A2,'FL Ratio'!$A$2:$B$21,2,FALSE)</f>
        <v>3.5606687359016611</v>
      </c>
      <c r="D2" s="2">
        <f>('FL Characterization'!D$4-'FL Characterization'!D$2)*VLOOKUP($A2,'FL Ratio'!$A$2:$B$21,2,FALSE)</f>
        <v>4.6345485827720134</v>
      </c>
      <c r="E2" s="2">
        <f>('FL Characterization'!E$4-'FL Characterization'!E$2)*VLOOKUP($A2,'FL Ratio'!$A$2:$B$21,2,FALSE)</f>
        <v>5.3133235949431068</v>
      </c>
      <c r="F2" s="2">
        <f>('FL Characterization'!F$4-'FL Characterization'!F$2)*VLOOKUP($A2,'FL Ratio'!$A$2:$B$21,2,FALSE)</f>
        <v>6.2472606819633381</v>
      </c>
      <c r="G2" s="2">
        <f>('FL Characterization'!G$4-'FL Characterization'!G$2)*VLOOKUP($A2,'FL Ratio'!$A$2:$B$21,2,FALSE)</f>
        <v>7.302597945195366</v>
      </c>
      <c r="H2" s="2">
        <f>('FL Characterization'!H$4-'FL Characterization'!H$2)*VLOOKUP($A2,'FL Ratio'!$A$2:$B$21,2,FALSE)</f>
        <v>6.5096113671360332</v>
      </c>
      <c r="I2" s="2">
        <f>('FL Characterization'!I$4-'FL Characterization'!I$2)*VLOOKUP($A2,'FL Ratio'!$A$2:$B$21,2,FALSE)</f>
        <v>9.3062047272453654</v>
      </c>
      <c r="J2" s="2">
        <f>('FL Characterization'!J$4-'FL Characterization'!J$2)*VLOOKUP($A2,'FL Ratio'!$A$2:$B$21,2,FALSE)</f>
        <v>8.5374041278447166</v>
      </c>
      <c r="K2" s="2">
        <f>('FL Characterization'!K$4-'FL Characterization'!K$2)*VLOOKUP($A2,'FL Ratio'!$A$2:$B$21,2,FALSE)</f>
        <v>9.6425018027245208</v>
      </c>
      <c r="L2" s="2">
        <f>('FL Characterization'!L$4-'FL Characterization'!L$2)*VLOOKUP($A2,'FL Ratio'!$A$2:$B$21,2,FALSE)</f>
        <v>9.9099136278757936</v>
      </c>
      <c r="M2" s="2">
        <f>('FL Characterization'!M$4-'FL Characterization'!M$2)*VLOOKUP($A2,'FL Ratio'!$A$2:$B$21,2,FALSE)</f>
        <v>9.1922618944533312</v>
      </c>
      <c r="N2" s="2">
        <f>('FL Characterization'!N$4-'FL Characterization'!N$2)*VLOOKUP($A2,'FL Ratio'!$A$2:$B$21,2,FALSE)</f>
        <v>8.671569126126375</v>
      </c>
      <c r="O2" s="2">
        <f>('FL Characterization'!O$4-'FL Characterization'!O$2)*VLOOKUP($A2,'FL Ratio'!$A$2:$B$21,2,FALSE)</f>
        <v>7.983433244437383</v>
      </c>
      <c r="P2" s="2">
        <f>('FL Characterization'!P$4-'FL Characterization'!P$2)*VLOOKUP($A2,'FL Ratio'!$A$2:$B$21,2,FALSE)</f>
        <v>7.3536124446254449</v>
      </c>
      <c r="Q2" s="2">
        <f>('FL Characterization'!Q$4-'FL Characterization'!Q$2)*VLOOKUP($A2,'FL Ratio'!$A$2:$B$21,2,FALSE)</f>
        <v>6.6181571435792286</v>
      </c>
      <c r="R2" s="2">
        <f>('FL Characterization'!R$4-'FL Characterization'!R$2)*VLOOKUP($A2,'FL Ratio'!$A$2:$B$21,2,FALSE)</f>
        <v>6.5492718932513405</v>
      </c>
      <c r="S2" s="2">
        <f>('FL Characterization'!S$4-'FL Characterization'!S$2)*VLOOKUP($A2,'FL Ratio'!$A$2:$B$21,2,FALSE)</f>
        <v>5.1890569323717637</v>
      </c>
      <c r="T2" s="2">
        <f>('FL Characterization'!T$4-'FL Characterization'!T$2)*VLOOKUP($A2,'FL Ratio'!$A$2:$B$21,2,FALSE)</f>
        <v>4.2933247338623817</v>
      </c>
      <c r="U2" s="2">
        <f>('FL Characterization'!U$4-'FL Characterization'!U$2)*VLOOKUP($A2,'FL Ratio'!$A$2:$B$21,2,FALSE)</f>
        <v>5.0945972490547842</v>
      </c>
      <c r="V2" s="2">
        <f>('FL Characterization'!V$4-'FL Characterization'!V$2)*VLOOKUP($A2,'FL Ratio'!$A$2:$B$21,2,FALSE)</f>
        <v>5.1908932751958492</v>
      </c>
      <c r="W2" s="2">
        <f>('FL Characterization'!W$4-'FL Characterization'!W$2)*VLOOKUP($A2,'FL Ratio'!$A$2:$B$21,2,FALSE)</f>
        <v>5.9321487322352144</v>
      </c>
      <c r="X2" s="2">
        <f>('FL Characterization'!X$4-'FL Characterization'!X$2)*VLOOKUP($A2,'FL Ratio'!$A$2:$B$21,2,FALSE)</f>
        <v>2.8803709028520581</v>
      </c>
      <c r="Y2" s="2">
        <f>('FL Characterization'!Y$4-'FL Characterization'!Y$2)*VLOOKUP($A2,'FL Ratio'!$A$2:$B$21,2,FALSE)</f>
        <v>2.7654875042232989</v>
      </c>
    </row>
    <row r="3" spans="1:25" x14ac:dyDescent="0.3">
      <c r="A3">
        <v>2</v>
      </c>
      <c r="B3" s="2">
        <f>('FL Characterization'!B$4-'FL Characterization'!B$2)*VLOOKUP($A3,'FL Ratio'!$A$2:$B$21,2,FALSE)</f>
        <v>3.2344043626809196</v>
      </c>
      <c r="C3" s="2">
        <f>('FL Characterization'!C$4-'FL Characterization'!C$2)*VLOOKUP($A3,'FL Ratio'!$A$2:$B$21,2,FALSE)</f>
        <v>3.5606687359016611</v>
      </c>
      <c r="D3" s="2">
        <f>('FL Characterization'!D$4-'FL Characterization'!D$2)*VLOOKUP($A3,'FL Ratio'!$A$2:$B$21,2,FALSE)</f>
        <v>4.6345485827720134</v>
      </c>
      <c r="E3" s="2">
        <f>('FL Characterization'!E$4-'FL Characterization'!E$2)*VLOOKUP($A3,'FL Ratio'!$A$2:$B$21,2,FALSE)</f>
        <v>5.3133235949431068</v>
      </c>
      <c r="F3" s="2">
        <f>('FL Characterization'!F$4-'FL Characterization'!F$2)*VLOOKUP($A3,'FL Ratio'!$A$2:$B$21,2,FALSE)</f>
        <v>6.2472606819633381</v>
      </c>
      <c r="G3" s="2">
        <f>('FL Characterization'!G$4-'FL Characterization'!G$2)*VLOOKUP($A3,'FL Ratio'!$A$2:$B$21,2,FALSE)</f>
        <v>7.302597945195366</v>
      </c>
      <c r="H3" s="2">
        <f>('FL Characterization'!H$4-'FL Characterization'!H$2)*VLOOKUP($A3,'FL Ratio'!$A$2:$B$21,2,FALSE)</f>
        <v>6.5096113671360332</v>
      </c>
      <c r="I3" s="2">
        <f>('FL Characterization'!I$4-'FL Characterization'!I$2)*VLOOKUP($A3,'FL Ratio'!$A$2:$B$21,2,FALSE)</f>
        <v>9.3062047272453654</v>
      </c>
      <c r="J3" s="2">
        <f>('FL Characterization'!J$4-'FL Characterization'!J$2)*VLOOKUP($A3,'FL Ratio'!$A$2:$B$21,2,FALSE)</f>
        <v>8.5374041278447166</v>
      </c>
      <c r="K3" s="2">
        <f>('FL Characterization'!K$4-'FL Characterization'!K$2)*VLOOKUP($A3,'FL Ratio'!$A$2:$B$21,2,FALSE)</f>
        <v>9.6425018027245208</v>
      </c>
      <c r="L3" s="2">
        <f>('FL Characterization'!L$4-'FL Characterization'!L$2)*VLOOKUP($A3,'FL Ratio'!$A$2:$B$21,2,FALSE)</f>
        <v>9.9099136278757936</v>
      </c>
      <c r="M3" s="2">
        <f>('FL Characterization'!M$4-'FL Characterization'!M$2)*VLOOKUP($A3,'FL Ratio'!$A$2:$B$21,2,FALSE)</f>
        <v>9.1922618944533312</v>
      </c>
      <c r="N3" s="2">
        <f>('FL Characterization'!N$4-'FL Characterization'!N$2)*VLOOKUP($A3,'FL Ratio'!$A$2:$B$21,2,FALSE)</f>
        <v>8.671569126126375</v>
      </c>
      <c r="O3" s="2">
        <f>('FL Characterization'!O$4-'FL Characterization'!O$2)*VLOOKUP($A3,'FL Ratio'!$A$2:$B$21,2,FALSE)</f>
        <v>7.983433244437383</v>
      </c>
      <c r="P3" s="2">
        <f>('FL Characterization'!P$4-'FL Characterization'!P$2)*VLOOKUP($A3,'FL Ratio'!$A$2:$B$21,2,FALSE)</f>
        <v>7.3536124446254449</v>
      </c>
      <c r="Q3" s="2">
        <f>('FL Characterization'!Q$4-'FL Characterization'!Q$2)*VLOOKUP($A3,'FL Ratio'!$A$2:$B$21,2,FALSE)</f>
        <v>6.6181571435792286</v>
      </c>
      <c r="R3" s="2">
        <f>('FL Characterization'!R$4-'FL Characterization'!R$2)*VLOOKUP($A3,'FL Ratio'!$A$2:$B$21,2,FALSE)</f>
        <v>6.5492718932513405</v>
      </c>
      <c r="S3" s="2">
        <f>('FL Characterization'!S$4-'FL Characterization'!S$2)*VLOOKUP($A3,'FL Ratio'!$A$2:$B$21,2,FALSE)</f>
        <v>5.1890569323717637</v>
      </c>
      <c r="T3" s="2">
        <f>('FL Characterization'!T$4-'FL Characterization'!T$2)*VLOOKUP($A3,'FL Ratio'!$A$2:$B$21,2,FALSE)</f>
        <v>4.2933247338623817</v>
      </c>
      <c r="U3" s="2">
        <f>('FL Characterization'!U$4-'FL Characterization'!U$2)*VLOOKUP($A3,'FL Ratio'!$A$2:$B$21,2,FALSE)</f>
        <v>5.0945972490547842</v>
      </c>
      <c r="V3" s="2">
        <f>('FL Characterization'!V$4-'FL Characterization'!V$2)*VLOOKUP($A3,'FL Ratio'!$A$2:$B$21,2,FALSE)</f>
        <v>5.1908932751958492</v>
      </c>
      <c r="W3" s="2">
        <f>('FL Characterization'!W$4-'FL Characterization'!W$2)*VLOOKUP($A3,'FL Ratio'!$A$2:$B$21,2,FALSE)</f>
        <v>5.9321487322352144</v>
      </c>
      <c r="X3" s="2">
        <f>('FL Characterization'!X$4-'FL Characterization'!X$2)*VLOOKUP($A3,'FL Ratio'!$A$2:$B$21,2,FALSE)</f>
        <v>2.8803709028520581</v>
      </c>
      <c r="Y3" s="2">
        <f>('FL Characterization'!Y$4-'FL Characterization'!Y$2)*VLOOKUP($A3,'FL Ratio'!$A$2:$B$21,2,FALSE)</f>
        <v>2.7654875042232989</v>
      </c>
    </row>
    <row r="4" spans="1:25" x14ac:dyDescent="0.3">
      <c r="A4">
        <v>3</v>
      </c>
      <c r="B4" s="2">
        <f>('FL Characterization'!B$4-'FL Characterization'!B$2)*VLOOKUP($A4,'FL Ratio'!$A$2:$B$21,2,FALSE)</f>
        <v>3.2344043626809196</v>
      </c>
      <c r="C4" s="2">
        <f>('FL Characterization'!C$4-'FL Characterization'!C$2)*VLOOKUP($A4,'FL Ratio'!$A$2:$B$21,2,FALSE)</f>
        <v>3.5606687359016611</v>
      </c>
      <c r="D4" s="2">
        <f>('FL Characterization'!D$4-'FL Characterization'!D$2)*VLOOKUP($A4,'FL Ratio'!$A$2:$B$21,2,FALSE)</f>
        <v>4.6345485827720134</v>
      </c>
      <c r="E4" s="2">
        <f>('FL Characterization'!E$4-'FL Characterization'!E$2)*VLOOKUP($A4,'FL Ratio'!$A$2:$B$21,2,FALSE)</f>
        <v>5.3133235949431068</v>
      </c>
      <c r="F4" s="2">
        <f>('FL Characterization'!F$4-'FL Characterization'!F$2)*VLOOKUP($A4,'FL Ratio'!$A$2:$B$21,2,FALSE)</f>
        <v>6.2472606819633381</v>
      </c>
      <c r="G4" s="2">
        <f>('FL Characterization'!G$4-'FL Characterization'!G$2)*VLOOKUP($A4,'FL Ratio'!$A$2:$B$21,2,FALSE)</f>
        <v>7.302597945195366</v>
      </c>
      <c r="H4" s="2">
        <f>('FL Characterization'!H$4-'FL Characterization'!H$2)*VLOOKUP($A4,'FL Ratio'!$A$2:$B$21,2,FALSE)</f>
        <v>6.5096113671360332</v>
      </c>
      <c r="I4" s="2">
        <f>('FL Characterization'!I$4-'FL Characterization'!I$2)*VLOOKUP($A4,'FL Ratio'!$A$2:$B$21,2,FALSE)</f>
        <v>9.3062047272453654</v>
      </c>
      <c r="J4" s="2">
        <f>('FL Characterization'!J$4-'FL Characterization'!J$2)*VLOOKUP($A4,'FL Ratio'!$A$2:$B$21,2,FALSE)</f>
        <v>8.5374041278447166</v>
      </c>
      <c r="K4" s="2">
        <f>('FL Characterization'!K$4-'FL Characterization'!K$2)*VLOOKUP($A4,'FL Ratio'!$A$2:$B$21,2,FALSE)</f>
        <v>9.6425018027245208</v>
      </c>
      <c r="L4" s="2">
        <f>('FL Characterization'!L$4-'FL Characterization'!L$2)*VLOOKUP($A4,'FL Ratio'!$A$2:$B$21,2,FALSE)</f>
        <v>9.9099136278757936</v>
      </c>
      <c r="M4" s="2">
        <f>('FL Characterization'!M$4-'FL Characterization'!M$2)*VLOOKUP($A4,'FL Ratio'!$A$2:$B$21,2,FALSE)</f>
        <v>9.1922618944533312</v>
      </c>
      <c r="N4" s="2">
        <f>('FL Characterization'!N$4-'FL Characterization'!N$2)*VLOOKUP($A4,'FL Ratio'!$A$2:$B$21,2,FALSE)</f>
        <v>8.671569126126375</v>
      </c>
      <c r="O4" s="2">
        <f>('FL Characterization'!O$4-'FL Characterization'!O$2)*VLOOKUP($A4,'FL Ratio'!$A$2:$B$21,2,FALSE)</f>
        <v>7.983433244437383</v>
      </c>
      <c r="P4" s="2">
        <f>('FL Characterization'!P$4-'FL Characterization'!P$2)*VLOOKUP($A4,'FL Ratio'!$A$2:$B$21,2,FALSE)</f>
        <v>7.3536124446254449</v>
      </c>
      <c r="Q4" s="2">
        <f>('FL Characterization'!Q$4-'FL Characterization'!Q$2)*VLOOKUP($A4,'FL Ratio'!$A$2:$B$21,2,FALSE)</f>
        <v>6.6181571435792286</v>
      </c>
      <c r="R4" s="2">
        <f>('FL Characterization'!R$4-'FL Characterization'!R$2)*VLOOKUP($A4,'FL Ratio'!$A$2:$B$21,2,FALSE)</f>
        <v>6.5492718932513405</v>
      </c>
      <c r="S4" s="2">
        <f>('FL Characterization'!S$4-'FL Characterization'!S$2)*VLOOKUP($A4,'FL Ratio'!$A$2:$B$21,2,FALSE)</f>
        <v>5.1890569323717637</v>
      </c>
      <c r="T4" s="2">
        <f>('FL Characterization'!T$4-'FL Characterization'!T$2)*VLOOKUP($A4,'FL Ratio'!$A$2:$B$21,2,FALSE)</f>
        <v>4.2933247338623817</v>
      </c>
      <c r="U4" s="2">
        <f>('FL Characterization'!U$4-'FL Characterization'!U$2)*VLOOKUP($A4,'FL Ratio'!$A$2:$B$21,2,FALSE)</f>
        <v>5.0945972490547842</v>
      </c>
      <c r="V4" s="2">
        <f>('FL Characterization'!V$4-'FL Characterization'!V$2)*VLOOKUP($A4,'FL Ratio'!$A$2:$B$21,2,FALSE)</f>
        <v>5.1908932751958492</v>
      </c>
      <c r="W4" s="2">
        <f>('FL Characterization'!W$4-'FL Characterization'!W$2)*VLOOKUP($A4,'FL Ratio'!$A$2:$B$21,2,FALSE)</f>
        <v>5.9321487322352144</v>
      </c>
      <c r="X4" s="2">
        <f>('FL Characterization'!X$4-'FL Characterization'!X$2)*VLOOKUP($A4,'FL Ratio'!$A$2:$B$21,2,FALSE)</f>
        <v>2.8803709028520581</v>
      </c>
      <c r="Y4" s="2">
        <f>('FL Characterization'!Y$4-'FL Characterization'!Y$2)*VLOOKUP($A4,'FL Ratio'!$A$2:$B$21,2,FALSE)</f>
        <v>2.7654875042232989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8.9669515877079213</v>
      </c>
      <c r="C2" s="2">
        <f>('FL Characterization'!C$2-'FL Characterization'!C$3)*VLOOKUP($A2,'FL Ratio'!$A$2:$B$21,2,FALSE)</f>
        <v>9.4896374598317514</v>
      </c>
      <c r="D2" s="2">
        <f>('FL Characterization'!D$2-'FL Characterization'!D$3)*VLOOKUP($A2,'FL Ratio'!$A$2:$B$21,2,FALSE)</f>
        <v>10.020833213335489</v>
      </c>
      <c r="E2" s="2">
        <f>('FL Characterization'!E$2-'FL Characterization'!E$3)*VLOOKUP($A2,'FL Ratio'!$A$2:$B$21,2,FALSE)</f>
        <v>10.476335811407413</v>
      </c>
      <c r="F2" s="2">
        <f>('FL Characterization'!F$2-'FL Characterization'!F$3)*VLOOKUP($A2,'FL Ratio'!$A$2:$B$21,2,FALSE)</f>
        <v>10.595250206479289</v>
      </c>
      <c r="G2" s="2">
        <f>('FL Characterization'!G$2-'FL Characterization'!G$3)*VLOOKUP($A2,'FL Ratio'!$A$2:$B$21,2,FALSE)</f>
        <v>11.083224720342965</v>
      </c>
      <c r="H2" s="2">
        <f>('FL Characterization'!H$2-'FL Characterization'!H$3)*VLOOKUP($A2,'FL Ratio'!$A$2:$B$21,2,FALSE)</f>
        <v>11.026566825892527</v>
      </c>
      <c r="I2" s="2">
        <f>('FL Characterization'!I$2-'FL Characterization'!I$3)*VLOOKUP($A2,'FL Ratio'!$A$2:$B$21,2,FALSE)</f>
        <v>10.422678769864625</v>
      </c>
      <c r="J2" s="2">
        <f>('FL Characterization'!J$2-'FL Characterization'!J$3)*VLOOKUP($A2,'FL Ratio'!$A$2:$B$21,2,FALSE)</f>
        <v>9.4433705784346724</v>
      </c>
      <c r="K2" s="2">
        <f>('FL Characterization'!K$2-'FL Characterization'!K$3)*VLOOKUP($A2,'FL Ratio'!$A$2:$B$21,2,FALSE)</f>
        <v>13.867321991478644</v>
      </c>
      <c r="L2" s="2">
        <f>('FL Characterization'!L$2-'FL Characterization'!L$3)*VLOOKUP($A2,'FL Ratio'!$A$2:$B$21,2,FALSE)</f>
        <v>13.541998184094632</v>
      </c>
      <c r="M2" s="2">
        <f>('FL Characterization'!M$2-'FL Characterization'!M$3)*VLOOKUP($A2,'FL Ratio'!$A$2:$B$21,2,FALSE)</f>
        <v>12.469753130226206</v>
      </c>
      <c r="N2" s="2">
        <f>('FL Characterization'!N$2-'FL Characterization'!N$3)*VLOOKUP($A2,'FL Ratio'!$A$2:$B$21,2,FALSE)</f>
        <v>12.166756564252111</v>
      </c>
      <c r="O2" s="2">
        <f>('FL Characterization'!O$2-'FL Characterization'!O$3)*VLOOKUP($A2,'FL Ratio'!$A$2:$B$21,2,FALSE)</f>
        <v>12.216763314571413</v>
      </c>
      <c r="P2" s="2">
        <f>('FL Characterization'!P$2-'FL Characterization'!P$3)*VLOOKUP($A2,'FL Ratio'!$A$2:$B$21,2,FALSE)</f>
        <v>11.637979408614239</v>
      </c>
      <c r="Q2" s="2">
        <f>('FL Characterization'!Q$2-'FL Characterization'!Q$3)*VLOOKUP($A2,'FL Ratio'!$A$2:$B$21,2,FALSE)</f>
        <v>10.667942509003449</v>
      </c>
      <c r="R2" s="2">
        <f>('FL Characterization'!R$2-'FL Characterization'!R$3)*VLOOKUP($A2,'FL Ratio'!$A$2:$B$21,2,FALSE)</f>
        <v>9.5875906733994327</v>
      </c>
      <c r="S2" s="2">
        <f>('FL Characterization'!S$2-'FL Characterization'!S$3)*VLOOKUP($A2,'FL Ratio'!$A$2:$B$21,2,FALSE)</f>
        <v>9.2436570991030393</v>
      </c>
      <c r="T2" s="2">
        <f>('FL Characterization'!T$2-'FL Characterization'!T$3)*VLOOKUP($A2,'FL Ratio'!$A$2:$B$21,2,FALSE)</f>
        <v>5.8105246117765796</v>
      </c>
      <c r="U2" s="2">
        <f>('FL Characterization'!U$2-'FL Characterization'!U$3)*VLOOKUP($A2,'FL Ratio'!$A$2:$B$21,2,FALSE)</f>
        <v>6.2138258059101732</v>
      </c>
      <c r="V2" s="2">
        <f>('FL Characterization'!V$2-'FL Characterization'!V$3)*VLOOKUP($A2,'FL Ratio'!$A$2:$B$21,2,FALSE)</f>
        <v>6.7937070386768585</v>
      </c>
      <c r="W2" s="2">
        <f>('FL Characterization'!W$2-'FL Characterization'!W$3)*VLOOKUP($A2,'FL Ratio'!$A$2:$B$21,2,FALSE)</f>
        <v>6.9558202789641088</v>
      </c>
      <c r="X2" s="2">
        <f>('FL Characterization'!X$2-'FL Characterization'!X$3)*VLOOKUP($A2,'FL Ratio'!$A$2:$B$21,2,FALSE)</f>
        <v>7.2544499321248326</v>
      </c>
      <c r="Y2" s="2">
        <f>('FL Characterization'!Y$2-'FL Characterization'!Y$3)*VLOOKUP($A2,'FL Ratio'!$A$2:$B$21,2,FALSE)</f>
        <v>8.0075744342467008</v>
      </c>
    </row>
    <row r="3" spans="1:25" x14ac:dyDescent="0.3">
      <c r="A3">
        <v>2</v>
      </c>
      <c r="B3" s="2">
        <f>('FL Characterization'!B$2-'FL Characterization'!B$3)*VLOOKUP($A3,'FL Ratio'!$A$2:$B$21,2,FALSE)</f>
        <v>8.9669515877079213</v>
      </c>
      <c r="C3" s="2">
        <f>('FL Characterization'!C$2-'FL Characterization'!C$3)*VLOOKUP($A3,'FL Ratio'!$A$2:$B$21,2,FALSE)</f>
        <v>9.4896374598317514</v>
      </c>
      <c r="D3" s="2">
        <f>('FL Characterization'!D$2-'FL Characterization'!D$3)*VLOOKUP($A3,'FL Ratio'!$A$2:$B$21,2,FALSE)</f>
        <v>10.020833213335489</v>
      </c>
      <c r="E3" s="2">
        <f>('FL Characterization'!E$2-'FL Characterization'!E$3)*VLOOKUP($A3,'FL Ratio'!$A$2:$B$21,2,FALSE)</f>
        <v>10.476335811407413</v>
      </c>
      <c r="F3" s="2">
        <f>('FL Characterization'!F$2-'FL Characterization'!F$3)*VLOOKUP($A3,'FL Ratio'!$A$2:$B$21,2,FALSE)</f>
        <v>10.595250206479289</v>
      </c>
      <c r="G3" s="2">
        <f>('FL Characterization'!G$2-'FL Characterization'!G$3)*VLOOKUP($A3,'FL Ratio'!$A$2:$B$21,2,FALSE)</f>
        <v>11.083224720342965</v>
      </c>
      <c r="H3" s="2">
        <f>('FL Characterization'!H$2-'FL Characterization'!H$3)*VLOOKUP($A3,'FL Ratio'!$A$2:$B$21,2,FALSE)</f>
        <v>11.026566825892527</v>
      </c>
      <c r="I3" s="2">
        <f>('FL Characterization'!I$2-'FL Characterization'!I$3)*VLOOKUP($A3,'FL Ratio'!$A$2:$B$21,2,FALSE)</f>
        <v>10.422678769864625</v>
      </c>
      <c r="J3" s="2">
        <f>('FL Characterization'!J$2-'FL Characterization'!J$3)*VLOOKUP($A3,'FL Ratio'!$A$2:$B$21,2,FALSE)</f>
        <v>9.4433705784346724</v>
      </c>
      <c r="K3" s="2">
        <f>('FL Characterization'!K$2-'FL Characterization'!K$3)*VLOOKUP($A3,'FL Ratio'!$A$2:$B$21,2,FALSE)</f>
        <v>13.867321991478644</v>
      </c>
      <c r="L3" s="2">
        <f>('FL Characterization'!L$2-'FL Characterization'!L$3)*VLOOKUP($A3,'FL Ratio'!$A$2:$B$21,2,FALSE)</f>
        <v>13.541998184094632</v>
      </c>
      <c r="M3" s="2">
        <f>('FL Characterization'!M$2-'FL Characterization'!M$3)*VLOOKUP($A3,'FL Ratio'!$A$2:$B$21,2,FALSE)</f>
        <v>12.469753130226206</v>
      </c>
      <c r="N3" s="2">
        <f>('FL Characterization'!N$2-'FL Characterization'!N$3)*VLOOKUP($A3,'FL Ratio'!$A$2:$B$21,2,FALSE)</f>
        <v>12.166756564252111</v>
      </c>
      <c r="O3" s="2">
        <f>('FL Characterization'!O$2-'FL Characterization'!O$3)*VLOOKUP($A3,'FL Ratio'!$A$2:$B$21,2,FALSE)</f>
        <v>12.216763314571413</v>
      </c>
      <c r="P3" s="2">
        <f>('FL Characterization'!P$2-'FL Characterization'!P$3)*VLOOKUP($A3,'FL Ratio'!$A$2:$B$21,2,FALSE)</f>
        <v>11.637979408614239</v>
      </c>
      <c r="Q3" s="2">
        <f>('FL Characterization'!Q$2-'FL Characterization'!Q$3)*VLOOKUP($A3,'FL Ratio'!$A$2:$B$21,2,FALSE)</f>
        <v>10.667942509003449</v>
      </c>
      <c r="R3" s="2">
        <f>('FL Characterization'!R$2-'FL Characterization'!R$3)*VLOOKUP($A3,'FL Ratio'!$A$2:$B$21,2,FALSE)</f>
        <v>9.5875906733994327</v>
      </c>
      <c r="S3" s="2">
        <f>('FL Characterization'!S$2-'FL Characterization'!S$3)*VLOOKUP($A3,'FL Ratio'!$A$2:$B$21,2,FALSE)</f>
        <v>9.2436570991030393</v>
      </c>
      <c r="T3" s="2">
        <f>('FL Characterization'!T$2-'FL Characterization'!T$3)*VLOOKUP($A3,'FL Ratio'!$A$2:$B$21,2,FALSE)</f>
        <v>5.8105246117765796</v>
      </c>
      <c r="U3" s="2">
        <f>('FL Characterization'!U$2-'FL Characterization'!U$3)*VLOOKUP($A3,'FL Ratio'!$A$2:$B$21,2,FALSE)</f>
        <v>6.2138258059101732</v>
      </c>
      <c r="V3" s="2">
        <f>('FL Characterization'!V$2-'FL Characterization'!V$3)*VLOOKUP($A3,'FL Ratio'!$A$2:$B$21,2,FALSE)</f>
        <v>6.7937070386768585</v>
      </c>
      <c r="W3" s="2">
        <f>('FL Characterization'!W$2-'FL Characterization'!W$3)*VLOOKUP($A3,'FL Ratio'!$A$2:$B$21,2,FALSE)</f>
        <v>6.9558202789641088</v>
      </c>
      <c r="X3" s="2">
        <f>('FL Characterization'!X$2-'FL Characterization'!X$3)*VLOOKUP($A3,'FL Ratio'!$A$2:$B$21,2,FALSE)</f>
        <v>7.2544499321248326</v>
      </c>
      <c r="Y3" s="2">
        <f>('FL Characterization'!Y$2-'FL Characterization'!Y$3)*VLOOKUP($A3,'FL Ratio'!$A$2:$B$21,2,FALSE)</f>
        <v>8.0075744342467008</v>
      </c>
    </row>
    <row r="4" spans="1:25" x14ac:dyDescent="0.3">
      <c r="A4">
        <v>3</v>
      </c>
      <c r="B4" s="2">
        <f>('FL Characterization'!B$2-'FL Characterization'!B$3)*VLOOKUP($A4,'FL Ratio'!$A$2:$B$21,2,FALSE)</f>
        <v>8.9669515877079213</v>
      </c>
      <c r="C4" s="2">
        <f>('FL Characterization'!C$2-'FL Characterization'!C$3)*VLOOKUP($A4,'FL Ratio'!$A$2:$B$21,2,FALSE)</f>
        <v>9.4896374598317514</v>
      </c>
      <c r="D4" s="2">
        <f>('FL Characterization'!D$2-'FL Characterization'!D$3)*VLOOKUP($A4,'FL Ratio'!$A$2:$B$21,2,FALSE)</f>
        <v>10.020833213335489</v>
      </c>
      <c r="E4" s="2">
        <f>('FL Characterization'!E$2-'FL Characterization'!E$3)*VLOOKUP($A4,'FL Ratio'!$A$2:$B$21,2,FALSE)</f>
        <v>10.476335811407413</v>
      </c>
      <c r="F4" s="2">
        <f>('FL Characterization'!F$2-'FL Characterization'!F$3)*VLOOKUP($A4,'FL Ratio'!$A$2:$B$21,2,FALSE)</f>
        <v>10.595250206479289</v>
      </c>
      <c r="G4" s="2">
        <f>('FL Characterization'!G$2-'FL Characterization'!G$3)*VLOOKUP($A4,'FL Ratio'!$A$2:$B$21,2,FALSE)</f>
        <v>11.083224720342965</v>
      </c>
      <c r="H4" s="2">
        <f>('FL Characterization'!H$2-'FL Characterization'!H$3)*VLOOKUP($A4,'FL Ratio'!$A$2:$B$21,2,FALSE)</f>
        <v>11.026566825892527</v>
      </c>
      <c r="I4" s="2">
        <f>('FL Characterization'!I$2-'FL Characterization'!I$3)*VLOOKUP($A4,'FL Ratio'!$A$2:$B$21,2,FALSE)</f>
        <v>10.422678769864625</v>
      </c>
      <c r="J4" s="2">
        <f>('FL Characterization'!J$2-'FL Characterization'!J$3)*VLOOKUP($A4,'FL Ratio'!$A$2:$B$21,2,FALSE)</f>
        <v>9.4433705784346724</v>
      </c>
      <c r="K4" s="2">
        <f>('FL Characterization'!K$2-'FL Characterization'!K$3)*VLOOKUP($A4,'FL Ratio'!$A$2:$B$21,2,FALSE)</f>
        <v>13.867321991478644</v>
      </c>
      <c r="L4" s="2">
        <f>('FL Characterization'!L$2-'FL Characterization'!L$3)*VLOOKUP($A4,'FL Ratio'!$A$2:$B$21,2,FALSE)</f>
        <v>13.541998184094632</v>
      </c>
      <c r="M4" s="2">
        <f>('FL Characterization'!M$2-'FL Characterization'!M$3)*VLOOKUP($A4,'FL Ratio'!$A$2:$B$21,2,FALSE)</f>
        <v>12.469753130226206</v>
      </c>
      <c r="N4" s="2">
        <f>('FL Characterization'!N$2-'FL Characterization'!N$3)*VLOOKUP($A4,'FL Ratio'!$A$2:$B$21,2,FALSE)</f>
        <v>12.166756564252111</v>
      </c>
      <c r="O4" s="2">
        <f>('FL Characterization'!O$2-'FL Characterization'!O$3)*VLOOKUP($A4,'FL Ratio'!$A$2:$B$21,2,FALSE)</f>
        <v>12.216763314571413</v>
      </c>
      <c r="P4" s="2">
        <f>('FL Characterization'!P$2-'FL Characterization'!P$3)*VLOOKUP($A4,'FL Ratio'!$A$2:$B$21,2,FALSE)</f>
        <v>11.637979408614239</v>
      </c>
      <c r="Q4" s="2">
        <f>('FL Characterization'!Q$2-'FL Characterization'!Q$3)*VLOOKUP($A4,'FL Ratio'!$A$2:$B$21,2,FALSE)</f>
        <v>10.667942509003449</v>
      </c>
      <c r="R4" s="2">
        <f>('FL Characterization'!R$2-'FL Characterization'!R$3)*VLOOKUP($A4,'FL Ratio'!$A$2:$B$21,2,FALSE)</f>
        <v>9.5875906733994327</v>
      </c>
      <c r="S4" s="2">
        <f>('FL Characterization'!S$2-'FL Characterization'!S$3)*VLOOKUP($A4,'FL Ratio'!$A$2:$B$21,2,FALSE)</f>
        <v>9.2436570991030393</v>
      </c>
      <c r="T4" s="2">
        <f>('FL Characterization'!T$2-'FL Characterization'!T$3)*VLOOKUP($A4,'FL Ratio'!$A$2:$B$21,2,FALSE)</f>
        <v>5.8105246117765796</v>
      </c>
      <c r="U4" s="2">
        <f>('FL Characterization'!U$2-'FL Characterization'!U$3)*VLOOKUP($A4,'FL Ratio'!$A$2:$B$21,2,FALSE)</f>
        <v>6.2138258059101732</v>
      </c>
      <c r="V4" s="2">
        <f>('FL Characterization'!V$2-'FL Characterization'!V$3)*VLOOKUP($A4,'FL Ratio'!$A$2:$B$21,2,FALSE)</f>
        <v>6.7937070386768585</v>
      </c>
      <c r="W4" s="2">
        <f>('FL Characterization'!W$2-'FL Characterization'!W$3)*VLOOKUP($A4,'FL Ratio'!$A$2:$B$21,2,FALSE)</f>
        <v>6.9558202789641088</v>
      </c>
      <c r="X4" s="2">
        <f>('FL Characterization'!X$2-'FL Characterization'!X$3)*VLOOKUP($A4,'FL Ratio'!$A$2:$B$21,2,FALSE)</f>
        <v>7.2544499321248326</v>
      </c>
      <c r="Y4" s="2">
        <f>('FL Characterization'!Y$2-'FL Characterization'!Y$3)*VLOOKUP($A4,'FL Ratio'!$A$2:$B$21,2,FALSE)</f>
        <v>8.0075744342467008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AD65C-DBC9-40DA-ABEE-816149CE725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788BB-74A3-477E-9B6F-19351CC6CB9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C5497-56F8-42F6-A945-D4621CE2E97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6CB5B-1DB1-4676-8A26-9AF5B04E0EB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C413D-0BEB-471A-B6EA-DAA8F892829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E476F-F11C-4FAD-8739-487008AFFD05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2489A-F098-4871-AA5A-66ECC461660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0039B-D4D9-47D8-9308-A8064C02CC8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FA8B6-75B5-460C-B501-FE7E84FD18F4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F412E-03FF-4CAB-85E1-C58A8E86AF6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4C76-9EDF-4252-BA3B-EDA21B947A80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EE3FA-BE46-4CB7-AE43-AF4A1A10FF9F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588C4-FEB5-4FAF-AB77-B6253D8060E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6E660-9D0F-4249-B1FF-B682310B935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111CC-BA89-4319-A364-266BB9C3D1D8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171DE-90DC-45C2-9AB6-C7985623333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2334F-2329-484F-A3BB-F1C62E3D76A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EBA2-B0AD-4F22-9BB6-F0186F579EA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10"/>
  <sheetViews>
    <sheetView topLeftCell="G1" workbookViewId="0">
      <selection activeCell="M10" sqref="M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86DA5-92A0-4EFF-BFF4-80CC021F38B7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40.443869618192018</v>
      </c>
      <c r="C2" s="2">
        <f>('[1]Pc, Summer, S1'!C2*Main!$B$5)+(_xlfn.IFNA(VLOOKUP($A2,'FL Ratio'!$A$3:$B$10,2,FALSE),0)*'FL Characterization'!C$2)</f>
        <v>36.745065440656099</v>
      </c>
      <c r="D2" s="2">
        <f>('[1]Pc, Summer, S1'!D2*Main!$B$5)+(_xlfn.IFNA(VLOOKUP($A2,'FL Ratio'!$A$3:$B$10,2,FALSE),0)*'FL Characterization'!D$2)</f>
        <v>36.10322464768268</v>
      </c>
      <c r="E2" s="2">
        <f>('[1]Pc, Summer, S1'!E2*Main!$B$5)+(_xlfn.IFNA(VLOOKUP($A2,'FL Ratio'!$A$3:$B$10,2,FALSE),0)*'FL Characterization'!E$2)</f>
        <v>36.010996647964006</v>
      </c>
      <c r="F2" s="2">
        <f>('[1]Pc, Summer, S1'!F2*Main!$B$5)+(_xlfn.IFNA(VLOOKUP($A2,'FL Ratio'!$A$3:$B$10,2,FALSE),0)*'FL Characterization'!F$2)</f>
        <v>36.013835758914318</v>
      </c>
      <c r="G2" s="2">
        <f>('[1]Pc, Summer, S1'!G2*Main!$B$5)+(_xlfn.IFNA(VLOOKUP($A2,'FL Ratio'!$A$3:$B$10,2,FALSE),0)*'FL Characterization'!G$2)</f>
        <v>35.695339918477231</v>
      </c>
      <c r="H2" s="2">
        <f>('[1]Pc, Summer, S1'!H2*Main!$B$5)+(_xlfn.IFNA(VLOOKUP($A2,'FL Ratio'!$A$3:$B$10,2,FALSE),0)*'FL Characterization'!H$2)</f>
        <v>38.536305853521313</v>
      </c>
      <c r="I2" s="2">
        <f>('[1]Pc, Summer, S1'!I2*Main!$B$5)+(_xlfn.IFNA(VLOOKUP($A2,'FL Ratio'!$A$3:$B$10,2,FALSE),0)*'FL Characterization'!I$2)</f>
        <v>45.752009772964556</v>
      </c>
      <c r="J2" s="2">
        <f>('[1]Pc, Summer, S1'!J2*Main!$B$5)+(_xlfn.IFNA(VLOOKUP($A2,'FL Ratio'!$A$3:$B$10,2,FALSE),0)*'FL Characterization'!J$2)</f>
        <v>52.144281703673016</v>
      </c>
      <c r="K2" s="2">
        <f>('[1]Pc, Summer, S1'!K2*Main!$B$5)+(_xlfn.IFNA(VLOOKUP($A2,'FL Ratio'!$A$3:$B$10,2,FALSE),0)*'FL Characterization'!K$2)</f>
        <v>53.746573760336346</v>
      </c>
      <c r="L2" s="2">
        <f>('[1]Pc, Summer, S1'!L2*Main!$B$5)+(_xlfn.IFNA(VLOOKUP($A2,'FL Ratio'!$A$3:$B$10,2,FALSE),0)*'FL Characterization'!L$2)</f>
        <v>53.202672772415909</v>
      </c>
      <c r="M2" s="2">
        <f>('[1]Pc, Summer, S1'!M2*Main!$B$5)+(_xlfn.IFNA(VLOOKUP($A2,'FL Ratio'!$A$3:$B$10,2,FALSE),0)*'FL Characterization'!M$2)</f>
        <v>54.707170289733568</v>
      </c>
      <c r="N2" s="2">
        <f>('[1]Pc, Summer, S1'!N2*Main!$B$5)+(_xlfn.IFNA(VLOOKUP($A2,'FL Ratio'!$A$3:$B$10,2,FALSE),0)*'FL Characterization'!N$2)</f>
        <v>55.457637315635097</v>
      </c>
      <c r="O2" s="2">
        <f>('[1]Pc, Summer, S1'!O2*Main!$B$5)+(_xlfn.IFNA(VLOOKUP($A2,'FL Ratio'!$A$3:$B$10,2,FALSE),0)*'FL Characterization'!O$2)</f>
        <v>54.431774921435284</v>
      </c>
      <c r="P2" s="2">
        <f>('[1]Pc, Summer, S1'!P2*Main!$B$5)+(_xlfn.IFNA(VLOOKUP($A2,'FL Ratio'!$A$3:$B$10,2,FALSE),0)*'FL Characterization'!P$2)</f>
        <v>52.304841955369078</v>
      </c>
      <c r="Q2" s="2">
        <f>('[1]Pc, Summer, S1'!Q2*Main!$B$5)+(_xlfn.IFNA(VLOOKUP($A2,'FL Ratio'!$A$3:$B$10,2,FALSE),0)*'FL Characterization'!Q$2)</f>
        <v>50.199662303598103</v>
      </c>
      <c r="R2" s="2">
        <f>('[1]Pc, Summer, S1'!R2*Main!$B$5)+(_xlfn.IFNA(VLOOKUP($A2,'FL Ratio'!$A$3:$B$10,2,FALSE),0)*'FL Characterization'!R$2)</f>
        <v>51.075481889516261</v>
      </c>
      <c r="S2" s="2">
        <f>('[1]Pc, Summer, S1'!S2*Main!$B$5)+(_xlfn.IFNA(VLOOKUP($A2,'FL Ratio'!$A$3:$B$10,2,FALSE),0)*'FL Characterization'!S$2)</f>
        <v>51.580094891818142</v>
      </c>
      <c r="T2" s="2">
        <f>('[1]Pc, Summer, S1'!T2*Main!$B$5)+(_xlfn.IFNA(VLOOKUP($A2,'FL Ratio'!$A$3:$B$10,2,FALSE),0)*'FL Characterization'!T$2)</f>
        <v>51.79903323361291</v>
      </c>
      <c r="U2" s="2">
        <f>('[1]Pc, Summer, S1'!U2*Main!$B$5)+(_xlfn.IFNA(VLOOKUP($A2,'FL Ratio'!$A$3:$B$10,2,FALSE),0)*'FL Characterization'!U$2)</f>
        <v>50.941521095484788</v>
      </c>
      <c r="V2" s="2">
        <f>('[1]Pc, Summer, S1'!V2*Main!$B$5)+(_xlfn.IFNA(VLOOKUP($A2,'FL Ratio'!$A$3:$B$10,2,FALSE),0)*'FL Characterization'!V$2)</f>
        <v>51.094577926275306</v>
      </c>
      <c r="W2" s="2">
        <f>('[1]Pc, Summer, S1'!W2*Main!$B$5)+(_xlfn.IFNA(VLOOKUP($A2,'FL Ratio'!$A$3:$B$10,2,FALSE),0)*'FL Characterization'!W$2)</f>
        <v>53.210811615513038</v>
      </c>
      <c r="X2" s="2">
        <f>('[1]Pc, Summer, S1'!X2*Main!$B$5)+(_xlfn.IFNA(VLOOKUP($A2,'FL Ratio'!$A$3:$B$10,2,FALSE),0)*'FL Characterization'!X$2)</f>
        <v>49.598916913954682</v>
      </c>
      <c r="Y2" s="2">
        <f>('[1]Pc, Summer, S1'!Y2*Main!$B$5)+(_xlfn.IFNA(VLOOKUP($A2,'FL Ratio'!$A$3:$B$10,2,FALSE),0)*'FL Characterization'!Y$2)</f>
        <v>45.467050576375001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43.760098082039598</v>
      </c>
      <c r="C3" s="2">
        <f>('[1]Pc, Summer, S1'!C3*Main!$B$5)+(_xlfn.IFNA(VLOOKUP($A3,'FL Ratio'!$A$3:$B$10,2,FALSE),0)*'FL Characterization'!C$2)</f>
        <v>40.182967138955973</v>
      </c>
      <c r="D3" s="2">
        <f>('[1]Pc, Summer, S1'!D3*Main!$B$5)+(_xlfn.IFNA(VLOOKUP($A3,'FL Ratio'!$A$3:$B$10,2,FALSE),0)*'FL Characterization'!D$2)</f>
        <v>38.057969019064117</v>
      </c>
      <c r="E3" s="2">
        <f>('[1]Pc, Summer, S1'!E3*Main!$B$5)+(_xlfn.IFNA(VLOOKUP($A3,'FL Ratio'!$A$3:$B$10,2,FALSE),0)*'FL Characterization'!E$2)</f>
        <v>36.660971624421443</v>
      </c>
      <c r="F3" s="2">
        <f>('[1]Pc, Summer, S1'!F3*Main!$B$5)+(_xlfn.IFNA(VLOOKUP($A3,'FL Ratio'!$A$3:$B$10,2,FALSE),0)*'FL Characterization'!F$2)</f>
        <v>36.224728231577728</v>
      </c>
      <c r="G3" s="2">
        <f>('[1]Pc, Summer, S1'!G3*Main!$B$5)+(_xlfn.IFNA(VLOOKUP($A3,'FL Ratio'!$A$3:$B$10,2,FALSE),0)*'FL Characterization'!G$2)</f>
        <v>38.398979962932479</v>
      </c>
      <c r="H3" s="2">
        <f>('[1]Pc, Summer, S1'!H3*Main!$B$5)+(_xlfn.IFNA(VLOOKUP($A3,'FL Ratio'!$A$3:$B$10,2,FALSE),0)*'FL Characterization'!H$2)</f>
        <v>48.06233737198118</v>
      </c>
      <c r="I3" s="2">
        <f>('[1]Pc, Summer, S1'!I3*Main!$B$5)+(_xlfn.IFNA(VLOOKUP($A3,'FL Ratio'!$A$3:$B$10,2,FALSE),0)*'FL Characterization'!I$2)</f>
        <v>56.974254487349342</v>
      </c>
      <c r="J3" s="2">
        <f>('[1]Pc, Summer, S1'!J3*Main!$B$5)+(_xlfn.IFNA(VLOOKUP($A3,'FL Ratio'!$A$3:$B$10,2,FALSE),0)*'FL Characterization'!J$2)</f>
        <v>59.404701400359912</v>
      </c>
      <c r="K3" s="2">
        <f>('[1]Pc, Summer, S1'!K3*Main!$B$5)+(_xlfn.IFNA(VLOOKUP($A3,'FL Ratio'!$A$3:$B$10,2,FALSE),0)*'FL Characterization'!K$2)</f>
        <v>58.311526084483653</v>
      </c>
      <c r="L3" s="2">
        <f>('[1]Pc, Summer, S1'!L3*Main!$B$5)+(_xlfn.IFNA(VLOOKUP($A3,'FL Ratio'!$A$3:$B$10,2,FALSE),0)*'FL Characterization'!L$2)</f>
        <v>58.096159035421707</v>
      </c>
      <c r="M3" s="2">
        <f>('[1]Pc, Summer, S1'!M3*Main!$B$5)+(_xlfn.IFNA(VLOOKUP($A3,'FL Ratio'!$A$3:$B$10,2,FALSE),0)*'FL Characterization'!M$2)</f>
        <v>61.955961276125535</v>
      </c>
      <c r="N3" s="2">
        <f>('[1]Pc, Summer, S1'!N3*Main!$B$5)+(_xlfn.IFNA(VLOOKUP($A3,'FL Ratio'!$A$3:$B$10,2,FALSE),0)*'FL Characterization'!N$2)</f>
        <v>62.155495600059702</v>
      </c>
      <c r="O3" s="2">
        <f>('[1]Pc, Summer, S1'!O3*Main!$B$5)+(_xlfn.IFNA(VLOOKUP($A3,'FL Ratio'!$A$3:$B$10,2,FALSE),0)*'FL Characterization'!O$2)</f>
        <v>62.606967201688512</v>
      </c>
      <c r="P3" s="2">
        <f>('[1]Pc, Summer, S1'!P3*Main!$B$5)+(_xlfn.IFNA(VLOOKUP($A3,'FL Ratio'!$A$3:$B$10,2,FALSE),0)*'FL Characterization'!P$2)</f>
        <v>59.58122328315357</v>
      </c>
      <c r="Q3" s="2">
        <f>('[1]Pc, Summer, S1'!Q3*Main!$B$5)+(_xlfn.IFNA(VLOOKUP($A3,'FL Ratio'!$A$3:$B$10,2,FALSE),0)*'FL Characterization'!Q$2)</f>
        <v>56.444464435121056</v>
      </c>
      <c r="R3" s="2">
        <f>('[1]Pc, Summer, S1'!R3*Main!$B$5)+(_xlfn.IFNA(VLOOKUP($A3,'FL Ratio'!$A$3:$B$10,2,FALSE),0)*'FL Characterization'!R$2)</f>
        <v>52.197020602600645</v>
      </c>
      <c r="S3" s="2">
        <f>('[1]Pc, Summer, S1'!S3*Main!$B$5)+(_xlfn.IFNA(VLOOKUP($A3,'FL Ratio'!$A$3:$B$10,2,FALSE),0)*'FL Characterization'!S$2)</f>
        <v>52.799654570846243</v>
      </c>
      <c r="T3" s="2">
        <f>('[1]Pc, Summer, S1'!T3*Main!$B$5)+(_xlfn.IFNA(VLOOKUP($A3,'FL Ratio'!$A$3:$B$10,2,FALSE),0)*'FL Characterization'!T$2)</f>
        <v>52.31056033574837</v>
      </c>
      <c r="U3" s="2">
        <f>('[1]Pc, Summer, S1'!U3*Main!$B$5)+(_xlfn.IFNA(VLOOKUP($A3,'FL Ratio'!$A$3:$B$10,2,FALSE),0)*'FL Characterization'!U$2)</f>
        <v>52.104307684409015</v>
      </c>
      <c r="V3" s="2">
        <f>('[1]Pc, Summer, S1'!V3*Main!$B$5)+(_xlfn.IFNA(VLOOKUP($A3,'FL Ratio'!$A$3:$B$10,2,FALSE),0)*'FL Characterization'!V$2)</f>
        <v>52.357588627584704</v>
      </c>
      <c r="W3" s="2">
        <f>('[1]Pc, Summer, S1'!W3*Main!$B$5)+(_xlfn.IFNA(VLOOKUP($A3,'FL Ratio'!$A$3:$B$10,2,FALSE),0)*'FL Characterization'!W$2)</f>
        <v>52.074299155332497</v>
      </c>
      <c r="X3" s="2">
        <f>('[1]Pc, Summer, S1'!X3*Main!$B$5)+(_xlfn.IFNA(VLOOKUP($A3,'FL Ratio'!$A$3:$B$10,2,FALSE),0)*'FL Characterization'!X$2)</f>
        <v>51.853124289817067</v>
      </c>
      <c r="Y3" s="2">
        <f>('[1]Pc, Summer, S1'!Y3*Main!$B$5)+(_xlfn.IFNA(VLOOKUP($A3,'FL Ratio'!$A$3:$B$10,2,FALSE),0)*'FL Characterization'!Y$2)</f>
        <v>49.081369605808675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58.044829145079134</v>
      </c>
      <c r="C4" s="2">
        <f>('[1]Pc, Summer, S1'!C4*Main!$B$5)+(_xlfn.IFNA(VLOOKUP($A4,'FL Ratio'!$A$3:$B$10,2,FALSE),0)*'FL Characterization'!C$2)</f>
        <v>51.518280116864645</v>
      </c>
      <c r="D4" s="2">
        <f>('[1]Pc, Summer, S1'!D4*Main!$B$5)+(_xlfn.IFNA(VLOOKUP($A4,'FL Ratio'!$A$3:$B$10,2,FALSE),0)*'FL Characterization'!D$2)</f>
        <v>48.573370105391938</v>
      </c>
      <c r="E4" s="2">
        <f>('[1]Pc, Summer, S1'!E4*Main!$B$5)+(_xlfn.IFNA(VLOOKUP($A4,'FL Ratio'!$A$3:$B$10,2,FALSE),0)*'FL Characterization'!E$2)</f>
        <v>46.980789148698705</v>
      </c>
      <c r="F4" s="2">
        <f>('[1]Pc, Summer, S1'!F4*Main!$B$5)+(_xlfn.IFNA(VLOOKUP($A4,'FL Ratio'!$A$3:$B$10,2,FALSE),0)*'FL Characterization'!F$2)</f>
        <v>49.222717640956375</v>
      </c>
      <c r="G4" s="2">
        <f>('[1]Pc, Summer, S1'!G4*Main!$B$5)+(_xlfn.IFNA(VLOOKUP($A4,'FL Ratio'!$A$3:$B$10,2,FALSE),0)*'FL Characterization'!G$2)</f>
        <v>44.951925491280498</v>
      </c>
      <c r="H4" s="2">
        <f>('[1]Pc, Summer, S1'!H4*Main!$B$5)+(_xlfn.IFNA(VLOOKUP($A4,'FL Ratio'!$A$3:$B$10,2,FALSE),0)*'FL Characterization'!H$2)</f>
        <v>52.804511115378723</v>
      </c>
      <c r="I4" s="2">
        <f>('[1]Pc, Summer, S1'!I4*Main!$B$5)+(_xlfn.IFNA(VLOOKUP($A4,'FL Ratio'!$A$3:$B$10,2,FALSE),0)*'FL Characterization'!I$2)</f>
        <v>59.263049164939694</v>
      </c>
      <c r="J4" s="2">
        <f>('[1]Pc, Summer, S1'!J4*Main!$B$5)+(_xlfn.IFNA(VLOOKUP($A4,'FL Ratio'!$A$3:$B$10,2,FALSE),0)*'FL Characterization'!J$2)</f>
        <v>66.675704321718726</v>
      </c>
      <c r="K4" s="2">
        <f>('[1]Pc, Summer, S1'!K4*Main!$B$5)+(_xlfn.IFNA(VLOOKUP($A4,'FL Ratio'!$A$3:$B$10,2,FALSE),0)*'FL Characterization'!K$2)</f>
        <v>71.681356393173999</v>
      </c>
      <c r="L4" s="2">
        <f>('[1]Pc, Summer, S1'!L4*Main!$B$5)+(_xlfn.IFNA(VLOOKUP($A4,'FL Ratio'!$A$3:$B$10,2,FALSE),0)*'FL Characterization'!L$2)</f>
        <v>73.772798377983008</v>
      </c>
      <c r="M4" s="2">
        <f>('[1]Pc, Summer, S1'!M4*Main!$B$5)+(_xlfn.IFNA(VLOOKUP($A4,'FL Ratio'!$A$3:$B$10,2,FALSE),0)*'FL Characterization'!M$2)</f>
        <v>75.003284212612826</v>
      </c>
      <c r="N4" s="2">
        <f>('[1]Pc, Summer, S1'!N4*Main!$B$5)+(_xlfn.IFNA(VLOOKUP($A4,'FL Ratio'!$A$3:$B$10,2,FALSE),0)*'FL Characterization'!N$2)</f>
        <v>76.668915725581414</v>
      </c>
      <c r="O4" s="2">
        <f>('[1]Pc, Summer, S1'!O4*Main!$B$5)+(_xlfn.IFNA(VLOOKUP($A4,'FL Ratio'!$A$3:$B$10,2,FALSE),0)*'FL Characterization'!O$2)</f>
        <v>77.743944648540165</v>
      </c>
      <c r="P4" s="2">
        <f>('[1]Pc, Summer, S1'!P4*Main!$B$5)+(_xlfn.IFNA(VLOOKUP($A4,'FL Ratio'!$A$3:$B$10,2,FALSE),0)*'FL Characterization'!P$2)</f>
        <v>78.077930008849293</v>
      </c>
      <c r="Q4" s="2">
        <f>('[1]Pc, Summer, S1'!Q4*Main!$B$5)+(_xlfn.IFNA(VLOOKUP($A4,'FL Ratio'!$A$3:$B$10,2,FALSE),0)*'FL Characterization'!Q$2)</f>
        <v>75.1567001790322</v>
      </c>
      <c r="R4" s="2">
        <f>('[1]Pc, Summer, S1'!R4*Main!$B$5)+(_xlfn.IFNA(VLOOKUP($A4,'FL Ratio'!$A$3:$B$10,2,FALSE),0)*'FL Characterization'!R$2)</f>
        <v>74.738968352431883</v>
      </c>
      <c r="S4" s="2">
        <f>('[1]Pc, Summer, S1'!S4*Main!$B$5)+(_xlfn.IFNA(VLOOKUP($A4,'FL Ratio'!$A$3:$B$10,2,FALSE),0)*'FL Characterization'!S$2)</f>
        <v>72.450387510154826</v>
      </c>
      <c r="T4" s="2">
        <f>('[1]Pc, Summer, S1'!T4*Main!$B$5)+(_xlfn.IFNA(VLOOKUP($A4,'FL Ratio'!$A$3:$B$10,2,FALSE),0)*'FL Characterization'!T$2)</f>
        <v>72.336267252924685</v>
      </c>
      <c r="U4" s="2">
        <f>('[1]Pc, Summer, S1'!U4*Main!$B$5)+(_xlfn.IFNA(VLOOKUP($A4,'FL Ratio'!$A$3:$B$10,2,FALSE),0)*'FL Characterization'!U$2)</f>
        <v>72.719031616900338</v>
      </c>
      <c r="V4" s="2">
        <f>('[1]Pc, Summer, S1'!V4*Main!$B$5)+(_xlfn.IFNA(VLOOKUP($A4,'FL Ratio'!$A$3:$B$10,2,FALSE),0)*'FL Characterization'!V$2)</f>
        <v>72.3785619247505</v>
      </c>
      <c r="W4" s="2">
        <f>('[1]Pc, Summer, S1'!W4*Main!$B$5)+(_xlfn.IFNA(VLOOKUP($A4,'FL Ratio'!$A$3:$B$10,2,FALSE),0)*'FL Characterization'!W$2)</f>
        <v>74.66331289492868</v>
      </c>
      <c r="X4" s="2">
        <f>('[1]Pc, Summer, S1'!X4*Main!$B$5)+(_xlfn.IFNA(VLOOKUP($A4,'FL Ratio'!$A$3:$B$10,2,FALSE),0)*'FL Characterization'!X$2)</f>
        <v>74.591540026341022</v>
      </c>
      <c r="Y4" s="2">
        <f>('[1]Pc, Summer, S1'!Y4*Main!$B$5)+(_xlfn.IFNA(VLOOKUP($A4,'FL Ratio'!$A$3:$B$10,2,FALSE),0)*'FL Characterization'!Y$2)</f>
        <v>67.317194221897637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03274-B199-4149-B2FD-E279CA9FB158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40.443869618192018</v>
      </c>
      <c r="C2" s="2">
        <f>('[1]Pc, Summer, S1'!C2*Main!$B$5)+(_xlfn.IFNA(VLOOKUP($A2,'FL Ratio'!$A$3:$B$10,2,FALSE),0)*'FL Characterization'!C$2)</f>
        <v>36.745065440656099</v>
      </c>
      <c r="D2" s="2">
        <f>('[1]Pc, Summer, S1'!D2*Main!$B$5)+(_xlfn.IFNA(VLOOKUP($A2,'FL Ratio'!$A$3:$B$10,2,FALSE),0)*'FL Characterization'!D$2)</f>
        <v>36.10322464768268</v>
      </c>
      <c r="E2" s="2">
        <f>('[1]Pc, Summer, S1'!E2*Main!$B$5)+(_xlfn.IFNA(VLOOKUP($A2,'FL Ratio'!$A$3:$B$10,2,FALSE),0)*'FL Characterization'!E$2)</f>
        <v>36.010996647964006</v>
      </c>
      <c r="F2" s="2">
        <f>('[1]Pc, Summer, S1'!F2*Main!$B$5)+(_xlfn.IFNA(VLOOKUP($A2,'FL Ratio'!$A$3:$B$10,2,FALSE),0)*'FL Characterization'!F$2)</f>
        <v>36.013835758914318</v>
      </c>
      <c r="G2" s="2">
        <f>('[1]Pc, Summer, S1'!G2*Main!$B$5)+(_xlfn.IFNA(VLOOKUP($A2,'FL Ratio'!$A$3:$B$10,2,FALSE),0)*'FL Characterization'!G$2)</f>
        <v>35.695339918477231</v>
      </c>
      <c r="H2" s="2">
        <f>('[1]Pc, Summer, S1'!H2*Main!$B$5)+(_xlfn.IFNA(VLOOKUP($A2,'FL Ratio'!$A$3:$B$10,2,FALSE),0)*'FL Characterization'!H$2)</f>
        <v>38.536305853521313</v>
      </c>
      <c r="I2" s="2">
        <f>('[1]Pc, Summer, S1'!I2*Main!$B$5)+(_xlfn.IFNA(VLOOKUP($A2,'FL Ratio'!$A$3:$B$10,2,FALSE),0)*'FL Characterization'!I$2)</f>
        <v>45.752009772964556</v>
      </c>
      <c r="J2" s="2">
        <f>('[1]Pc, Summer, S1'!J2*Main!$B$5)+(_xlfn.IFNA(VLOOKUP($A2,'FL Ratio'!$A$3:$B$10,2,FALSE),0)*'FL Characterization'!J$2)</f>
        <v>52.144281703673016</v>
      </c>
      <c r="K2" s="2">
        <f>('[1]Pc, Summer, S1'!K2*Main!$B$5)+(_xlfn.IFNA(VLOOKUP($A2,'FL Ratio'!$A$3:$B$10,2,FALSE),0)*'FL Characterization'!K$2)</f>
        <v>53.746573760336346</v>
      </c>
      <c r="L2" s="2">
        <f>('[1]Pc, Summer, S1'!L2*Main!$B$5)+(_xlfn.IFNA(VLOOKUP($A2,'FL Ratio'!$A$3:$B$10,2,FALSE),0)*'FL Characterization'!L$2)</f>
        <v>53.202672772415909</v>
      </c>
      <c r="M2" s="2">
        <f>('[1]Pc, Summer, S1'!M2*Main!$B$5)+(_xlfn.IFNA(VLOOKUP($A2,'FL Ratio'!$A$3:$B$10,2,FALSE),0)*'FL Characterization'!M$2)</f>
        <v>54.707170289733568</v>
      </c>
      <c r="N2" s="2">
        <f>('[1]Pc, Summer, S1'!N2*Main!$B$5)+(_xlfn.IFNA(VLOOKUP($A2,'FL Ratio'!$A$3:$B$10,2,FALSE),0)*'FL Characterization'!N$2)</f>
        <v>55.457637315635097</v>
      </c>
      <c r="O2" s="2">
        <f>('[1]Pc, Summer, S1'!O2*Main!$B$5)+(_xlfn.IFNA(VLOOKUP($A2,'FL Ratio'!$A$3:$B$10,2,FALSE),0)*'FL Characterization'!O$2)</f>
        <v>54.431774921435284</v>
      </c>
      <c r="P2" s="2">
        <f>('[1]Pc, Summer, S1'!P2*Main!$B$5)+(_xlfn.IFNA(VLOOKUP($A2,'FL Ratio'!$A$3:$B$10,2,FALSE),0)*'FL Characterization'!P$2)</f>
        <v>52.304841955369078</v>
      </c>
      <c r="Q2" s="2">
        <f>('[1]Pc, Summer, S1'!Q2*Main!$B$5)+(_xlfn.IFNA(VLOOKUP($A2,'FL Ratio'!$A$3:$B$10,2,FALSE),0)*'FL Characterization'!Q$2)</f>
        <v>50.199662303598103</v>
      </c>
      <c r="R2" s="2">
        <f>('[1]Pc, Summer, S1'!R2*Main!$B$5)+(_xlfn.IFNA(VLOOKUP($A2,'FL Ratio'!$A$3:$B$10,2,FALSE),0)*'FL Characterization'!R$2)</f>
        <v>51.075481889516261</v>
      </c>
      <c r="S2" s="2">
        <f>('[1]Pc, Summer, S1'!S2*Main!$B$5)+(_xlfn.IFNA(VLOOKUP($A2,'FL Ratio'!$A$3:$B$10,2,FALSE),0)*'FL Characterization'!S$2)</f>
        <v>51.580094891818142</v>
      </c>
      <c r="T2" s="2">
        <f>('[1]Pc, Summer, S1'!T2*Main!$B$5)+(_xlfn.IFNA(VLOOKUP($A2,'FL Ratio'!$A$3:$B$10,2,FALSE),0)*'FL Characterization'!T$2)</f>
        <v>51.79903323361291</v>
      </c>
      <c r="U2" s="2">
        <f>('[1]Pc, Summer, S1'!U2*Main!$B$5)+(_xlfn.IFNA(VLOOKUP($A2,'FL Ratio'!$A$3:$B$10,2,FALSE),0)*'FL Characterization'!U$2)</f>
        <v>50.941521095484788</v>
      </c>
      <c r="V2" s="2">
        <f>('[1]Pc, Summer, S1'!V2*Main!$B$5)+(_xlfn.IFNA(VLOOKUP($A2,'FL Ratio'!$A$3:$B$10,2,FALSE),0)*'FL Characterization'!V$2)</f>
        <v>51.094577926275306</v>
      </c>
      <c r="W2" s="2">
        <f>('[1]Pc, Summer, S1'!W2*Main!$B$5)+(_xlfn.IFNA(VLOOKUP($A2,'FL Ratio'!$A$3:$B$10,2,FALSE),0)*'FL Characterization'!W$2)</f>
        <v>53.210811615513038</v>
      </c>
      <c r="X2" s="2">
        <f>('[1]Pc, Summer, S1'!X2*Main!$B$5)+(_xlfn.IFNA(VLOOKUP($A2,'FL Ratio'!$A$3:$B$10,2,FALSE),0)*'FL Characterization'!X$2)</f>
        <v>49.598916913954682</v>
      </c>
      <c r="Y2" s="2">
        <f>('[1]Pc, Summer, S1'!Y2*Main!$B$5)+(_xlfn.IFNA(VLOOKUP($A2,'FL Ratio'!$A$3:$B$10,2,FALSE),0)*'FL Characterization'!Y$2)</f>
        <v>45.467050576375001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43.760098082039598</v>
      </c>
      <c r="C3" s="2">
        <f>('[1]Pc, Summer, S1'!C3*Main!$B$5)+(_xlfn.IFNA(VLOOKUP($A3,'FL Ratio'!$A$3:$B$10,2,FALSE),0)*'FL Characterization'!C$2)</f>
        <v>40.182967138955973</v>
      </c>
      <c r="D3" s="2">
        <f>('[1]Pc, Summer, S1'!D3*Main!$B$5)+(_xlfn.IFNA(VLOOKUP($A3,'FL Ratio'!$A$3:$B$10,2,FALSE),0)*'FL Characterization'!D$2)</f>
        <v>38.057969019064117</v>
      </c>
      <c r="E3" s="2">
        <f>('[1]Pc, Summer, S1'!E3*Main!$B$5)+(_xlfn.IFNA(VLOOKUP($A3,'FL Ratio'!$A$3:$B$10,2,FALSE),0)*'FL Characterization'!E$2)</f>
        <v>36.660971624421443</v>
      </c>
      <c r="F3" s="2">
        <f>('[1]Pc, Summer, S1'!F3*Main!$B$5)+(_xlfn.IFNA(VLOOKUP($A3,'FL Ratio'!$A$3:$B$10,2,FALSE),0)*'FL Characterization'!F$2)</f>
        <v>36.224728231577728</v>
      </c>
      <c r="G3" s="2">
        <f>('[1]Pc, Summer, S1'!G3*Main!$B$5)+(_xlfn.IFNA(VLOOKUP($A3,'FL Ratio'!$A$3:$B$10,2,FALSE),0)*'FL Characterization'!G$2)</f>
        <v>38.398979962932479</v>
      </c>
      <c r="H3" s="2">
        <f>('[1]Pc, Summer, S1'!H3*Main!$B$5)+(_xlfn.IFNA(VLOOKUP($A3,'FL Ratio'!$A$3:$B$10,2,FALSE),0)*'FL Characterization'!H$2)</f>
        <v>48.06233737198118</v>
      </c>
      <c r="I3" s="2">
        <f>('[1]Pc, Summer, S1'!I3*Main!$B$5)+(_xlfn.IFNA(VLOOKUP($A3,'FL Ratio'!$A$3:$B$10,2,FALSE),0)*'FL Characterization'!I$2)</f>
        <v>56.974254487349342</v>
      </c>
      <c r="J3" s="2">
        <f>('[1]Pc, Summer, S1'!J3*Main!$B$5)+(_xlfn.IFNA(VLOOKUP($A3,'FL Ratio'!$A$3:$B$10,2,FALSE),0)*'FL Characterization'!J$2)</f>
        <v>59.404701400359912</v>
      </c>
      <c r="K3" s="2">
        <f>('[1]Pc, Summer, S1'!K3*Main!$B$5)+(_xlfn.IFNA(VLOOKUP($A3,'FL Ratio'!$A$3:$B$10,2,FALSE),0)*'FL Characterization'!K$2)</f>
        <v>58.311526084483653</v>
      </c>
      <c r="L3" s="2">
        <f>('[1]Pc, Summer, S1'!L3*Main!$B$5)+(_xlfn.IFNA(VLOOKUP($A3,'FL Ratio'!$A$3:$B$10,2,FALSE),0)*'FL Characterization'!L$2)</f>
        <v>58.096159035421707</v>
      </c>
      <c r="M3" s="2">
        <f>('[1]Pc, Summer, S1'!M3*Main!$B$5)+(_xlfn.IFNA(VLOOKUP($A3,'FL Ratio'!$A$3:$B$10,2,FALSE),0)*'FL Characterization'!M$2)</f>
        <v>61.955961276125535</v>
      </c>
      <c r="N3" s="2">
        <f>('[1]Pc, Summer, S1'!N3*Main!$B$5)+(_xlfn.IFNA(VLOOKUP($A3,'FL Ratio'!$A$3:$B$10,2,FALSE),0)*'FL Characterization'!N$2)</f>
        <v>62.155495600059702</v>
      </c>
      <c r="O3" s="2">
        <f>('[1]Pc, Summer, S1'!O3*Main!$B$5)+(_xlfn.IFNA(VLOOKUP($A3,'FL Ratio'!$A$3:$B$10,2,FALSE),0)*'FL Characterization'!O$2)</f>
        <v>62.606967201688512</v>
      </c>
      <c r="P3" s="2">
        <f>('[1]Pc, Summer, S1'!P3*Main!$B$5)+(_xlfn.IFNA(VLOOKUP($A3,'FL Ratio'!$A$3:$B$10,2,FALSE),0)*'FL Characterization'!P$2)</f>
        <v>59.58122328315357</v>
      </c>
      <c r="Q3" s="2">
        <f>('[1]Pc, Summer, S1'!Q3*Main!$B$5)+(_xlfn.IFNA(VLOOKUP($A3,'FL Ratio'!$A$3:$B$10,2,FALSE),0)*'FL Characterization'!Q$2)</f>
        <v>56.444464435121056</v>
      </c>
      <c r="R3" s="2">
        <f>('[1]Pc, Summer, S1'!R3*Main!$B$5)+(_xlfn.IFNA(VLOOKUP($A3,'FL Ratio'!$A$3:$B$10,2,FALSE),0)*'FL Characterization'!R$2)</f>
        <v>52.197020602600645</v>
      </c>
      <c r="S3" s="2">
        <f>('[1]Pc, Summer, S1'!S3*Main!$B$5)+(_xlfn.IFNA(VLOOKUP($A3,'FL Ratio'!$A$3:$B$10,2,FALSE),0)*'FL Characterization'!S$2)</f>
        <v>52.799654570846243</v>
      </c>
      <c r="T3" s="2">
        <f>('[1]Pc, Summer, S1'!T3*Main!$B$5)+(_xlfn.IFNA(VLOOKUP($A3,'FL Ratio'!$A$3:$B$10,2,FALSE),0)*'FL Characterization'!T$2)</f>
        <v>52.31056033574837</v>
      </c>
      <c r="U3" s="2">
        <f>('[1]Pc, Summer, S1'!U3*Main!$B$5)+(_xlfn.IFNA(VLOOKUP($A3,'FL Ratio'!$A$3:$B$10,2,FALSE),0)*'FL Characterization'!U$2)</f>
        <v>52.104307684409015</v>
      </c>
      <c r="V3" s="2">
        <f>('[1]Pc, Summer, S1'!V3*Main!$B$5)+(_xlfn.IFNA(VLOOKUP($A3,'FL Ratio'!$A$3:$B$10,2,FALSE),0)*'FL Characterization'!V$2)</f>
        <v>52.357588627584704</v>
      </c>
      <c r="W3" s="2">
        <f>('[1]Pc, Summer, S1'!W3*Main!$B$5)+(_xlfn.IFNA(VLOOKUP($A3,'FL Ratio'!$A$3:$B$10,2,FALSE),0)*'FL Characterization'!W$2)</f>
        <v>52.074299155332497</v>
      </c>
      <c r="X3" s="2">
        <f>('[1]Pc, Summer, S1'!X3*Main!$B$5)+(_xlfn.IFNA(VLOOKUP($A3,'FL Ratio'!$A$3:$B$10,2,FALSE),0)*'FL Characterization'!X$2)</f>
        <v>51.853124289817067</v>
      </c>
      <c r="Y3" s="2">
        <f>('[1]Pc, Summer, S1'!Y3*Main!$B$5)+(_xlfn.IFNA(VLOOKUP($A3,'FL Ratio'!$A$3:$B$10,2,FALSE),0)*'FL Characterization'!Y$2)</f>
        <v>49.081369605808675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58.044829145079134</v>
      </c>
      <c r="C4" s="2">
        <f>('[1]Pc, Summer, S1'!C4*Main!$B$5)+(_xlfn.IFNA(VLOOKUP($A4,'FL Ratio'!$A$3:$B$10,2,FALSE),0)*'FL Characterization'!C$2)</f>
        <v>51.518280116864645</v>
      </c>
      <c r="D4" s="2">
        <f>('[1]Pc, Summer, S1'!D4*Main!$B$5)+(_xlfn.IFNA(VLOOKUP($A4,'FL Ratio'!$A$3:$B$10,2,FALSE),0)*'FL Characterization'!D$2)</f>
        <v>48.573370105391938</v>
      </c>
      <c r="E4" s="2">
        <f>('[1]Pc, Summer, S1'!E4*Main!$B$5)+(_xlfn.IFNA(VLOOKUP($A4,'FL Ratio'!$A$3:$B$10,2,FALSE),0)*'FL Characterization'!E$2)</f>
        <v>46.980789148698705</v>
      </c>
      <c r="F4" s="2">
        <f>('[1]Pc, Summer, S1'!F4*Main!$B$5)+(_xlfn.IFNA(VLOOKUP($A4,'FL Ratio'!$A$3:$B$10,2,FALSE),0)*'FL Characterization'!F$2)</f>
        <v>49.222717640956375</v>
      </c>
      <c r="G4" s="2">
        <f>('[1]Pc, Summer, S1'!G4*Main!$B$5)+(_xlfn.IFNA(VLOOKUP($A4,'FL Ratio'!$A$3:$B$10,2,FALSE),0)*'FL Characterization'!G$2)</f>
        <v>44.951925491280498</v>
      </c>
      <c r="H4" s="2">
        <f>('[1]Pc, Summer, S1'!H4*Main!$B$5)+(_xlfn.IFNA(VLOOKUP($A4,'FL Ratio'!$A$3:$B$10,2,FALSE),0)*'FL Characterization'!H$2)</f>
        <v>52.804511115378723</v>
      </c>
      <c r="I4" s="2">
        <f>('[1]Pc, Summer, S1'!I4*Main!$B$5)+(_xlfn.IFNA(VLOOKUP($A4,'FL Ratio'!$A$3:$B$10,2,FALSE),0)*'FL Characterization'!I$2)</f>
        <v>59.263049164939694</v>
      </c>
      <c r="J4" s="2">
        <f>('[1]Pc, Summer, S1'!J4*Main!$B$5)+(_xlfn.IFNA(VLOOKUP($A4,'FL Ratio'!$A$3:$B$10,2,FALSE),0)*'FL Characterization'!J$2)</f>
        <v>66.675704321718726</v>
      </c>
      <c r="K4" s="2">
        <f>('[1]Pc, Summer, S1'!K4*Main!$B$5)+(_xlfn.IFNA(VLOOKUP($A4,'FL Ratio'!$A$3:$B$10,2,FALSE),0)*'FL Characterization'!K$2)</f>
        <v>71.681356393173999</v>
      </c>
      <c r="L4" s="2">
        <f>('[1]Pc, Summer, S1'!L4*Main!$B$5)+(_xlfn.IFNA(VLOOKUP($A4,'FL Ratio'!$A$3:$B$10,2,FALSE),0)*'FL Characterization'!L$2)</f>
        <v>73.772798377983008</v>
      </c>
      <c r="M4" s="2">
        <f>('[1]Pc, Summer, S1'!M4*Main!$B$5)+(_xlfn.IFNA(VLOOKUP($A4,'FL Ratio'!$A$3:$B$10,2,FALSE),0)*'FL Characterization'!M$2)</f>
        <v>75.003284212612826</v>
      </c>
      <c r="N4" s="2">
        <f>('[1]Pc, Summer, S1'!N4*Main!$B$5)+(_xlfn.IFNA(VLOOKUP($A4,'FL Ratio'!$A$3:$B$10,2,FALSE),0)*'FL Characterization'!N$2)</f>
        <v>76.668915725581414</v>
      </c>
      <c r="O4" s="2">
        <f>('[1]Pc, Summer, S1'!O4*Main!$B$5)+(_xlfn.IFNA(VLOOKUP($A4,'FL Ratio'!$A$3:$B$10,2,FALSE),0)*'FL Characterization'!O$2)</f>
        <v>77.743944648540165</v>
      </c>
      <c r="P4" s="2">
        <f>('[1]Pc, Summer, S1'!P4*Main!$B$5)+(_xlfn.IFNA(VLOOKUP($A4,'FL Ratio'!$A$3:$B$10,2,FALSE),0)*'FL Characterization'!P$2)</f>
        <v>78.077930008849293</v>
      </c>
      <c r="Q4" s="2">
        <f>('[1]Pc, Summer, S1'!Q4*Main!$B$5)+(_xlfn.IFNA(VLOOKUP($A4,'FL Ratio'!$A$3:$B$10,2,FALSE),0)*'FL Characterization'!Q$2)</f>
        <v>75.1567001790322</v>
      </c>
      <c r="R4" s="2">
        <f>('[1]Pc, Summer, S1'!R4*Main!$B$5)+(_xlfn.IFNA(VLOOKUP($A4,'FL Ratio'!$A$3:$B$10,2,FALSE),0)*'FL Characterization'!R$2)</f>
        <v>74.738968352431883</v>
      </c>
      <c r="S4" s="2">
        <f>('[1]Pc, Summer, S1'!S4*Main!$B$5)+(_xlfn.IFNA(VLOOKUP($A4,'FL Ratio'!$A$3:$B$10,2,FALSE),0)*'FL Characterization'!S$2)</f>
        <v>72.450387510154826</v>
      </c>
      <c r="T4" s="2">
        <f>('[1]Pc, Summer, S1'!T4*Main!$B$5)+(_xlfn.IFNA(VLOOKUP($A4,'FL Ratio'!$A$3:$B$10,2,FALSE),0)*'FL Characterization'!T$2)</f>
        <v>72.336267252924685</v>
      </c>
      <c r="U4" s="2">
        <f>('[1]Pc, Summer, S1'!U4*Main!$B$5)+(_xlfn.IFNA(VLOOKUP($A4,'FL Ratio'!$A$3:$B$10,2,FALSE),0)*'FL Characterization'!U$2)</f>
        <v>72.719031616900338</v>
      </c>
      <c r="V4" s="2">
        <f>('[1]Pc, Summer, S1'!V4*Main!$B$5)+(_xlfn.IFNA(VLOOKUP($A4,'FL Ratio'!$A$3:$B$10,2,FALSE),0)*'FL Characterization'!V$2)</f>
        <v>72.3785619247505</v>
      </c>
      <c r="W4" s="2">
        <f>('[1]Pc, Summer, S1'!W4*Main!$B$5)+(_xlfn.IFNA(VLOOKUP($A4,'FL Ratio'!$A$3:$B$10,2,FALSE),0)*'FL Characterization'!W$2)</f>
        <v>74.66331289492868</v>
      </c>
      <c r="X4" s="2">
        <f>('[1]Pc, Summer, S1'!X4*Main!$B$5)+(_xlfn.IFNA(VLOOKUP($A4,'FL Ratio'!$A$3:$B$10,2,FALSE),0)*'FL Characterization'!X$2)</f>
        <v>74.591540026341022</v>
      </c>
      <c r="Y4" s="2">
        <f>('[1]Pc, Summer, S1'!Y4*Main!$B$5)+(_xlfn.IFNA(VLOOKUP($A4,'FL Ratio'!$A$3:$B$10,2,FALSE),0)*'FL Characterization'!Y$2)</f>
        <v>67.317194221897637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D2FDA-4D04-49F8-9B9F-34E983344C94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40.443869618192018</v>
      </c>
      <c r="C2" s="2">
        <f>('[1]Pc, Summer, S1'!C2*Main!$B$5)+(_xlfn.IFNA(VLOOKUP($A2,'FL Ratio'!$A$3:$B$10,2,FALSE),0)*'FL Characterization'!C$2)</f>
        <v>36.745065440656099</v>
      </c>
      <c r="D2" s="2">
        <f>('[1]Pc, Summer, S1'!D2*Main!$B$5)+(_xlfn.IFNA(VLOOKUP($A2,'FL Ratio'!$A$3:$B$10,2,FALSE),0)*'FL Characterization'!D$2)</f>
        <v>36.10322464768268</v>
      </c>
      <c r="E2" s="2">
        <f>('[1]Pc, Summer, S1'!E2*Main!$B$5)+(_xlfn.IFNA(VLOOKUP($A2,'FL Ratio'!$A$3:$B$10,2,FALSE),0)*'FL Characterization'!E$2)</f>
        <v>36.010996647964006</v>
      </c>
      <c r="F2" s="2">
        <f>('[1]Pc, Summer, S1'!F2*Main!$B$5)+(_xlfn.IFNA(VLOOKUP($A2,'FL Ratio'!$A$3:$B$10,2,FALSE),0)*'FL Characterization'!F$2)</f>
        <v>36.013835758914318</v>
      </c>
      <c r="G2" s="2">
        <f>('[1]Pc, Summer, S1'!G2*Main!$B$5)+(_xlfn.IFNA(VLOOKUP($A2,'FL Ratio'!$A$3:$B$10,2,FALSE),0)*'FL Characterization'!G$2)</f>
        <v>35.695339918477231</v>
      </c>
      <c r="H2" s="2">
        <f>('[1]Pc, Summer, S1'!H2*Main!$B$5)+(_xlfn.IFNA(VLOOKUP($A2,'FL Ratio'!$A$3:$B$10,2,FALSE),0)*'FL Characterization'!H$2)</f>
        <v>38.536305853521313</v>
      </c>
      <c r="I2" s="2">
        <f>('[1]Pc, Summer, S1'!I2*Main!$B$5)+(_xlfn.IFNA(VLOOKUP($A2,'FL Ratio'!$A$3:$B$10,2,FALSE),0)*'FL Characterization'!I$2)</f>
        <v>45.752009772964556</v>
      </c>
      <c r="J2" s="2">
        <f>('[1]Pc, Summer, S1'!J2*Main!$B$5)+(_xlfn.IFNA(VLOOKUP($A2,'FL Ratio'!$A$3:$B$10,2,FALSE),0)*'FL Characterization'!J$2)</f>
        <v>52.144281703673016</v>
      </c>
      <c r="K2" s="2">
        <f>('[1]Pc, Summer, S1'!K2*Main!$B$5)+(_xlfn.IFNA(VLOOKUP($A2,'FL Ratio'!$A$3:$B$10,2,FALSE),0)*'FL Characterization'!K$2)</f>
        <v>53.746573760336346</v>
      </c>
      <c r="L2" s="2">
        <f>('[1]Pc, Summer, S1'!L2*Main!$B$5)+(_xlfn.IFNA(VLOOKUP($A2,'FL Ratio'!$A$3:$B$10,2,FALSE),0)*'FL Characterization'!L$2)</f>
        <v>53.202672772415909</v>
      </c>
      <c r="M2" s="2">
        <f>('[1]Pc, Summer, S1'!M2*Main!$B$5)+(_xlfn.IFNA(VLOOKUP($A2,'FL Ratio'!$A$3:$B$10,2,FALSE),0)*'FL Characterization'!M$2)</f>
        <v>54.707170289733568</v>
      </c>
      <c r="N2" s="2">
        <f>('[1]Pc, Summer, S1'!N2*Main!$B$5)+(_xlfn.IFNA(VLOOKUP($A2,'FL Ratio'!$A$3:$B$10,2,FALSE),0)*'FL Characterization'!N$2)</f>
        <v>55.457637315635097</v>
      </c>
      <c r="O2" s="2">
        <f>('[1]Pc, Summer, S1'!O2*Main!$B$5)+(_xlfn.IFNA(VLOOKUP($A2,'FL Ratio'!$A$3:$B$10,2,FALSE),0)*'FL Characterization'!O$2)</f>
        <v>54.431774921435284</v>
      </c>
      <c r="P2" s="2">
        <f>('[1]Pc, Summer, S1'!P2*Main!$B$5)+(_xlfn.IFNA(VLOOKUP($A2,'FL Ratio'!$A$3:$B$10,2,FALSE),0)*'FL Characterization'!P$2)</f>
        <v>52.304841955369078</v>
      </c>
      <c r="Q2" s="2">
        <f>('[1]Pc, Summer, S1'!Q2*Main!$B$5)+(_xlfn.IFNA(VLOOKUP($A2,'FL Ratio'!$A$3:$B$10,2,FALSE),0)*'FL Characterization'!Q$2)</f>
        <v>50.199662303598103</v>
      </c>
      <c r="R2" s="2">
        <f>('[1]Pc, Summer, S1'!R2*Main!$B$5)+(_xlfn.IFNA(VLOOKUP($A2,'FL Ratio'!$A$3:$B$10,2,FALSE),0)*'FL Characterization'!R$2)</f>
        <v>51.075481889516261</v>
      </c>
      <c r="S2" s="2">
        <f>('[1]Pc, Summer, S1'!S2*Main!$B$5)+(_xlfn.IFNA(VLOOKUP($A2,'FL Ratio'!$A$3:$B$10,2,FALSE),0)*'FL Characterization'!S$2)</f>
        <v>51.580094891818142</v>
      </c>
      <c r="T2" s="2">
        <f>('[1]Pc, Summer, S1'!T2*Main!$B$5)+(_xlfn.IFNA(VLOOKUP($A2,'FL Ratio'!$A$3:$B$10,2,FALSE),0)*'FL Characterization'!T$2)</f>
        <v>51.79903323361291</v>
      </c>
      <c r="U2" s="2">
        <f>('[1]Pc, Summer, S1'!U2*Main!$B$5)+(_xlfn.IFNA(VLOOKUP($A2,'FL Ratio'!$A$3:$B$10,2,FALSE),0)*'FL Characterization'!U$2)</f>
        <v>50.941521095484788</v>
      </c>
      <c r="V2" s="2">
        <f>('[1]Pc, Summer, S1'!V2*Main!$B$5)+(_xlfn.IFNA(VLOOKUP($A2,'FL Ratio'!$A$3:$B$10,2,FALSE),0)*'FL Characterization'!V$2)</f>
        <v>51.094577926275306</v>
      </c>
      <c r="W2" s="2">
        <f>('[1]Pc, Summer, S1'!W2*Main!$B$5)+(_xlfn.IFNA(VLOOKUP($A2,'FL Ratio'!$A$3:$B$10,2,FALSE),0)*'FL Characterization'!W$2)</f>
        <v>53.210811615513038</v>
      </c>
      <c r="X2" s="2">
        <f>('[1]Pc, Summer, S1'!X2*Main!$B$5)+(_xlfn.IFNA(VLOOKUP($A2,'FL Ratio'!$A$3:$B$10,2,FALSE),0)*'FL Characterization'!X$2)</f>
        <v>49.598916913954682</v>
      </c>
      <c r="Y2" s="2">
        <f>('[1]Pc, Summer, S1'!Y2*Main!$B$5)+(_xlfn.IFNA(VLOOKUP($A2,'FL Ratio'!$A$3:$B$10,2,FALSE),0)*'FL Characterization'!Y$2)</f>
        <v>45.467050576375001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43.760098082039598</v>
      </c>
      <c r="C3" s="2">
        <f>('[1]Pc, Summer, S1'!C3*Main!$B$5)+(_xlfn.IFNA(VLOOKUP($A3,'FL Ratio'!$A$3:$B$10,2,FALSE),0)*'FL Characterization'!C$2)</f>
        <v>40.182967138955973</v>
      </c>
      <c r="D3" s="2">
        <f>('[1]Pc, Summer, S1'!D3*Main!$B$5)+(_xlfn.IFNA(VLOOKUP($A3,'FL Ratio'!$A$3:$B$10,2,FALSE),0)*'FL Characterization'!D$2)</f>
        <v>38.057969019064117</v>
      </c>
      <c r="E3" s="2">
        <f>('[1]Pc, Summer, S1'!E3*Main!$B$5)+(_xlfn.IFNA(VLOOKUP($A3,'FL Ratio'!$A$3:$B$10,2,FALSE),0)*'FL Characterization'!E$2)</f>
        <v>36.660971624421443</v>
      </c>
      <c r="F3" s="2">
        <f>('[1]Pc, Summer, S1'!F3*Main!$B$5)+(_xlfn.IFNA(VLOOKUP($A3,'FL Ratio'!$A$3:$B$10,2,FALSE),0)*'FL Characterization'!F$2)</f>
        <v>36.224728231577728</v>
      </c>
      <c r="G3" s="2">
        <f>('[1]Pc, Summer, S1'!G3*Main!$B$5)+(_xlfn.IFNA(VLOOKUP($A3,'FL Ratio'!$A$3:$B$10,2,FALSE),0)*'FL Characterization'!G$2)</f>
        <v>38.398979962932479</v>
      </c>
      <c r="H3" s="2">
        <f>('[1]Pc, Summer, S1'!H3*Main!$B$5)+(_xlfn.IFNA(VLOOKUP($A3,'FL Ratio'!$A$3:$B$10,2,FALSE),0)*'FL Characterization'!H$2)</f>
        <v>48.06233737198118</v>
      </c>
      <c r="I3" s="2">
        <f>('[1]Pc, Summer, S1'!I3*Main!$B$5)+(_xlfn.IFNA(VLOOKUP($A3,'FL Ratio'!$A$3:$B$10,2,FALSE),0)*'FL Characterization'!I$2)</f>
        <v>56.974254487349342</v>
      </c>
      <c r="J3" s="2">
        <f>('[1]Pc, Summer, S1'!J3*Main!$B$5)+(_xlfn.IFNA(VLOOKUP($A3,'FL Ratio'!$A$3:$B$10,2,FALSE),0)*'FL Characterization'!J$2)</f>
        <v>59.404701400359912</v>
      </c>
      <c r="K3" s="2">
        <f>('[1]Pc, Summer, S1'!K3*Main!$B$5)+(_xlfn.IFNA(VLOOKUP($A3,'FL Ratio'!$A$3:$B$10,2,FALSE),0)*'FL Characterization'!K$2)</f>
        <v>58.311526084483653</v>
      </c>
      <c r="L3" s="2">
        <f>('[1]Pc, Summer, S1'!L3*Main!$B$5)+(_xlfn.IFNA(VLOOKUP($A3,'FL Ratio'!$A$3:$B$10,2,FALSE),0)*'FL Characterization'!L$2)</f>
        <v>58.096159035421707</v>
      </c>
      <c r="M3" s="2">
        <f>('[1]Pc, Summer, S1'!M3*Main!$B$5)+(_xlfn.IFNA(VLOOKUP($A3,'FL Ratio'!$A$3:$B$10,2,FALSE),0)*'FL Characterization'!M$2)</f>
        <v>61.955961276125535</v>
      </c>
      <c r="N3" s="2">
        <f>('[1]Pc, Summer, S1'!N3*Main!$B$5)+(_xlfn.IFNA(VLOOKUP($A3,'FL Ratio'!$A$3:$B$10,2,FALSE),0)*'FL Characterization'!N$2)</f>
        <v>62.155495600059702</v>
      </c>
      <c r="O3" s="2">
        <f>('[1]Pc, Summer, S1'!O3*Main!$B$5)+(_xlfn.IFNA(VLOOKUP($A3,'FL Ratio'!$A$3:$B$10,2,FALSE),0)*'FL Characterization'!O$2)</f>
        <v>62.606967201688512</v>
      </c>
      <c r="P3" s="2">
        <f>('[1]Pc, Summer, S1'!P3*Main!$B$5)+(_xlfn.IFNA(VLOOKUP($A3,'FL Ratio'!$A$3:$B$10,2,FALSE),0)*'FL Characterization'!P$2)</f>
        <v>59.58122328315357</v>
      </c>
      <c r="Q3" s="2">
        <f>('[1]Pc, Summer, S1'!Q3*Main!$B$5)+(_xlfn.IFNA(VLOOKUP($A3,'FL Ratio'!$A$3:$B$10,2,FALSE),0)*'FL Characterization'!Q$2)</f>
        <v>56.444464435121056</v>
      </c>
      <c r="R3" s="2">
        <f>('[1]Pc, Summer, S1'!R3*Main!$B$5)+(_xlfn.IFNA(VLOOKUP($A3,'FL Ratio'!$A$3:$B$10,2,FALSE),0)*'FL Characterization'!R$2)</f>
        <v>52.197020602600645</v>
      </c>
      <c r="S3" s="2">
        <f>('[1]Pc, Summer, S1'!S3*Main!$B$5)+(_xlfn.IFNA(VLOOKUP($A3,'FL Ratio'!$A$3:$B$10,2,FALSE),0)*'FL Characterization'!S$2)</f>
        <v>52.799654570846243</v>
      </c>
      <c r="T3" s="2">
        <f>('[1]Pc, Summer, S1'!T3*Main!$B$5)+(_xlfn.IFNA(VLOOKUP($A3,'FL Ratio'!$A$3:$B$10,2,FALSE),0)*'FL Characterization'!T$2)</f>
        <v>52.31056033574837</v>
      </c>
      <c r="U3" s="2">
        <f>('[1]Pc, Summer, S1'!U3*Main!$B$5)+(_xlfn.IFNA(VLOOKUP($A3,'FL Ratio'!$A$3:$B$10,2,FALSE),0)*'FL Characterization'!U$2)</f>
        <v>52.104307684409015</v>
      </c>
      <c r="V3" s="2">
        <f>('[1]Pc, Summer, S1'!V3*Main!$B$5)+(_xlfn.IFNA(VLOOKUP($A3,'FL Ratio'!$A$3:$B$10,2,FALSE),0)*'FL Characterization'!V$2)</f>
        <v>52.357588627584704</v>
      </c>
      <c r="W3" s="2">
        <f>('[1]Pc, Summer, S1'!W3*Main!$B$5)+(_xlfn.IFNA(VLOOKUP($A3,'FL Ratio'!$A$3:$B$10,2,FALSE),0)*'FL Characterization'!W$2)</f>
        <v>52.074299155332497</v>
      </c>
      <c r="X3" s="2">
        <f>('[1]Pc, Summer, S1'!X3*Main!$B$5)+(_xlfn.IFNA(VLOOKUP($A3,'FL Ratio'!$A$3:$B$10,2,FALSE),0)*'FL Characterization'!X$2)</f>
        <v>51.853124289817067</v>
      </c>
      <c r="Y3" s="2">
        <f>('[1]Pc, Summer, S1'!Y3*Main!$B$5)+(_xlfn.IFNA(VLOOKUP($A3,'FL Ratio'!$A$3:$B$10,2,FALSE),0)*'FL Characterization'!Y$2)</f>
        <v>49.081369605808675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58.044829145079134</v>
      </c>
      <c r="C4" s="2">
        <f>('[1]Pc, Summer, S1'!C4*Main!$B$5)+(_xlfn.IFNA(VLOOKUP($A4,'FL Ratio'!$A$3:$B$10,2,FALSE),0)*'FL Characterization'!C$2)</f>
        <v>51.518280116864645</v>
      </c>
      <c r="D4" s="2">
        <f>('[1]Pc, Summer, S1'!D4*Main!$B$5)+(_xlfn.IFNA(VLOOKUP($A4,'FL Ratio'!$A$3:$B$10,2,FALSE),0)*'FL Characterization'!D$2)</f>
        <v>48.573370105391938</v>
      </c>
      <c r="E4" s="2">
        <f>('[1]Pc, Summer, S1'!E4*Main!$B$5)+(_xlfn.IFNA(VLOOKUP($A4,'FL Ratio'!$A$3:$B$10,2,FALSE),0)*'FL Characterization'!E$2)</f>
        <v>46.980789148698705</v>
      </c>
      <c r="F4" s="2">
        <f>('[1]Pc, Summer, S1'!F4*Main!$B$5)+(_xlfn.IFNA(VLOOKUP($A4,'FL Ratio'!$A$3:$B$10,2,FALSE),0)*'FL Characterization'!F$2)</f>
        <v>49.222717640956375</v>
      </c>
      <c r="G4" s="2">
        <f>('[1]Pc, Summer, S1'!G4*Main!$B$5)+(_xlfn.IFNA(VLOOKUP($A4,'FL Ratio'!$A$3:$B$10,2,FALSE),0)*'FL Characterization'!G$2)</f>
        <v>44.951925491280498</v>
      </c>
      <c r="H4" s="2">
        <f>('[1]Pc, Summer, S1'!H4*Main!$B$5)+(_xlfn.IFNA(VLOOKUP($A4,'FL Ratio'!$A$3:$B$10,2,FALSE),0)*'FL Characterization'!H$2)</f>
        <v>52.804511115378723</v>
      </c>
      <c r="I4" s="2">
        <f>('[1]Pc, Summer, S1'!I4*Main!$B$5)+(_xlfn.IFNA(VLOOKUP($A4,'FL Ratio'!$A$3:$B$10,2,FALSE),0)*'FL Characterization'!I$2)</f>
        <v>59.263049164939694</v>
      </c>
      <c r="J4" s="2">
        <f>('[1]Pc, Summer, S1'!J4*Main!$B$5)+(_xlfn.IFNA(VLOOKUP($A4,'FL Ratio'!$A$3:$B$10,2,FALSE),0)*'FL Characterization'!J$2)</f>
        <v>66.675704321718726</v>
      </c>
      <c r="K4" s="2">
        <f>('[1]Pc, Summer, S1'!K4*Main!$B$5)+(_xlfn.IFNA(VLOOKUP($A4,'FL Ratio'!$A$3:$B$10,2,FALSE),0)*'FL Characterization'!K$2)</f>
        <v>71.681356393173999</v>
      </c>
      <c r="L4" s="2">
        <f>('[1]Pc, Summer, S1'!L4*Main!$B$5)+(_xlfn.IFNA(VLOOKUP($A4,'FL Ratio'!$A$3:$B$10,2,FALSE),0)*'FL Characterization'!L$2)</f>
        <v>73.772798377983008</v>
      </c>
      <c r="M4" s="2">
        <f>('[1]Pc, Summer, S1'!M4*Main!$B$5)+(_xlfn.IFNA(VLOOKUP($A4,'FL Ratio'!$A$3:$B$10,2,FALSE),0)*'FL Characterization'!M$2)</f>
        <v>75.003284212612826</v>
      </c>
      <c r="N4" s="2">
        <f>('[1]Pc, Summer, S1'!N4*Main!$B$5)+(_xlfn.IFNA(VLOOKUP($A4,'FL Ratio'!$A$3:$B$10,2,FALSE),0)*'FL Characterization'!N$2)</f>
        <v>76.668915725581414</v>
      </c>
      <c r="O4" s="2">
        <f>('[1]Pc, Summer, S1'!O4*Main!$B$5)+(_xlfn.IFNA(VLOOKUP($A4,'FL Ratio'!$A$3:$B$10,2,FALSE),0)*'FL Characterization'!O$2)</f>
        <v>77.743944648540165</v>
      </c>
      <c r="P4" s="2">
        <f>('[1]Pc, Summer, S1'!P4*Main!$B$5)+(_xlfn.IFNA(VLOOKUP($A4,'FL Ratio'!$A$3:$B$10,2,FALSE),0)*'FL Characterization'!P$2)</f>
        <v>78.077930008849293</v>
      </c>
      <c r="Q4" s="2">
        <f>('[1]Pc, Summer, S1'!Q4*Main!$B$5)+(_xlfn.IFNA(VLOOKUP($A4,'FL Ratio'!$A$3:$B$10,2,FALSE),0)*'FL Characterization'!Q$2)</f>
        <v>75.1567001790322</v>
      </c>
      <c r="R4" s="2">
        <f>('[1]Pc, Summer, S1'!R4*Main!$B$5)+(_xlfn.IFNA(VLOOKUP($A4,'FL Ratio'!$A$3:$B$10,2,FALSE),0)*'FL Characterization'!R$2)</f>
        <v>74.738968352431883</v>
      </c>
      <c r="S4" s="2">
        <f>('[1]Pc, Summer, S1'!S4*Main!$B$5)+(_xlfn.IFNA(VLOOKUP($A4,'FL Ratio'!$A$3:$B$10,2,FALSE),0)*'FL Characterization'!S$2)</f>
        <v>72.450387510154826</v>
      </c>
      <c r="T4" s="2">
        <f>('[1]Pc, Summer, S1'!T4*Main!$B$5)+(_xlfn.IFNA(VLOOKUP($A4,'FL Ratio'!$A$3:$B$10,2,FALSE),0)*'FL Characterization'!T$2)</f>
        <v>72.336267252924685</v>
      </c>
      <c r="U4" s="2">
        <f>('[1]Pc, Summer, S1'!U4*Main!$B$5)+(_xlfn.IFNA(VLOOKUP($A4,'FL Ratio'!$A$3:$B$10,2,FALSE),0)*'FL Characterization'!U$2)</f>
        <v>72.719031616900338</v>
      </c>
      <c r="V4" s="2">
        <f>('[1]Pc, Summer, S1'!V4*Main!$B$5)+(_xlfn.IFNA(VLOOKUP($A4,'FL Ratio'!$A$3:$B$10,2,FALSE),0)*'FL Characterization'!V$2)</f>
        <v>72.3785619247505</v>
      </c>
      <c r="W4" s="2">
        <f>('[1]Pc, Summer, S1'!W4*Main!$B$5)+(_xlfn.IFNA(VLOOKUP($A4,'FL Ratio'!$A$3:$B$10,2,FALSE),0)*'FL Characterization'!W$2)</f>
        <v>74.66331289492868</v>
      </c>
      <c r="X4" s="2">
        <f>('[1]Pc, Summer, S1'!X4*Main!$B$5)+(_xlfn.IFNA(VLOOKUP($A4,'FL Ratio'!$A$3:$B$10,2,FALSE),0)*'FL Characterization'!X$2)</f>
        <v>74.591540026341022</v>
      </c>
      <c r="Y4" s="2">
        <f>('[1]Pc, Summer, S1'!Y4*Main!$B$5)+(_xlfn.IFNA(VLOOKUP($A4,'FL Ratio'!$A$3:$B$10,2,FALSE),0)*'FL Characterization'!Y$2)</f>
        <v>67.317194221897637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496BB-E9F6-4441-8479-A4E462FEE7A4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41.657185706737785</v>
      </c>
      <c r="C2" s="2">
        <f>('[1]Pc, Summer, S2'!C2*Main!$B$5)+(_xlfn.IFNA(VLOOKUP($A2,'FL Ratio'!$A$3:$B$10,2,FALSE),0)*'FL Characterization'!C$2)</f>
        <v>37.847417403875781</v>
      </c>
      <c r="D2" s="2">
        <f>('[1]Pc, Summer, S2'!D2*Main!$B$5)+(_xlfn.IFNA(VLOOKUP($A2,'FL Ratio'!$A$3:$B$10,2,FALSE),0)*'FL Characterization'!D$2)</f>
        <v>37.186321387113161</v>
      </c>
      <c r="E2" s="2">
        <f>('[1]Pc, Summer, S2'!E2*Main!$B$5)+(_xlfn.IFNA(VLOOKUP($A2,'FL Ratio'!$A$3:$B$10,2,FALSE),0)*'FL Characterization'!E$2)</f>
        <v>37.091326547402929</v>
      </c>
      <c r="F2" s="2">
        <f>('[1]Pc, Summer, S2'!F2*Main!$B$5)+(_xlfn.IFNA(VLOOKUP($A2,'FL Ratio'!$A$3:$B$10,2,FALSE),0)*'FL Characterization'!F$2)</f>
        <v>37.094250831681748</v>
      </c>
      <c r="G2" s="2">
        <f>('[1]Pc, Summer, S2'!G2*Main!$B$5)+(_xlfn.IFNA(VLOOKUP($A2,'FL Ratio'!$A$3:$B$10,2,FALSE),0)*'FL Characterization'!G$2)</f>
        <v>36.766200116031548</v>
      </c>
      <c r="H2" s="2">
        <f>('[1]Pc, Summer, S2'!H2*Main!$B$5)+(_xlfn.IFNA(VLOOKUP($A2,'FL Ratio'!$A$3:$B$10,2,FALSE),0)*'FL Characterization'!H$2)</f>
        <v>39.692395029126949</v>
      </c>
      <c r="I2" s="2">
        <f>('[1]Pc, Summer, S2'!I2*Main!$B$5)+(_xlfn.IFNA(VLOOKUP($A2,'FL Ratio'!$A$3:$B$10,2,FALSE),0)*'FL Characterization'!I$2)</f>
        <v>47.124570066153488</v>
      </c>
      <c r="J2" s="2">
        <f>('[1]Pc, Summer, S2'!J2*Main!$B$5)+(_xlfn.IFNA(VLOOKUP($A2,'FL Ratio'!$A$3:$B$10,2,FALSE),0)*'FL Characterization'!J$2)</f>
        <v>53.708610154783202</v>
      </c>
      <c r="K2" s="2">
        <f>('[1]Pc, Summer, S2'!K2*Main!$B$5)+(_xlfn.IFNA(VLOOKUP($A2,'FL Ratio'!$A$3:$B$10,2,FALSE),0)*'FL Characterization'!K$2)</f>
        <v>55.358970973146441</v>
      </c>
      <c r="L2" s="2">
        <f>('[1]Pc, Summer, S2'!L2*Main!$B$5)+(_xlfn.IFNA(VLOOKUP($A2,'FL Ratio'!$A$3:$B$10,2,FALSE),0)*'FL Characterization'!L$2)</f>
        <v>54.798752955588384</v>
      </c>
      <c r="M2" s="2">
        <f>('[1]Pc, Summer, S2'!M2*Main!$B$5)+(_xlfn.IFNA(VLOOKUP($A2,'FL Ratio'!$A$3:$B$10,2,FALSE),0)*'FL Characterization'!M$2)</f>
        <v>56.348385398425577</v>
      </c>
      <c r="N2" s="2">
        <f>('[1]Pc, Summer, S2'!N2*Main!$B$5)+(_xlfn.IFNA(VLOOKUP($A2,'FL Ratio'!$A$3:$B$10,2,FALSE),0)*'FL Characterization'!N$2)</f>
        <v>57.12136643510415</v>
      </c>
      <c r="O2" s="2">
        <f>('[1]Pc, Summer, S2'!O2*Main!$B$5)+(_xlfn.IFNA(VLOOKUP($A2,'FL Ratio'!$A$3:$B$10,2,FALSE),0)*'FL Characterization'!O$2)</f>
        <v>56.064728169078343</v>
      </c>
      <c r="P2" s="2">
        <f>('[1]Pc, Summer, S2'!P2*Main!$B$5)+(_xlfn.IFNA(VLOOKUP($A2,'FL Ratio'!$A$3:$B$10,2,FALSE),0)*'FL Characterization'!P$2)</f>
        <v>53.873987214030151</v>
      </c>
      <c r="Q2" s="2">
        <f>('[1]Pc, Summer, S2'!Q2*Main!$B$5)+(_xlfn.IFNA(VLOOKUP($A2,'FL Ratio'!$A$3:$B$10,2,FALSE),0)*'FL Characterization'!Q$2)</f>
        <v>51.705652172706053</v>
      </c>
      <c r="R2" s="2">
        <f>('[1]Pc, Summer, S2'!R2*Main!$B$5)+(_xlfn.IFNA(VLOOKUP($A2,'FL Ratio'!$A$3:$B$10,2,FALSE),0)*'FL Characterization'!R$2)</f>
        <v>52.607746346201743</v>
      </c>
      <c r="S2" s="2">
        <f>('[1]Pc, Summer, S2'!S2*Main!$B$5)+(_xlfn.IFNA(VLOOKUP($A2,'FL Ratio'!$A$3:$B$10,2,FALSE),0)*'FL Characterization'!S$2)</f>
        <v>53.127497738572686</v>
      </c>
      <c r="T2" s="2">
        <f>('[1]Pc, Summer, S2'!T2*Main!$B$5)+(_xlfn.IFNA(VLOOKUP($A2,'FL Ratio'!$A$3:$B$10,2,FALSE),0)*'FL Characterization'!T$2)</f>
        <v>53.353004230621302</v>
      </c>
      <c r="U2" s="2">
        <f>('[1]Pc, Summer, S2'!U2*Main!$B$5)+(_xlfn.IFNA(VLOOKUP($A2,'FL Ratio'!$A$3:$B$10,2,FALSE),0)*'FL Characterization'!U$2)</f>
        <v>52.469766728349327</v>
      </c>
      <c r="V2" s="2">
        <f>('[1]Pc, Summer, S2'!V2*Main!$B$5)+(_xlfn.IFNA(VLOOKUP($A2,'FL Ratio'!$A$3:$B$10,2,FALSE),0)*'FL Characterization'!V$2)</f>
        <v>52.627415264063565</v>
      </c>
      <c r="W2" s="2">
        <f>('[1]Pc, Summer, S2'!W2*Main!$B$5)+(_xlfn.IFNA(VLOOKUP($A2,'FL Ratio'!$A$3:$B$10,2,FALSE),0)*'FL Characterization'!W$2)</f>
        <v>54.807135963978432</v>
      </c>
      <c r="X2" s="2">
        <f>('[1]Pc, Summer, S2'!X2*Main!$B$5)+(_xlfn.IFNA(VLOOKUP($A2,'FL Ratio'!$A$3:$B$10,2,FALSE),0)*'FL Characterization'!X$2)</f>
        <v>51.08688442137332</v>
      </c>
      <c r="Y2" s="2">
        <f>('[1]Pc, Summer, S2'!Y2*Main!$B$5)+(_xlfn.IFNA(VLOOKUP($A2,'FL Ratio'!$A$3:$B$10,2,FALSE),0)*'FL Characterization'!Y$2)</f>
        <v>46.83106209366624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44.990326062363586</v>
      </c>
      <c r="C3" s="2">
        <f>('[1]Pc, Summer, S2'!C3*Main!$B$5)+(_xlfn.IFNA(VLOOKUP($A3,'FL Ratio'!$A$3:$B$10,2,FALSE),0)*'FL Characterization'!C$2)</f>
        <v>41.303126676751333</v>
      </c>
      <c r="D3" s="2">
        <f>('[1]Pc, Summer, S2'!D3*Main!$B$5)+(_xlfn.IFNA(VLOOKUP($A3,'FL Ratio'!$A$3:$B$10,2,FALSE),0)*'FL Characterization'!D$2)</f>
        <v>39.123300552056811</v>
      </c>
      <c r="E3" s="2">
        <f>('[1]Pc, Summer, S2'!E3*Main!$B$5)+(_xlfn.IFNA(VLOOKUP($A3,'FL Ratio'!$A$3:$B$10,2,FALSE),0)*'FL Characterization'!E$2)</f>
        <v>37.688377203726134</v>
      </c>
      <c r="F3" s="2">
        <f>('[1]Pc, Summer, S2'!F3*Main!$B$5)+(_xlfn.IFNA(VLOOKUP($A3,'FL Ratio'!$A$3:$B$10,2,FALSE),0)*'FL Characterization'!F$2)</f>
        <v>37.25213381088242</v>
      </c>
      <c r="G3" s="2">
        <f>('[1]Pc, Summer, S2'!G3*Main!$B$5)+(_xlfn.IFNA(VLOOKUP($A3,'FL Ratio'!$A$3:$B$10,2,FALSE),0)*'FL Characterization'!G$2)</f>
        <v>39.500588779591155</v>
      </c>
      <c r="H3" s="2">
        <f>('[1]Pc, Summer, S2'!H3*Main!$B$5)+(_xlfn.IFNA(VLOOKUP($A3,'FL Ratio'!$A$3:$B$10,2,FALSE),0)*'FL Characterization'!H$2)</f>
        <v>49.442620585817238</v>
      </c>
      <c r="I3" s="2">
        <f>('[1]Pc, Summer, S2'!I3*Main!$B$5)+(_xlfn.IFNA(VLOOKUP($A3,'FL Ratio'!$A$3:$B$10,2,FALSE),0)*'FL Characterization'!I$2)</f>
        <v>58.672786544740767</v>
      </c>
      <c r="J3" s="2">
        <f>('[1]Pc, Summer, S2'!J3*Main!$B$5)+(_xlfn.IFNA(VLOOKUP($A3,'FL Ratio'!$A$3:$B$10,2,FALSE),0)*'FL Characterization'!J$2)</f>
        <v>61.17743678400344</v>
      </c>
      <c r="K3" s="2">
        <f>('[1]Pc, Summer, S2'!K3*Main!$B$5)+(_xlfn.IFNA(VLOOKUP($A3,'FL Ratio'!$A$3:$B$10,2,FALSE),0)*'FL Characterization'!K$2)</f>
        <v>60.047159760784176</v>
      </c>
      <c r="L3" s="2">
        <f>('[1]Pc, Summer, S2'!L3*Main!$B$5)+(_xlfn.IFNA(VLOOKUP($A3,'FL Ratio'!$A$3:$B$10,2,FALSE),0)*'FL Characterization'!L$2)</f>
        <v>59.830968376943325</v>
      </c>
      <c r="M3" s="2">
        <f>('[1]Pc, Summer, S2'!M3*Main!$B$5)+(_xlfn.IFNA(VLOOKUP($A3,'FL Ratio'!$A$3:$B$10,2,FALSE),0)*'FL Characterization'!M$2)</f>
        <v>63.804549186646703</v>
      </c>
      <c r="N3" s="2">
        <f>('[1]Pc, Summer, S2'!N3*Main!$B$5)+(_xlfn.IFNA(VLOOKUP($A3,'FL Ratio'!$A$3:$B$10,2,FALSE),0)*'FL Characterization'!N$2)</f>
        <v>64.00408351058087</v>
      </c>
      <c r="O3" s="2">
        <f>('[1]Pc, Summer, S2'!O3*Main!$B$5)+(_xlfn.IFNA(VLOOKUP($A3,'FL Ratio'!$A$3:$B$10,2,FALSE),0)*'FL Characterization'!O$2)</f>
        <v>64.45555511220968</v>
      </c>
      <c r="P3" s="2">
        <f>('[1]Pc, Summer, S2'!P3*Main!$B$5)+(_xlfn.IFNA(VLOOKUP($A3,'FL Ratio'!$A$3:$B$10,2,FALSE),0)*'FL Characterization'!P$2)</f>
        <v>61.337056969534167</v>
      </c>
      <c r="Q3" s="2">
        <f>('[1]Pc, Summer, S2'!Q3*Main!$B$5)+(_xlfn.IFNA(VLOOKUP($A3,'FL Ratio'!$A$3:$B$10,2,FALSE),0)*'FL Characterization'!Q$2)</f>
        <v>58.106719385598275</v>
      </c>
      <c r="R3" s="2">
        <f>('[1]Pc, Summer, S2'!R3*Main!$B$5)+(_xlfn.IFNA(VLOOKUP($A3,'FL Ratio'!$A$3:$B$10,2,FALSE),0)*'FL Characterization'!R$2)</f>
        <v>53.745497161062197</v>
      </c>
      <c r="S3" s="2">
        <f>('[1]Pc, Summer, S2'!S3*Main!$B$5)+(_xlfn.IFNA(VLOOKUP($A3,'FL Ratio'!$A$3:$B$10,2,FALSE),0)*'FL Characterization'!S$2)</f>
        <v>54.348131129307795</v>
      </c>
      <c r="T3" s="2">
        <f>('[1]Pc, Summer, S2'!T3*Main!$B$5)+(_xlfn.IFNA(VLOOKUP($A3,'FL Ratio'!$A$3:$B$10,2,FALSE),0)*'FL Characterization'!T$2)</f>
        <v>53.859036894209922</v>
      </c>
      <c r="U3" s="2">
        <f>('[1]Pc, Summer, S2'!U3*Main!$B$5)+(_xlfn.IFNA(VLOOKUP($A3,'FL Ratio'!$A$3:$B$10,2,FALSE),0)*'FL Characterization'!U$2)</f>
        <v>53.652784242870567</v>
      </c>
      <c r="V3" s="2">
        <f>('[1]Pc, Summer, S2'!V3*Main!$B$5)+(_xlfn.IFNA(VLOOKUP($A3,'FL Ratio'!$A$3:$B$10,2,FALSE),0)*'FL Characterization'!V$2)</f>
        <v>53.906065186046256</v>
      </c>
      <c r="W3" s="2">
        <f>('[1]Pc, Summer, S2'!W3*Main!$B$5)+(_xlfn.IFNA(VLOOKUP($A3,'FL Ratio'!$A$3:$B$10,2,FALSE),0)*'FL Characterization'!W$2)</f>
        <v>53.622775713794049</v>
      </c>
      <c r="X3" s="2">
        <f>('[1]Pc, Summer, S2'!X3*Main!$B$5)+(_xlfn.IFNA(VLOOKUP($A3,'FL Ratio'!$A$3:$B$10,2,FALSE),0)*'FL Characterization'!X$2)</f>
        <v>53.345948685564885</v>
      </c>
      <c r="Y3" s="2">
        <f>('[1]Pc, Summer, S2'!Y3*Main!$B$5)+(_xlfn.IFNA(VLOOKUP($A3,'FL Ratio'!$A$3:$B$10,2,FALSE),0)*'FL Characterization'!Y$2)</f>
        <v>50.478142172418274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59.703599057294319</v>
      </c>
      <c r="C4" s="2">
        <f>('[1]Pc, Summer, S2'!C4*Main!$B$5)+(_xlfn.IFNA(VLOOKUP($A4,'FL Ratio'!$A$3:$B$10,2,FALSE),0)*'FL Characterization'!C$2)</f>
        <v>52.97849904399726</v>
      </c>
      <c r="D4" s="2">
        <f>('[1]Pc, Summer, S2'!D4*Main!$B$5)+(_xlfn.IFNA(VLOOKUP($A4,'FL Ratio'!$A$3:$B$10,2,FALSE),0)*'FL Characterization'!D$2)</f>
        <v>49.954163670974467</v>
      </c>
      <c r="E4" s="2">
        <f>('[1]Pc, Summer, S2'!E4*Main!$B$5)+(_xlfn.IFNA(VLOOKUP($A4,'FL Ratio'!$A$3:$B$10,2,FALSE),0)*'FL Characterization'!E$2)</f>
        <v>48.317789253731718</v>
      </c>
      <c r="F4" s="2">
        <f>('[1]Pc, Summer, S2'!F4*Main!$B$5)+(_xlfn.IFNA(VLOOKUP($A4,'FL Ratio'!$A$3:$B$10,2,FALSE),0)*'FL Characterization'!F$2)</f>
        <v>50.640062902542418</v>
      </c>
      <c r="G4" s="2">
        <f>('[1]Pc, Summer, S2'!G4*Main!$B$5)+(_xlfn.IFNA(VLOOKUP($A4,'FL Ratio'!$A$3:$B$10,2,FALSE),0)*'FL Characterization'!G$2)</f>
        <v>46.250122673789612</v>
      </c>
      <c r="H4" s="2">
        <f>('[1]Pc, Summer, S2'!H4*Main!$B$5)+(_xlfn.IFNA(VLOOKUP($A4,'FL Ratio'!$A$3:$B$10,2,FALSE),0)*'FL Characterization'!H$2)</f>
        <v>54.327059541516704</v>
      </c>
      <c r="I4" s="2">
        <f>('[1]Pc, Summer, S2'!I4*Main!$B$5)+(_xlfn.IFNA(VLOOKUP($A4,'FL Ratio'!$A$3:$B$10,2,FALSE),0)*'FL Characterization'!I$2)</f>
        <v>61.030245062658821</v>
      </c>
      <c r="J4" s="2">
        <f>('[1]Pc, Summer, S2'!J4*Main!$B$5)+(_xlfn.IFNA(VLOOKUP($A4,'FL Ratio'!$A$3:$B$10,2,FALSE),0)*'FL Characterization'!J$2)</f>
        <v>68.666569793003035</v>
      </c>
      <c r="K4" s="2">
        <f>('[1]Pc, Summer, S2'!K4*Main!$B$5)+(_xlfn.IFNA(VLOOKUP($A4,'FL Ratio'!$A$3:$B$10,2,FALSE),0)*'FL Characterization'!K$2)</f>
        <v>73.818084978735229</v>
      </c>
      <c r="L4" s="2">
        <f>('[1]Pc, Summer, S2'!L4*Main!$B$5)+(_xlfn.IFNA(VLOOKUP($A4,'FL Ratio'!$A$3:$B$10,2,FALSE),0)*'FL Characterization'!L$2)</f>
        <v>75.977906899781473</v>
      </c>
      <c r="M4" s="2">
        <f>('[1]Pc, Summer, S2'!M4*Main!$B$5)+(_xlfn.IFNA(VLOOKUP($A4,'FL Ratio'!$A$3:$B$10,2,FALSE),0)*'FL Characterization'!M$2)</f>
        <v>77.243291811228616</v>
      </c>
      <c r="N4" s="2">
        <f>('[1]Pc, Summer, S2'!N4*Main!$B$5)+(_xlfn.IFNA(VLOOKUP($A4,'FL Ratio'!$A$3:$B$10,2,FALSE),0)*'FL Characterization'!N$2)</f>
        <v>78.952906239868241</v>
      </c>
      <c r="O4" s="2">
        <f>('[1]Pc, Summer, S2'!O4*Main!$B$5)+(_xlfn.IFNA(VLOOKUP($A4,'FL Ratio'!$A$3:$B$10,2,FALSE),0)*'FL Characterization'!O$2)</f>
        <v>80.046641882466886</v>
      </c>
      <c r="P4" s="2">
        <f>('[1]Pc, Summer, S2'!P4*Main!$B$5)+(_xlfn.IFNA(VLOOKUP($A4,'FL Ratio'!$A$3:$B$10,2,FALSE),0)*'FL Characterization'!P$2)</f>
        <v>80.388664897000766</v>
      </c>
      <c r="Q4" s="2">
        <f>('[1]Pc, Summer, S2'!Q4*Main!$B$5)+(_xlfn.IFNA(VLOOKUP($A4,'FL Ratio'!$A$3:$B$10,2,FALSE),0)*'FL Characterization'!Q$2)</f>
        <v>77.380322201826743</v>
      </c>
      <c r="R4" s="2">
        <f>('[1]Pc, Summer, S2'!R4*Main!$B$5)+(_xlfn.IFNA(VLOOKUP($A4,'FL Ratio'!$A$3:$B$10,2,FALSE),0)*'FL Characterization'!R$2)</f>
        <v>76.96370334338836</v>
      </c>
      <c r="S4" s="2">
        <f>('[1]Pc, Summer, S2'!S4*Main!$B$5)+(_xlfn.IFNA(VLOOKUP($A4,'FL Ratio'!$A$3:$B$10,2,FALSE),0)*'FL Characterization'!S$2)</f>
        <v>74.588386056795628</v>
      </c>
      <c r="T4" s="2">
        <f>('[1]Pc, Summer, S2'!T4*Main!$B$5)+(_xlfn.IFNA(VLOOKUP($A4,'FL Ratio'!$A$3:$B$10,2,FALSE),0)*'FL Characterization'!T$2)</f>
        <v>74.485515018901523</v>
      </c>
      <c r="U4" s="2">
        <f>('[1]Pc, Summer, S2'!U4*Main!$B$5)+(_xlfn.IFNA(VLOOKUP($A4,'FL Ratio'!$A$3:$B$10,2,FALSE),0)*'FL Characterization'!U$2)</f>
        <v>74.88594989333663</v>
      </c>
      <c r="V4" s="2">
        <f>('[1]Pc, Summer, S2'!V4*Main!$B$5)+(_xlfn.IFNA(VLOOKUP($A4,'FL Ratio'!$A$3:$B$10,2,FALSE),0)*'FL Characterization'!V$2)</f>
        <v>74.527667682127031</v>
      </c>
      <c r="W4" s="2">
        <f>('[1]Pc, Summer, S2'!W4*Main!$B$5)+(_xlfn.IFNA(VLOOKUP($A4,'FL Ratio'!$A$3:$B$10,2,FALSE),0)*'FL Characterization'!W$2)</f>
        <v>76.889459865578118</v>
      </c>
      <c r="X4" s="2">
        <f>('[1]Pc, Summer, S2'!X4*Main!$B$5)+(_xlfn.IFNA(VLOOKUP($A4,'FL Ratio'!$A$3:$B$10,2,FALSE),0)*'FL Characterization'!X$2)</f>
        <v>76.766516894184548</v>
      </c>
      <c r="Y4" s="2">
        <f>('[1]Pc, Summer, S2'!Y4*Main!$B$5)+(_xlfn.IFNA(VLOOKUP($A4,'FL Ratio'!$A$3:$B$10,2,FALSE),0)*'FL Characterization'!Y$2)</f>
        <v>69.261041526989899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50CD1-D625-4A92-9BA0-2060A94ABB5B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41.657185706737785</v>
      </c>
      <c r="C2" s="2">
        <f>('[1]Pc, Summer, S2'!C2*Main!$B$5)+(_xlfn.IFNA(VLOOKUP($A2,'FL Ratio'!$A$3:$B$10,2,FALSE),0)*'FL Characterization'!C$2)</f>
        <v>37.847417403875781</v>
      </c>
      <c r="D2" s="2">
        <f>('[1]Pc, Summer, S2'!D2*Main!$B$5)+(_xlfn.IFNA(VLOOKUP($A2,'FL Ratio'!$A$3:$B$10,2,FALSE),0)*'FL Characterization'!D$2)</f>
        <v>37.186321387113161</v>
      </c>
      <c r="E2" s="2">
        <f>('[1]Pc, Summer, S2'!E2*Main!$B$5)+(_xlfn.IFNA(VLOOKUP($A2,'FL Ratio'!$A$3:$B$10,2,FALSE),0)*'FL Characterization'!E$2)</f>
        <v>37.091326547402929</v>
      </c>
      <c r="F2" s="2">
        <f>('[1]Pc, Summer, S2'!F2*Main!$B$5)+(_xlfn.IFNA(VLOOKUP($A2,'FL Ratio'!$A$3:$B$10,2,FALSE),0)*'FL Characterization'!F$2)</f>
        <v>37.094250831681748</v>
      </c>
      <c r="G2" s="2">
        <f>('[1]Pc, Summer, S2'!G2*Main!$B$5)+(_xlfn.IFNA(VLOOKUP($A2,'FL Ratio'!$A$3:$B$10,2,FALSE),0)*'FL Characterization'!G$2)</f>
        <v>36.766200116031548</v>
      </c>
      <c r="H2" s="2">
        <f>('[1]Pc, Summer, S2'!H2*Main!$B$5)+(_xlfn.IFNA(VLOOKUP($A2,'FL Ratio'!$A$3:$B$10,2,FALSE),0)*'FL Characterization'!H$2)</f>
        <v>39.692395029126949</v>
      </c>
      <c r="I2" s="2">
        <f>('[1]Pc, Summer, S2'!I2*Main!$B$5)+(_xlfn.IFNA(VLOOKUP($A2,'FL Ratio'!$A$3:$B$10,2,FALSE),0)*'FL Characterization'!I$2)</f>
        <v>47.124570066153488</v>
      </c>
      <c r="J2" s="2">
        <f>('[1]Pc, Summer, S2'!J2*Main!$B$5)+(_xlfn.IFNA(VLOOKUP($A2,'FL Ratio'!$A$3:$B$10,2,FALSE),0)*'FL Characterization'!J$2)</f>
        <v>53.708610154783202</v>
      </c>
      <c r="K2" s="2">
        <f>('[1]Pc, Summer, S2'!K2*Main!$B$5)+(_xlfn.IFNA(VLOOKUP($A2,'FL Ratio'!$A$3:$B$10,2,FALSE),0)*'FL Characterization'!K$2)</f>
        <v>55.358970973146441</v>
      </c>
      <c r="L2" s="2">
        <f>('[1]Pc, Summer, S2'!L2*Main!$B$5)+(_xlfn.IFNA(VLOOKUP($A2,'FL Ratio'!$A$3:$B$10,2,FALSE),0)*'FL Characterization'!L$2)</f>
        <v>54.798752955588384</v>
      </c>
      <c r="M2" s="2">
        <f>('[1]Pc, Summer, S2'!M2*Main!$B$5)+(_xlfn.IFNA(VLOOKUP($A2,'FL Ratio'!$A$3:$B$10,2,FALSE),0)*'FL Characterization'!M$2)</f>
        <v>56.348385398425577</v>
      </c>
      <c r="N2" s="2">
        <f>('[1]Pc, Summer, S2'!N2*Main!$B$5)+(_xlfn.IFNA(VLOOKUP($A2,'FL Ratio'!$A$3:$B$10,2,FALSE),0)*'FL Characterization'!N$2)</f>
        <v>57.12136643510415</v>
      </c>
      <c r="O2" s="2">
        <f>('[1]Pc, Summer, S2'!O2*Main!$B$5)+(_xlfn.IFNA(VLOOKUP($A2,'FL Ratio'!$A$3:$B$10,2,FALSE),0)*'FL Characterization'!O$2)</f>
        <v>56.064728169078343</v>
      </c>
      <c r="P2" s="2">
        <f>('[1]Pc, Summer, S2'!P2*Main!$B$5)+(_xlfn.IFNA(VLOOKUP($A2,'FL Ratio'!$A$3:$B$10,2,FALSE),0)*'FL Characterization'!P$2)</f>
        <v>53.873987214030151</v>
      </c>
      <c r="Q2" s="2">
        <f>('[1]Pc, Summer, S2'!Q2*Main!$B$5)+(_xlfn.IFNA(VLOOKUP($A2,'FL Ratio'!$A$3:$B$10,2,FALSE),0)*'FL Characterization'!Q$2)</f>
        <v>51.705652172706053</v>
      </c>
      <c r="R2" s="2">
        <f>('[1]Pc, Summer, S2'!R2*Main!$B$5)+(_xlfn.IFNA(VLOOKUP($A2,'FL Ratio'!$A$3:$B$10,2,FALSE),0)*'FL Characterization'!R$2)</f>
        <v>52.607746346201743</v>
      </c>
      <c r="S2" s="2">
        <f>('[1]Pc, Summer, S2'!S2*Main!$B$5)+(_xlfn.IFNA(VLOOKUP($A2,'FL Ratio'!$A$3:$B$10,2,FALSE),0)*'FL Characterization'!S$2)</f>
        <v>53.127497738572686</v>
      </c>
      <c r="T2" s="2">
        <f>('[1]Pc, Summer, S2'!T2*Main!$B$5)+(_xlfn.IFNA(VLOOKUP($A2,'FL Ratio'!$A$3:$B$10,2,FALSE),0)*'FL Characterization'!T$2)</f>
        <v>53.353004230621302</v>
      </c>
      <c r="U2" s="2">
        <f>('[1]Pc, Summer, S2'!U2*Main!$B$5)+(_xlfn.IFNA(VLOOKUP($A2,'FL Ratio'!$A$3:$B$10,2,FALSE),0)*'FL Characterization'!U$2)</f>
        <v>52.469766728349327</v>
      </c>
      <c r="V2" s="2">
        <f>('[1]Pc, Summer, S2'!V2*Main!$B$5)+(_xlfn.IFNA(VLOOKUP($A2,'FL Ratio'!$A$3:$B$10,2,FALSE),0)*'FL Characterization'!V$2)</f>
        <v>52.627415264063565</v>
      </c>
      <c r="W2" s="2">
        <f>('[1]Pc, Summer, S2'!W2*Main!$B$5)+(_xlfn.IFNA(VLOOKUP($A2,'FL Ratio'!$A$3:$B$10,2,FALSE),0)*'FL Characterization'!W$2)</f>
        <v>54.807135963978432</v>
      </c>
      <c r="X2" s="2">
        <f>('[1]Pc, Summer, S2'!X2*Main!$B$5)+(_xlfn.IFNA(VLOOKUP($A2,'FL Ratio'!$A$3:$B$10,2,FALSE),0)*'FL Characterization'!X$2)</f>
        <v>51.08688442137332</v>
      </c>
      <c r="Y2" s="2">
        <f>('[1]Pc, Summer, S2'!Y2*Main!$B$5)+(_xlfn.IFNA(VLOOKUP($A2,'FL Ratio'!$A$3:$B$10,2,FALSE),0)*'FL Characterization'!Y$2)</f>
        <v>46.83106209366624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44.990326062363586</v>
      </c>
      <c r="C3" s="2">
        <f>('[1]Pc, Summer, S2'!C3*Main!$B$5)+(_xlfn.IFNA(VLOOKUP($A3,'FL Ratio'!$A$3:$B$10,2,FALSE),0)*'FL Characterization'!C$2)</f>
        <v>41.303126676751333</v>
      </c>
      <c r="D3" s="2">
        <f>('[1]Pc, Summer, S2'!D3*Main!$B$5)+(_xlfn.IFNA(VLOOKUP($A3,'FL Ratio'!$A$3:$B$10,2,FALSE),0)*'FL Characterization'!D$2)</f>
        <v>39.123300552056811</v>
      </c>
      <c r="E3" s="2">
        <f>('[1]Pc, Summer, S2'!E3*Main!$B$5)+(_xlfn.IFNA(VLOOKUP($A3,'FL Ratio'!$A$3:$B$10,2,FALSE),0)*'FL Characterization'!E$2)</f>
        <v>37.688377203726134</v>
      </c>
      <c r="F3" s="2">
        <f>('[1]Pc, Summer, S2'!F3*Main!$B$5)+(_xlfn.IFNA(VLOOKUP($A3,'FL Ratio'!$A$3:$B$10,2,FALSE),0)*'FL Characterization'!F$2)</f>
        <v>37.25213381088242</v>
      </c>
      <c r="G3" s="2">
        <f>('[1]Pc, Summer, S2'!G3*Main!$B$5)+(_xlfn.IFNA(VLOOKUP($A3,'FL Ratio'!$A$3:$B$10,2,FALSE),0)*'FL Characterization'!G$2)</f>
        <v>39.500588779591155</v>
      </c>
      <c r="H3" s="2">
        <f>('[1]Pc, Summer, S2'!H3*Main!$B$5)+(_xlfn.IFNA(VLOOKUP($A3,'FL Ratio'!$A$3:$B$10,2,FALSE),0)*'FL Characterization'!H$2)</f>
        <v>49.442620585817238</v>
      </c>
      <c r="I3" s="2">
        <f>('[1]Pc, Summer, S2'!I3*Main!$B$5)+(_xlfn.IFNA(VLOOKUP($A3,'FL Ratio'!$A$3:$B$10,2,FALSE),0)*'FL Characterization'!I$2)</f>
        <v>58.672786544740767</v>
      </c>
      <c r="J3" s="2">
        <f>('[1]Pc, Summer, S2'!J3*Main!$B$5)+(_xlfn.IFNA(VLOOKUP($A3,'FL Ratio'!$A$3:$B$10,2,FALSE),0)*'FL Characterization'!J$2)</f>
        <v>61.17743678400344</v>
      </c>
      <c r="K3" s="2">
        <f>('[1]Pc, Summer, S2'!K3*Main!$B$5)+(_xlfn.IFNA(VLOOKUP($A3,'FL Ratio'!$A$3:$B$10,2,FALSE),0)*'FL Characterization'!K$2)</f>
        <v>60.047159760784176</v>
      </c>
      <c r="L3" s="2">
        <f>('[1]Pc, Summer, S2'!L3*Main!$B$5)+(_xlfn.IFNA(VLOOKUP($A3,'FL Ratio'!$A$3:$B$10,2,FALSE),0)*'FL Characterization'!L$2)</f>
        <v>59.830968376943325</v>
      </c>
      <c r="M3" s="2">
        <f>('[1]Pc, Summer, S2'!M3*Main!$B$5)+(_xlfn.IFNA(VLOOKUP($A3,'FL Ratio'!$A$3:$B$10,2,FALSE),0)*'FL Characterization'!M$2)</f>
        <v>63.804549186646703</v>
      </c>
      <c r="N3" s="2">
        <f>('[1]Pc, Summer, S2'!N3*Main!$B$5)+(_xlfn.IFNA(VLOOKUP($A3,'FL Ratio'!$A$3:$B$10,2,FALSE),0)*'FL Characterization'!N$2)</f>
        <v>64.00408351058087</v>
      </c>
      <c r="O3" s="2">
        <f>('[1]Pc, Summer, S2'!O3*Main!$B$5)+(_xlfn.IFNA(VLOOKUP($A3,'FL Ratio'!$A$3:$B$10,2,FALSE),0)*'FL Characterization'!O$2)</f>
        <v>64.45555511220968</v>
      </c>
      <c r="P3" s="2">
        <f>('[1]Pc, Summer, S2'!P3*Main!$B$5)+(_xlfn.IFNA(VLOOKUP($A3,'FL Ratio'!$A$3:$B$10,2,FALSE),0)*'FL Characterization'!P$2)</f>
        <v>61.337056969534167</v>
      </c>
      <c r="Q3" s="2">
        <f>('[1]Pc, Summer, S2'!Q3*Main!$B$5)+(_xlfn.IFNA(VLOOKUP($A3,'FL Ratio'!$A$3:$B$10,2,FALSE),0)*'FL Characterization'!Q$2)</f>
        <v>58.106719385598275</v>
      </c>
      <c r="R3" s="2">
        <f>('[1]Pc, Summer, S2'!R3*Main!$B$5)+(_xlfn.IFNA(VLOOKUP($A3,'FL Ratio'!$A$3:$B$10,2,FALSE),0)*'FL Characterization'!R$2)</f>
        <v>53.745497161062197</v>
      </c>
      <c r="S3" s="2">
        <f>('[1]Pc, Summer, S2'!S3*Main!$B$5)+(_xlfn.IFNA(VLOOKUP($A3,'FL Ratio'!$A$3:$B$10,2,FALSE),0)*'FL Characterization'!S$2)</f>
        <v>54.348131129307795</v>
      </c>
      <c r="T3" s="2">
        <f>('[1]Pc, Summer, S2'!T3*Main!$B$5)+(_xlfn.IFNA(VLOOKUP($A3,'FL Ratio'!$A$3:$B$10,2,FALSE),0)*'FL Characterization'!T$2)</f>
        <v>53.859036894209922</v>
      </c>
      <c r="U3" s="2">
        <f>('[1]Pc, Summer, S2'!U3*Main!$B$5)+(_xlfn.IFNA(VLOOKUP($A3,'FL Ratio'!$A$3:$B$10,2,FALSE),0)*'FL Characterization'!U$2)</f>
        <v>53.652784242870567</v>
      </c>
      <c r="V3" s="2">
        <f>('[1]Pc, Summer, S2'!V3*Main!$B$5)+(_xlfn.IFNA(VLOOKUP($A3,'FL Ratio'!$A$3:$B$10,2,FALSE),0)*'FL Characterization'!V$2)</f>
        <v>53.906065186046256</v>
      </c>
      <c r="W3" s="2">
        <f>('[1]Pc, Summer, S2'!W3*Main!$B$5)+(_xlfn.IFNA(VLOOKUP($A3,'FL Ratio'!$A$3:$B$10,2,FALSE),0)*'FL Characterization'!W$2)</f>
        <v>53.622775713794049</v>
      </c>
      <c r="X3" s="2">
        <f>('[1]Pc, Summer, S2'!X3*Main!$B$5)+(_xlfn.IFNA(VLOOKUP($A3,'FL Ratio'!$A$3:$B$10,2,FALSE),0)*'FL Characterization'!X$2)</f>
        <v>53.345948685564885</v>
      </c>
      <c r="Y3" s="2">
        <f>('[1]Pc, Summer, S2'!Y3*Main!$B$5)+(_xlfn.IFNA(VLOOKUP($A3,'FL Ratio'!$A$3:$B$10,2,FALSE),0)*'FL Characterization'!Y$2)</f>
        <v>50.478142172418274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59.703599057294319</v>
      </c>
      <c r="C4" s="2">
        <f>('[1]Pc, Summer, S2'!C4*Main!$B$5)+(_xlfn.IFNA(VLOOKUP($A4,'FL Ratio'!$A$3:$B$10,2,FALSE),0)*'FL Characterization'!C$2)</f>
        <v>52.97849904399726</v>
      </c>
      <c r="D4" s="2">
        <f>('[1]Pc, Summer, S2'!D4*Main!$B$5)+(_xlfn.IFNA(VLOOKUP($A4,'FL Ratio'!$A$3:$B$10,2,FALSE),0)*'FL Characterization'!D$2)</f>
        <v>49.954163670974467</v>
      </c>
      <c r="E4" s="2">
        <f>('[1]Pc, Summer, S2'!E4*Main!$B$5)+(_xlfn.IFNA(VLOOKUP($A4,'FL Ratio'!$A$3:$B$10,2,FALSE),0)*'FL Characterization'!E$2)</f>
        <v>48.317789253731718</v>
      </c>
      <c r="F4" s="2">
        <f>('[1]Pc, Summer, S2'!F4*Main!$B$5)+(_xlfn.IFNA(VLOOKUP($A4,'FL Ratio'!$A$3:$B$10,2,FALSE),0)*'FL Characterization'!F$2)</f>
        <v>50.640062902542418</v>
      </c>
      <c r="G4" s="2">
        <f>('[1]Pc, Summer, S2'!G4*Main!$B$5)+(_xlfn.IFNA(VLOOKUP($A4,'FL Ratio'!$A$3:$B$10,2,FALSE),0)*'FL Characterization'!G$2)</f>
        <v>46.250122673789612</v>
      </c>
      <c r="H4" s="2">
        <f>('[1]Pc, Summer, S2'!H4*Main!$B$5)+(_xlfn.IFNA(VLOOKUP($A4,'FL Ratio'!$A$3:$B$10,2,FALSE),0)*'FL Characterization'!H$2)</f>
        <v>54.327059541516704</v>
      </c>
      <c r="I4" s="2">
        <f>('[1]Pc, Summer, S2'!I4*Main!$B$5)+(_xlfn.IFNA(VLOOKUP($A4,'FL Ratio'!$A$3:$B$10,2,FALSE),0)*'FL Characterization'!I$2)</f>
        <v>61.030245062658821</v>
      </c>
      <c r="J4" s="2">
        <f>('[1]Pc, Summer, S2'!J4*Main!$B$5)+(_xlfn.IFNA(VLOOKUP($A4,'FL Ratio'!$A$3:$B$10,2,FALSE),0)*'FL Characterization'!J$2)</f>
        <v>68.666569793003035</v>
      </c>
      <c r="K4" s="2">
        <f>('[1]Pc, Summer, S2'!K4*Main!$B$5)+(_xlfn.IFNA(VLOOKUP($A4,'FL Ratio'!$A$3:$B$10,2,FALSE),0)*'FL Characterization'!K$2)</f>
        <v>73.818084978735229</v>
      </c>
      <c r="L4" s="2">
        <f>('[1]Pc, Summer, S2'!L4*Main!$B$5)+(_xlfn.IFNA(VLOOKUP($A4,'FL Ratio'!$A$3:$B$10,2,FALSE),0)*'FL Characterization'!L$2)</f>
        <v>75.977906899781473</v>
      </c>
      <c r="M4" s="2">
        <f>('[1]Pc, Summer, S2'!M4*Main!$B$5)+(_xlfn.IFNA(VLOOKUP($A4,'FL Ratio'!$A$3:$B$10,2,FALSE),0)*'FL Characterization'!M$2)</f>
        <v>77.243291811228616</v>
      </c>
      <c r="N4" s="2">
        <f>('[1]Pc, Summer, S2'!N4*Main!$B$5)+(_xlfn.IFNA(VLOOKUP($A4,'FL Ratio'!$A$3:$B$10,2,FALSE),0)*'FL Characterization'!N$2)</f>
        <v>78.952906239868241</v>
      </c>
      <c r="O4" s="2">
        <f>('[1]Pc, Summer, S2'!O4*Main!$B$5)+(_xlfn.IFNA(VLOOKUP($A4,'FL Ratio'!$A$3:$B$10,2,FALSE),0)*'FL Characterization'!O$2)</f>
        <v>80.046641882466886</v>
      </c>
      <c r="P4" s="2">
        <f>('[1]Pc, Summer, S2'!P4*Main!$B$5)+(_xlfn.IFNA(VLOOKUP($A4,'FL Ratio'!$A$3:$B$10,2,FALSE),0)*'FL Characterization'!P$2)</f>
        <v>80.388664897000766</v>
      </c>
      <c r="Q4" s="2">
        <f>('[1]Pc, Summer, S2'!Q4*Main!$B$5)+(_xlfn.IFNA(VLOOKUP($A4,'FL Ratio'!$A$3:$B$10,2,FALSE),0)*'FL Characterization'!Q$2)</f>
        <v>77.380322201826743</v>
      </c>
      <c r="R4" s="2">
        <f>('[1]Pc, Summer, S2'!R4*Main!$B$5)+(_xlfn.IFNA(VLOOKUP($A4,'FL Ratio'!$A$3:$B$10,2,FALSE),0)*'FL Characterization'!R$2)</f>
        <v>76.96370334338836</v>
      </c>
      <c r="S4" s="2">
        <f>('[1]Pc, Summer, S2'!S4*Main!$B$5)+(_xlfn.IFNA(VLOOKUP($A4,'FL Ratio'!$A$3:$B$10,2,FALSE),0)*'FL Characterization'!S$2)</f>
        <v>74.588386056795628</v>
      </c>
      <c r="T4" s="2">
        <f>('[1]Pc, Summer, S2'!T4*Main!$B$5)+(_xlfn.IFNA(VLOOKUP($A4,'FL Ratio'!$A$3:$B$10,2,FALSE),0)*'FL Characterization'!T$2)</f>
        <v>74.485515018901523</v>
      </c>
      <c r="U4" s="2">
        <f>('[1]Pc, Summer, S2'!U4*Main!$B$5)+(_xlfn.IFNA(VLOOKUP($A4,'FL Ratio'!$A$3:$B$10,2,FALSE),0)*'FL Characterization'!U$2)</f>
        <v>74.88594989333663</v>
      </c>
      <c r="V4" s="2">
        <f>('[1]Pc, Summer, S2'!V4*Main!$B$5)+(_xlfn.IFNA(VLOOKUP($A4,'FL Ratio'!$A$3:$B$10,2,FALSE),0)*'FL Characterization'!V$2)</f>
        <v>74.527667682127031</v>
      </c>
      <c r="W4" s="2">
        <f>('[1]Pc, Summer, S2'!W4*Main!$B$5)+(_xlfn.IFNA(VLOOKUP($A4,'FL Ratio'!$A$3:$B$10,2,FALSE),0)*'FL Characterization'!W$2)</f>
        <v>76.889459865578118</v>
      </c>
      <c r="X4" s="2">
        <f>('[1]Pc, Summer, S2'!X4*Main!$B$5)+(_xlfn.IFNA(VLOOKUP($A4,'FL Ratio'!$A$3:$B$10,2,FALSE),0)*'FL Characterization'!X$2)</f>
        <v>76.766516894184548</v>
      </c>
      <c r="Y4" s="2">
        <f>('[1]Pc, Summer, S2'!Y4*Main!$B$5)+(_xlfn.IFNA(VLOOKUP($A4,'FL Ratio'!$A$3:$B$10,2,FALSE),0)*'FL Characterization'!Y$2)</f>
        <v>69.261041526989899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B092C-A374-4AA2-A2BC-FB6911C52662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41.657185706737785</v>
      </c>
      <c r="C2" s="2">
        <f>('[1]Pc, Summer, S2'!C2*Main!$B$5)+(_xlfn.IFNA(VLOOKUP($A2,'FL Ratio'!$A$3:$B$10,2,FALSE),0)*'FL Characterization'!C$2)</f>
        <v>37.847417403875781</v>
      </c>
      <c r="D2" s="2">
        <f>('[1]Pc, Summer, S2'!D2*Main!$B$5)+(_xlfn.IFNA(VLOOKUP($A2,'FL Ratio'!$A$3:$B$10,2,FALSE),0)*'FL Characterization'!D$2)</f>
        <v>37.186321387113161</v>
      </c>
      <c r="E2" s="2">
        <f>('[1]Pc, Summer, S2'!E2*Main!$B$5)+(_xlfn.IFNA(VLOOKUP($A2,'FL Ratio'!$A$3:$B$10,2,FALSE),0)*'FL Characterization'!E$2)</f>
        <v>37.091326547402929</v>
      </c>
      <c r="F2" s="2">
        <f>('[1]Pc, Summer, S2'!F2*Main!$B$5)+(_xlfn.IFNA(VLOOKUP($A2,'FL Ratio'!$A$3:$B$10,2,FALSE),0)*'FL Characterization'!F$2)</f>
        <v>37.094250831681748</v>
      </c>
      <c r="G2" s="2">
        <f>('[1]Pc, Summer, S2'!G2*Main!$B$5)+(_xlfn.IFNA(VLOOKUP($A2,'FL Ratio'!$A$3:$B$10,2,FALSE),0)*'FL Characterization'!G$2)</f>
        <v>36.766200116031548</v>
      </c>
      <c r="H2" s="2">
        <f>('[1]Pc, Summer, S2'!H2*Main!$B$5)+(_xlfn.IFNA(VLOOKUP($A2,'FL Ratio'!$A$3:$B$10,2,FALSE),0)*'FL Characterization'!H$2)</f>
        <v>39.692395029126949</v>
      </c>
      <c r="I2" s="2">
        <f>('[1]Pc, Summer, S2'!I2*Main!$B$5)+(_xlfn.IFNA(VLOOKUP($A2,'FL Ratio'!$A$3:$B$10,2,FALSE),0)*'FL Characterization'!I$2)</f>
        <v>47.124570066153488</v>
      </c>
      <c r="J2" s="2">
        <f>('[1]Pc, Summer, S2'!J2*Main!$B$5)+(_xlfn.IFNA(VLOOKUP($A2,'FL Ratio'!$A$3:$B$10,2,FALSE),0)*'FL Characterization'!J$2)</f>
        <v>53.708610154783202</v>
      </c>
      <c r="K2" s="2">
        <f>('[1]Pc, Summer, S2'!K2*Main!$B$5)+(_xlfn.IFNA(VLOOKUP($A2,'FL Ratio'!$A$3:$B$10,2,FALSE),0)*'FL Characterization'!K$2)</f>
        <v>55.358970973146441</v>
      </c>
      <c r="L2" s="2">
        <f>('[1]Pc, Summer, S2'!L2*Main!$B$5)+(_xlfn.IFNA(VLOOKUP($A2,'FL Ratio'!$A$3:$B$10,2,FALSE),0)*'FL Characterization'!L$2)</f>
        <v>54.798752955588384</v>
      </c>
      <c r="M2" s="2">
        <f>('[1]Pc, Summer, S2'!M2*Main!$B$5)+(_xlfn.IFNA(VLOOKUP($A2,'FL Ratio'!$A$3:$B$10,2,FALSE),0)*'FL Characterization'!M$2)</f>
        <v>56.348385398425577</v>
      </c>
      <c r="N2" s="2">
        <f>('[1]Pc, Summer, S2'!N2*Main!$B$5)+(_xlfn.IFNA(VLOOKUP($A2,'FL Ratio'!$A$3:$B$10,2,FALSE),0)*'FL Characterization'!N$2)</f>
        <v>57.12136643510415</v>
      </c>
      <c r="O2" s="2">
        <f>('[1]Pc, Summer, S2'!O2*Main!$B$5)+(_xlfn.IFNA(VLOOKUP($A2,'FL Ratio'!$A$3:$B$10,2,FALSE),0)*'FL Characterization'!O$2)</f>
        <v>56.064728169078343</v>
      </c>
      <c r="P2" s="2">
        <f>('[1]Pc, Summer, S2'!P2*Main!$B$5)+(_xlfn.IFNA(VLOOKUP($A2,'FL Ratio'!$A$3:$B$10,2,FALSE),0)*'FL Characterization'!P$2)</f>
        <v>53.873987214030151</v>
      </c>
      <c r="Q2" s="2">
        <f>('[1]Pc, Summer, S2'!Q2*Main!$B$5)+(_xlfn.IFNA(VLOOKUP($A2,'FL Ratio'!$A$3:$B$10,2,FALSE),0)*'FL Characterization'!Q$2)</f>
        <v>51.705652172706053</v>
      </c>
      <c r="R2" s="2">
        <f>('[1]Pc, Summer, S2'!R2*Main!$B$5)+(_xlfn.IFNA(VLOOKUP($A2,'FL Ratio'!$A$3:$B$10,2,FALSE),0)*'FL Characterization'!R$2)</f>
        <v>52.607746346201743</v>
      </c>
      <c r="S2" s="2">
        <f>('[1]Pc, Summer, S2'!S2*Main!$B$5)+(_xlfn.IFNA(VLOOKUP($A2,'FL Ratio'!$A$3:$B$10,2,FALSE),0)*'FL Characterization'!S$2)</f>
        <v>53.127497738572686</v>
      </c>
      <c r="T2" s="2">
        <f>('[1]Pc, Summer, S2'!T2*Main!$B$5)+(_xlfn.IFNA(VLOOKUP($A2,'FL Ratio'!$A$3:$B$10,2,FALSE),0)*'FL Characterization'!T$2)</f>
        <v>53.353004230621302</v>
      </c>
      <c r="U2" s="2">
        <f>('[1]Pc, Summer, S2'!U2*Main!$B$5)+(_xlfn.IFNA(VLOOKUP($A2,'FL Ratio'!$A$3:$B$10,2,FALSE),0)*'FL Characterization'!U$2)</f>
        <v>52.469766728349327</v>
      </c>
      <c r="V2" s="2">
        <f>('[1]Pc, Summer, S2'!V2*Main!$B$5)+(_xlfn.IFNA(VLOOKUP($A2,'FL Ratio'!$A$3:$B$10,2,FALSE),0)*'FL Characterization'!V$2)</f>
        <v>52.627415264063565</v>
      </c>
      <c r="W2" s="2">
        <f>('[1]Pc, Summer, S2'!W2*Main!$B$5)+(_xlfn.IFNA(VLOOKUP($A2,'FL Ratio'!$A$3:$B$10,2,FALSE),0)*'FL Characterization'!W$2)</f>
        <v>54.807135963978432</v>
      </c>
      <c r="X2" s="2">
        <f>('[1]Pc, Summer, S2'!X2*Main!$B$5)+(_xlfn.IFNA(VLOOKUP($A2,'FL Ratio'!$A$3:$B$10,2,FALSE),0)*'FL Characterization'!X$2)</f>
        <v>51.08688442137332</v>
      </c>
      <c r="Y2" s="2">
        <f>('[1]Pc, Summer, S2'!Y2*Main!$B$5)+(_xlfn.IFNA(VLOOKUP($A2,'FL Ratio'!$A$3:$B$10,2,FALSE),0)*'FL Characterization'!Y$2)</f>
        <v>46.83106209366624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44.990326062363586</v>
      </c>
      <c r="C3" s="2">
        <f>('[1]Pc, Summer, S2'!C3*Main!$B$5)+(_xlfn.IFNA(VLOOKUP($A3,'FL Ratio'!$A$3:$B$10,2,FALSE),0)*'FL Characterization'!C$2)</f>
        <v>41.303126676751333</v>
      </c>
      <c r="D3" s="2">
        <f>('[1]Pc, Summer, S2'!D3*Main!$B$5)+(_xlfn.IFNA(VLOOKUP($A3,'FL Ratio'!$A$3:$B$10,2,FALSE),0)*'FL Characterization'!D$2)</f>
        <v>39.123300552056811</v>
      </c>
      <c r="E3" s="2">
        <f>('[1]Pc, Summer, S2'!E3*Main!$B$5)+(_xlfn.IFNA(VLOOKUP($A3,'FL Ratio'!$A$3:$B$10,2,FALSE),0)*'FL Characterization'!E$2)</f>
        <v>37.688377203726134</v>
      </c>
      <c r="F3" s="2">
        <f>('[1]Pc, Summer, S2'!F3*Main!$B$5)+(_xlfn.IFNA(VLOOKUP($A3,'FL Ratio'!$A$3:$B$10,2,FALSE),0)*'FL Characterization'!F$2)</f>
        <v>37.25213381088242</v>
      </c>
      <c r="G3" s="2">
        <f>('[1]Pc, Summer, S2'!G3*Main!$B$5)+(_xlfn.IFNA(VLOOKUP($A3,'FL Ratio'!$A$3:$B$10,2,FALSE),0)*'FL Characterization'!G$2)</f>
        <v>39.500588779591155</v>
      </c>
      <c r="H3" s="2">
        <f>('[1]Pc, Summer, S2'!H3*Main!$B$5)+(_xlfn.IFNA(VLOOKUP($A3,'FL Ratio'!$A$3:$B$10,2,FALSE),0)*'FL Characterization'!H$2)</f>
        <v>49.442620585817238</v>
      </c>
      <c r="I3" s="2">
        <f>('[1]Pc, Summer, S2'!I3*Main!$B$5)+(_xlfn.IFNA(VLOOKUP($A3,'FL Ratio'!$A$3:$B$10,2,FALSE),0)*'FL Characterization'!I$2)</f>
        <v>58.672786544740767</v>
      </c>
      <c r="J3" s="2">
        <f>('[1]Pc, Summer, S2'!J3*Main!$B$5)+(_xlfn.IFNA(VLOOKUP($A3,'FL Ratio'!$A$3:$B$10,2,FALSE),0)*'FL Characterization'!J$2)</f>
        <v>61.17743678400344</v>
      </c>
      <c r="K3" s="2">
        <f>('[1]Pc, Summer, S2'!K3*Main!$B$5)+(_xlfn.IFNA(VLOOKUP($A3,'FL Ratio'!$A$3:$B$10,2,FALSE),0)*'FL Characterization'!K$2)</f>
        <v>60.047159760784176</v>
      </c>
      <c r="L3" s="2">
        <f>('[1]Pc, Summer, S2'!L3*Main!$B$5)+(_xlfn.IFNA(VLOOKUP($A3,'FL Ratio'!$A$3:$B$10,2,FALSE),0)*'FL Characterization'!L$2)</f>
        <v>59.830968376943325</v>
      </c>
      <c r="M3" s="2">
        <f>('[1]Pc, Summer, S2'!M3*Main!$B$5)+(_xlfn.IFNA(VLOOKUP($A3,'FL Ratio'!$A$3:$B$10,2,FALSE),0)*'FL Characterization'!M$2)</f>
        <v>63.804549186646703</v>
      </c>
      <c r="N3" s="2">
        <f>('[1]Pc, Summer, S2'!N3*Main!$B$5)+(_xlfn.IFNA(VLOOKUP($A3,'FL Ratio'!$A$3:$B$10,2,FALSE),0)*'FL Characterization'!N$2)</f>
        <v>64.00408351058087</v>
      </c>
      <c r="O3" s="2">
        <f>('[1]Pc, Summer, S2'!O3*Main!$B$5)+(_xlfn.IFNA(VLOOKUP($A3,'FL Ratio'!$A$3:$B$10,2,FALSE),0)*'FL Characterization'!O$2)</f>
        <v>64.45555511220968</v>
      </c>
      <c r="P3" s="2">
        <f>('[1]Pc, Summer, S2'!P3*Main!$B$5)+(_xlfn.IFNA(VLOOKUP($A3,'FL Ratio'!$A$3:$B$10,2,FALSE),0)*'FL Characterization'!P$2)</f>
        <v>61.337056969534167</v>
      </c>
      <c r="Q3" s="2">
        <f>('[1]Pc, Summer, S2'!Q3*Main!$B$5)+(_xlfn.IFNA(VLOOKUP($A3,'FL Ratio'!$A$3:$B$10,2,FALSE),0)*'FL Characterization'!Q$2)</f>
        <v>58.106719385598275</v>
      </c>
      <c r="R3" s="2">
        <f>('[1]Pc, Summer, S2'!R3*Main!$B$5)+(_xlfn.IFNA(VLOOKUP($A3,'FL Ratio'!$A$3:$B$10,2,FALSE),0)*'FL Characterization'!R$2)</f>
        <v>53.745497161062197</v>
      </c>
      <c r="S3" s="2">
        <f>('[1]Pc, Summer, S2'!S3*Main!$B$5)+(_xlfn.IFNA(VLOOKUP($A3,'FL Ratio'!$A$3:$B$10,2,FALSE),0)*'FL Characterization'!S$2)</f>
        <v>54.348131129307795</v>
      </c>
      <c r="T3" s="2">
        <f>('[1]Pc, Summer, S2'!T3*Main!$B$5)+(_xlfn.IFNA(VLOOKUP($A3,'FL Ratio'!$A$3:$B$10,2,FALSE),0)*'FL Characterization'!T$2)</f>
        <v>53.859036894209922</v>
      </c>
      <c r="U3" s="2">
        <f>('[1]Pc, Summer, S2'!U3*Main!$B$5)+(_xlfn.IFNA(VLOOKUP($A3,'FL Ratio'!$A$3:$B$10,2,FALSE),0)*'FL Characterization'!U$2)</f>
        <v>53.652784242870567</v>
      </c>
      <c r="V3" s="2">
        <f>('[1]Pc, Summer, S2'!V3*Main!$B$5)+(_xlfn.IFNA(VLOOKUP($A3,'FL Ratio'!$A$3:$B$10,2,FALSE),0)*'FL Characterization'!V$2)</f>
        <v>53.906065186046256</v>
      </c>
      <c r="W3" s="2">
        <f>('[1]Pc, Summer, S2'!W3*Main!$B$5)+(_xlfn.IFNA(VLOOKUP($A3,'FL Ratio'!$A$3:$B$10,2,FALSE),0)*'FL Characterization'!W$2)</f>
        <v>53.622775713794049</v>
      </c>
      <c r="X3" s="2">
        <f>('[1]Pc, Summer, S2'!X3*Main!$B$5)+(_xlfn.IFNA(VLOOKUP($A3,'FL Ratio'!$A$3:$B$10,2,FALSE),0)*'FL Characterization'!X$2)</f>
        <v>53.345948685564885</v>
      </c>
      <c r="Y3" s="2">
        <f>('[1]Pc, Summer, S2'!Y3*Main!$B$5)+(_xlfn.IFNA(VLOOKUP($A3,'FL Ratio'!$A$3:$B$10,2,FALSE),0)*'FL Characterization'!Y$2)</f>
        <v>50.478142172418274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59.703599057294319</v>
      </c>
      <c r="C4" s="2">
        <f>('[1]Pc, Summer, S2'!C4*Main!$B$5)+(_xlfn.IFNA(VLOOKUP($A4,'FL Ratio'!$A$3:$B$10,2,FALSE),0)*'FL Characterization'!C$2)</f>
        <v>52.97849904399726</v>
      </c>
      <c r="D4" s="2">
        <f>('[1]Pc, Summer, S2'!D4*Main!$B$5)+(_xlfn.IFNA(VLOOKUP($A4,'FL Ratio'!$A$3:$B$10,2,FALSE),0)*'FL Characterization'!D$2)</f>
        <v>49.954163670974467</v>
      </c>
      <c r="E4" s="2">
        <f>('[1]Pc, Summer, S2'!E4*Main!$B$5)+(_xlfn.IFNA(VLOOKUP($A4,'FL Ratio'!$A$3:$B$10,2,FALSE),0)*'FL Characterization'!E$2)</f>
        <v>48.317789253731718</v>
      </c>
      <c r="F4" s="2">
        <f>('[1]Pc, Summer, S2'!F4*Main!$B$5)+(_xlfn.IFNA(VLOOKUP($A4,'FL Ratio'!$A$3:$B$10,2,FALSE),0)*'FL Characterization'!F$2)</f>
        <v>50.640062902542418</v>
      </c>
      <c r="G4" s="2">
        <f>('[1]Pc, Summer, S2'!G4*Main!$B$5)+(_xlfn.IFNA(VLOOKUP($A4,'FL Ratio'!$A$3:$B$10,2,FALSE),0)*'FL Characterization'!G$2)</f>
        <v>46.250122673789612</v>
      </c>
      <c r="H4" s="2">
        <f>('[1]Pc, Summer, S2'!H4*Main!$B$5)+(_xlfn.IFNA(VLOOKUP($A4,'FL Ratio'!$A$3:$B$10,2,FALSE),0)*'FL Characterization'!H$2)</f>
        <v>54.327059541516704</v>
      </c>
      <c r="I4" s="2">
        <f>('[1]Pc, Summer, S2'!I4*Main!$B$5)+(_xlfn.IFNA(VLOOKUP($A4,'FL Ratio'!$A$3:$B$10,2,FALSE),0)*'FL Characterization'!I$2)</f>
        <v>61.030245062658821</v>
      </c>
      <c r="J4" s="2">
        <f>('[1]Pc, Summer, S2'!J4*Main!$B$5)+(_xlfn.IFNA(VLOOKUP($A4,'FL Ratio'!$A$3:$B$10,2,FALSE),0)*'FL Characterization'!J$2)</f>
        <v>68.666569793003035</v>
      </c>
      <c r="K4" s="2">
        <f>('[1]Pc, Summer, S2'!K4*Main!$B$5)+(_xlfn.IFNA(VLOOKUP($A4,'FL Ratio'!$A$3:$B$10,2,FALSE),0)*'FL Characterization'!K$2)</f>
        <v>73.818084978735229</v>
      </c>
      <c r="L4" s="2">
        <f>('[1]Pc, Summer, S2'!L4*Main!$B$5)+(_xlfn.IFNA(VLOOKUP($A4,'FL Ratio'!$A$3:$B$10,2,FALSE),0)*'FL Characterization'!L$2)</f>
        <v>75.977906899781473</v>
      </c>
      <c r="M4" s="2">
        <f>('[1]Pc, Summer, S2'!M4*Main!$B$5)+(_xlfn.IFNA(VLOOKUP($A4,'FL Ratio'!$A$3:$B$10,2,FALSE),0)*'FL Characterization'!M$2)</f>
        <v>77.243291811228616</v>
      </c>
      <c r="N4" s="2">
        <f>('[1]Pc, Summer, S2'!N4*Main!$B$5)+(_xlfn.IFNA(VLOOKUP($A4,'FL Ratio'!$A$3:$B$10,2,FALSE),0)*'FL Characterization'!N$2)</f>
        <v>78.952906239868241</v>
      </c>
      <c r="O4" s="2">
        <f>('[1]Pc, Summer, S2'!O4*Main!$B$5)+(_xlfn.IFNA(VLOOKUP($A4,'FL Ratio'!$A$3:$B$10,2,FALSE),0)*'FL Characterization'!O$2)</f>
        <v>80.046641882466886</v>
      </c>
      <c r="P4" s="2">
        <f>('[1]Pc, Summer, S2'!P4*Main!$B$5)+(_xlfn.IFNA(VLOOKUP($A4,'FL Ratio'!$A$3:$B$10,2,FALSE),0)*'FL Characterization'!P$2)</f>
        <v>80.388664897000766</v>
      </c>
      <c r="Q4" s="2">
        <f>('[1]Pc, Summer, S2'!Q4*Main!$B$5)+(_xlfn.IFNA(VLOOKUP($A4,'FL Ratio'!$A$3:$B$10,2,FALSE),0)*'FL Characterization'!Q$2)</f>
        <v>77.380322201826743</v>
      </c>
      <c r="R4" s="2">
        <f>('[1]Pc, Summer, S2'!R4*Main!$B$5)+(_xlfn.IFNA(VLOOKUP($A4,'FL Ratio'!$A$3:$B$10,2,FALSE),0)*'FL Characterization'!R$2)</f>
        <v>76.96370334338836</v>
      </c>
      <c r="S4" s="2">
        <f>('[1]Pc, Summer, S2'!S4*Main!$B$5)+(_xlfn.IFNA(VLOOKUP($A4,'FL Ratio'!$A$3:$B$10,2,FALSE),0)*'FL Characterization'!S$2)</f>
        <v>74.588386056795628</v>
      </c>
      <c r="T4" s="2">
        <f>('[1]Pc, Summer, S2'!T4*Main!$B$5)+(_xlfn.IFNA(VLOOKUP($A4,'FL Ratio'!$A$3:$B$10,2,FALSE),0)*'FL Characterization'!T$2)</f>
        <v>74.485515018901523</v>
      </c>
      <c r="U4" s="2">
        <f>('[1]Pc, Summer, S2'!U4*Main!$B$5)+(_xlfn.IFNA(VLOOKUP($A4,'FL Ratio'!$A$3:$B$10,2,FALSE),0)*'FL Characterization'!U$2)</f>
        <v>74.88594989333663</v>
      </c>
      <c r="V4" s="2">
        <f>('[1]Pc, Summer, S2'!V4*Main!$B$5)+(_xlfn.IFNA(VLOOKUP($A4,'FL Ratio'!$A$3:$B$10,2,FALSE),0)*'FL Characterization'!V$2)</f>
        <v>74.527667682127031</v>
      </c>
      <c r="W4" s="2">
        <f>('[1]Pc, Summer, S2'!W4*Main!$B$5)+(_xlfn.IFNA(VLOOKUP($A4,'FL Ratio'!$A$3:$B$10,2,FALSE),0)*'FL Characterization'!W$2)</f>
        <v>76.889459865578118</v>
      </c>
      <c r="X4" s="2">
        <f>('[1]Pc, Summer, S2'!X4*Main!$B$5)+(_xlfn.IFNA(VLOOKUP($A4,'FL Ratio'!$A$3:$B$10,2,FALSE),0)*'FL Characterization'!X$2)</f>
        <v>76.766516894184548</v>
      </c>
      <c r="Y4" s="2">
        <f>('[1]Pc, Summer, S2'!Y4*Main!$B$5)+(_xlfn.IFNA(VLOOKUP($A4,'FL Ratio'!$A$3:$B$10,2,FALSE),0)*'FL Characterization'!Y$2)</f>
        <v>69.261041526989899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F9CD-CB3D-425C-A8DE-D4D872192F88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39.634992225828178</v>
      </c>
      <c r="C2" s="2">
        <f>('[1]Pc, Summer, S3'!C2*Main!$B$5)+(_xlfn.IFNA(VLOOKUP($A2,'FL Ratio'!$A$3:$B$10,2,FALSE),0)*'FL Characterization'!C$2)</f>
        <v>36.010164131842977</v>
      </c>
      <c r="D2" s="2">
        <f>('[1]Pc, Summer, S3'!D2*Main!$B$5)+(_xlfn.IFNA(VLOOKUP($A2,'FL Ratio'!$A$3:$B$10,2,FALSE),0)*'FL Characterization'!D$2)</f>
        <v>35.381160154729031</v>
      </c>
      <c r="E2" s="2">
        <f>('[1]Pc, Summer, S3'!E2*Main!$B$5)+(_xlfn.IFNA(VLOOKUP($A2,'FL Ratio'!$A$3:$B$10,2,FALSE),0)*'FL Characterization'!E$2)</f>
        <v>35.290776715004725</v>
      </c>
      <c r="F2" s="2">
        <f>('[1]Pc, Summer, S3'!F2*Main!$B$5)+(_xlfn.IFNA(VLOOKUP($A2,'FL Ratio'!$A$3:$B$10,2,FALSE),0)*'FL Characterization'!F$2)</f>
        <v>35.293559043736032</v>
      </c>
      <c r="G2" s="2">
        <f>('[1]Pc, Summer, S3'!G2*Main!$B$5)+(_xlfn.IFNA(VLOOKUP($A2,'FL Ratio'!$A$3:$B$10,2,FALSE),0)*'FL Characterization'!G$2)</f>
        <v>34.981433120107688</v>
      </c>
      <c r="H2" s="2">
        <f>('[1]Pc, Summer, S3'!H2*Main!$B$5)+(_xlfn.IFNA(VLOOKUP($A2,'FL Ratio'!$A$3:$B$10,2,FALSE),0)*'FL Characterization'!H$2)</f>
        <v>37.765579736450889</v>
      </c>
      <c r="I2" s="2">
        <f>('[1]Pc, Summer, S3'!I2*Main!$B$5)+(_xlfn.IFNA(VLOOKUP($A2,'FL Ratio'!$A$3:$B$10,2,FALSE),0)*'FL Characterization'!I$2)</f>
        <v>44.836969577505265</v>
      </c>
      <c r="J2" s="2">
        <f>('[1]Pc, Summer, S3'!J2*Main!$B$5)+(_xlfn.IFNA(VLOOKUP($A2,'FL Ratio'!$A$3:$B$10,2,FALSE),0)*'FL Characterization'!J$2)</f>
        <v>51.101396069599559</v>
      </c>
      <c r="K2" s="2">
        <f>('[1]Pc, Summer, S3'!K2*Main!$B$5)+(_xlfn.IFNA(VLOOKUP($A2,'FL Ratio'!$A$3:$B$10,2,FALSE),0)*'FL Characterization'!K$2)</f>
        <v>52.671642285129614</v>
      </c>
      <c r="L2" s="2">
        <f>('[1]Pc, Summer, S3'!L2*Main!$B$5)+(_xlfn.IFNA(VLOOKUP($A2,'FL Ratio'!$A$3:$B$10,2,FALSE),0)*'FL Characterization'!L$2)</f>
        <v>52.138619316967599</v>
      </c>
      <c r="M2" s="2">
        <f>('[1]Pc, Summer, S3'!M2*Main!$B$5)+(_xlfn.IFNA(VLOOKUP($A2,'FL Ratio'!$A$3:$B$10,2,FALSE),0)*'FL Characterization'!M$2)</f>
        <v>53.6130268839389</v>
      </c>
      <c r="N2" s="2">
        <f>('[1]Pc, Summer, S3'!N2*Main!$B$5)+(_xlfn.IFNA(VLOOKUP($A2,'FL Ratio'!$A$3:$B$10,2,FALSE),0)*'FL Characterization'!N$2)</f>
        <v>54.348484569322395</v>
      </c>
      <c r="O2" s="2">
        <f>('[1]Pc, Summer, S3'!O2*Main!$B$5)+(_xlfn.IFNA(VLOOKUP($A2,'FL Ratio'!$A$3:$B$10,2,FALSE),0)*'FL Characterization'!O$2)</f>
        <v>53.343139423006576</v>
      </c>
      <c r="P2" s="2">
        <f>('[1]Pc, Summer, S3'!P2*Main!$B$5)+(_xlfn.IFNA(VLOOKUP($A2,'FL Ratio'!$A$3:$B$10,2,FALSE),0)*'FL Characterization'!P$2)</f>
        <v>51.258745116261693</v>
      </c>
      <c r="Q2" s="2">
        <f>('[1]Pc, Summer, S3'!Q2*Main!$B$5)+(_xlfn.IFNA(VLOOKUP($A2,'FL Ratio'!$A$3:$B$10,2,FALSE),0)*'FL Characterization'!Q$2)</f>
        <v>49.195669057526146</v>
      </c>
      <c r="R2" s="2">
        <f>('[1]Pc, Summer, S3'!R2*Main!$B$5)+(_xlfn.IFNA(VLOOKUP($A2,'FL Ratio'!$A$3:$B$10,2,FALSE),0)*'FL Characterization'!R$2)</f>
        <v>50.053972251725924</v>
      </c>
      <c r="S2" s="2">
        <f>('[1]Pc, Summer, S3'!S2*Main!$B$5)+(_xlfn.IFNA(VLOOKUP($A2,'FL Ratio'!$A$3:$B$10,2,FALSE),0)*'FL Characterization'!S$2)</f>
        <v>50.548492993981782</v>
      </c>
      <c r="T2" s="2">
        <f>('[1]Pc, Summer, S3'!T2*Main!$B$5)+(_xlfn.IFNA(VLOOKUP($A2,'FL Ratio'!$A$3:$B$10,2,FALSE),0)*'FL Characterization'!T$2)</f>
        <v>50.763052568940651</v>
      </c>
      <c r="U2" s="2">
        <f>('[1]Pc, Summer, S3'!U2*Main!$B$5)+(_xlfn.IFNA(VLOOKUP($A2,'FL Ratio'!$A$3:$B$10,2,FALSE),0)*'FL Characterization'!U$2)</f>
        <v>49.92269067357509</v>
      </c>
      <c r="V2" s="2">
        <f>('[1]Pc, Summer, S3'!V2*Main!$B$5)+(_xlfn.IFNA(VLOOKUP($A2,'FL Ratio'!$A$3:$B$10,2,FALSE),0)*'FL Characterization'!V$2)</f>
        <v>50.072686367749796</v>
      </c>
      <c r="W2" s="2">
        <f>('[1]Pc, Summer, S3'!W2*Main!$B$5)+(_xlfn.IFNA(VLOOKUP($A2,'FL Ratio'!$A$3:$B$10,2,FALSE),0)*'FL Characterization'!W$2)</f>
        <v>52.146595383202786</v>
      </c>
      <c r="X2" s="2">
        <f>('[1]Pc, Summer, S3'!X2*Main!$B$5)+(_xlfn.IFNA(VLOOKUP($A2,'FL Ratio'!$A$3:$B$10,2,FALSE),0)*'FL Characterization'!X$2)</f>
        <v>48.606938575675592</v>
      </c>
      <c r="Y2" s="2">
        <f>('[1]Pc, Summer, S3'!Y2*Main!$B$5)+(_xlfn.IFNA(VLOOKUP($A2,'FL Ratio'!$A$3:$B$10,2,FALSE),0)*'FL Characterization'!Y$2)</f>
        <v>44.557709564847492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42.939946095156934</v>
      </c>
      <c r="C3" s="2">
        <f>('[1]Pc, Summer, S3'!C3*Main!$B$5)+(_xlfn.IFNA(VLOOKUP($A3,'FL Ratio'!$A$3:$B$10,2,FALSE),0)*'FL Characterization'!C$2)</f>
        <v>39.436194113759072</v>
      </c>
      <c r="D3" s="2">
        <f>('[1]Pc, Summer, S3'!D3*Main!$B$5)+(_xlfn.IFNA(VLOOKUP($A3,'FL Ratio'!$A$3:$B$10,2,FALSE),0)*'FL Characterization'!D$2)</f>
        <v>37.347747997068993</v>
      </c>
      <c r="E3" s="2">
        <f>('[1]Pc, Summer, S3'!E3*Main!$B$5)+(_xlfn.IFNA(VLOOKUP($A3,'FL Ratio'!$A$3:$B$10,2,FALSE),0)*'FL Characterization'!E$2)</f>
        <v>35.976034571551644</v>
      </c>
      <c r="F3" s="2">
        <f>('[1]Pc, Summer, S3'!F3*Main!$B$5)+(_xlfn.IFNA(VLOOKUP($A3,'FL Ratio'!$A$3:$B$10,2,FALSE),0)*'FL Characterization'!F$2)</f>
        <v>35.539791178707929</v>
      </c>
      <c r="G3" s="2">
        <f>('[1]Pc, Summer, S3'!G3*Main!$B$5)+(_xlfn.IFNA(VLOOKUP($A3,'FL Ratio'!$A$3:$B$10,2,FALSE),0)*'FL Characterization'!G$2)</f>
        <v>37.664574085160041</v>
      </c>
      <c r="H3" s="2">
        <f>('[1]Pc, Summer, S3'!H3*Main!$B$5)+(_xlfn.IFNA(VLOOKUP($A3,'FL Ratio'!$A$3:$B$10,2,FALSE),0)*'FL Characterization'!H$2)</f>
        <v>47.142148562757143</v>
      </c>
      <c r="I3" s="2">
        <f>('[1]Pc, Summer, S3'!I3*Main!$B$5)+(_xlfn.IFNA(VLOOKUP($A3,'FL Ratio'!$A$3:$B$10,2,FALSE),0)*'FL Characterization'!I$2)</f>
        <v>55.841899782421734</v>
      </c>
      <c r="J3" s="2">
        <f>('[1]Pc, Summer, S3'!J3*Main!$B$5)+(_xlfn.IFNA(VLOOKUP($A3,'FL Ratio'!$A$3:$B$10,2,FALSE),0)*'FL Characterization'!J$2)</f>
        <v>58.222877811264226</v>
      </c>
      <c r="K3" s="2">
        <f>('[1]Pc, Summer, S3'!K3*Main!$B$5)+(_xlfn.IFNA(VLOOKUP($A3,'FL Ratio'!$A$3:$B$10,2,FALSE),0)*'FL Characterization'!K$2)</f>
        <v>57.15443696694998</v>
      </c>
      <c r="L3" s="2">
        <f>('[1]Pc, Summer, S3'!L3*Main!$B$5)+(_xlfn.IFNA(VLOOKUP($A3,'FL Ratio'!$A$3:$B$10,2,FALSE),0)*'FL Characterization'!L$2)</f>
        <v>56.939619474407301</v>
      </c>
      <c r="M3" s="2">
        <f>('[1]Pc, Summer, S3'!M3*Main!$B$5)+(_xlfn.IFNA(VLOOKUP($A3,'FL Ratio'!$A$3:$B$10,2,FALSE),0)*'FL Characterization'!M$2)</f>
        <v>60.723569335778087</v>
      </c>
      <c r="N3" s="2">
        <f>('[1]Pc, Summer, S3'!N3*Main!$B$5)+(_xlfn.IFNA(VLOOKUP($A3,'FL Ratio'!$A$3:$B$10,2,FALSE),0)*'FL Characterization'!N$2)</f>
        <v>60.923103659712254</v>
      </c>
      <c r="O3" s="2">
        <f>('[1]Pc, Summer, S3'!O3*Main!$B$5)+(_xlfn.IFNA(VLOOKUP($A3,'FL Ratio'!$A$3:$B$10,2,FALSE),0)*'FL Characterization'!O$2)</f>
        <v>61.374575261341064</v>
      </c>
      <c r="P3" s="2">
        <f>('[1]Pc, Summer, S3'!P3*Main!$B$5)+(_xlfn.IFNA(VLOOKUP($A3,'FL Ratio'!$A$3:$B$10,2,FALSE),0)*'FL Characterization'!P$2)</f>
        <v>58.410667492233173</v>
      </c>
      <c r="Q3" s="2">
        <f>('[1]Pc, Summer, S3'!Q3*Main!$B$5)+(_xlfn.IFNA(VLOOKUP($A3,'FL Ratio'!$A$3:$B$10,2,FALSE),0)*'FL Characterization'!Q$2)</f>
        <v>55.336294468136238</v>
      </c>
      <c r="R3" s="2">
        <f>('[1]Pc, Summer, S3'!R3*Main!$B$5)+(_xlfn.IFNA(VLOOKUP($A3,'FL Ratio'!$A$3:$B$10,2,FALSE),0)*'FL Characterization'!R$2)</f>
        <v>51.164702896959618</v>
      </c>
      <c r="S3" s="2">
        <f>('[1]Pc, Summer, S3'!S3*Main!$B$5)+(_xlfn.IFNA(VLOOKUP($A3,'FL Ratio'!$A$3:$B$10,2,FALSE),0)*'FL Characterization'!S$2)</f>
        <v>51.767336865205216</v>
      </c>
      <c r="T3" s="2">
        <f>('[1]Pc, Summer, S3'!T3*Main!$B$5)+(_xlfn.IFNA(VLOOKUP($A3,'FL Ratio'!$A$3:$B$10,2,FALSE),0)*'FL Characterization'!T$2)</f>
        <v>51.278242630107343</v>
      </c>
      <c r="U3" s="2">
        <f>('[1]Pc, Summer, S3'!U3*Main!$B$5)+(_xlfn.IFNA(VLOOKUP($A3,'FL Ratio'!$A$3:$B$10,2,FALSE),0)*'FL Characterization'!U$2)</f>
        <v>51.071989978767988</v>
      </c>
      <c r="V3" s="2">
        <f>('[1]Pc, Summer, S3'!V3*Main!$B$5)+(_xlfn.IFNA(VLOOKUP($A3,'FL Ratio'!$A$3:$B$10,2,FALSE),0)*'FL Characterization'!V$2)</f>
        <v>51.325270921943677</v>
      </c>
      <c r="W3" s="2">
        <f>('[1]Pc, Summer, S3'!W3*Main!$B$5)+(_xlfn.IFNA(VLOOKUP($A3,'FL Ratio'!$A$3:$B$10,2,FALSE),0)*'FL Characterization'!W$2)</f>
        <v>51.04198144969147</v>
      </c>
      <c r="X3" s="2">
        <f>('[1]Pc, Summer, S3'!X3*Main!$B$5)+(_xlfn.IFNA(VLOOKUP($A3,'FL Ratio'!$A$3:$B$10,2,FALSE),0)*'FL Characterization'!X$2)</f>
        <v>50.857908025985196</v>
      </c>
      <c r="Y3" s="2">
        <f>('[1]Pc, Summer, S3'!Y3*Main!$B$5)+(_xlfn.IFNA(VLOOKUP($A3,'FL Ratio'!$A$3:$B$10,2,FALSE),0)*'FL Characterization'!Y$2)</f>
        <v>48.150187894735609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56.938982536935683</v>
      </c>
      <c r="C4" s="2">
        <f>('[1]Pc, Summer, S3'!C4*Main!$B$5)+(_xlfn.IFNA(VLOOKUP($A4,'FL Ratio'!$A$3:$B$10,2,FALSE),0)*'FL Characterization'!C$2)</f>
        <v>50.544800832109587</v>
      </c>
      <c r="D4" s="2">
        <f>('[1]Pc, Summer, S3'!D4*Main!$B$5)+(_xlfn.IFNA(VLOOKUP($A4,'FL Ratio'!$A$3:$B$10,2,FALSE),0)*'FL Characterization'!D$2)</f>
        <v>47.652841061670252</v>
      </c>
      <c r="E4" s="2">
        <f>('[1]Pc, Summer, S3'!E4*Main!$B$5)+(_xlfn.IFNA(VLOOKUP($A4,'FL Ratio'!$A$3:$B$10,2,FALSE),0)*'FL Characterization'!E$2)</f>
        <v>46.089455745343379</v>
      </c>
      <c r="F4" s="2">
        <f>('[1]Pc, Summer, S3'!F4*Main!$B$5)+(_xlfn.IFNA(VLOOKUP($A4,'FL Ratio'!$A$3:$B$10,2,FALSE),0)*'FL Characterization'!F$2)</f>
        <v>48.277820799899011</v>
      </c>
      <c r="G4" s="2">
        <f>('[1]Pc, Summer, S3'!G4*Main!$B$5)+(_xlfn.IFNA(VLOOKUP($A4,'FL Ratio'!$A$3:$B$10,2,FALSE),0)*'FL Characterization'!G$2)</f>
        <v>44.086460702941103</v>
      </c>
      <c r="H4" s="2">
        <f>('[1]Pc, Summer, S3'!H4*Main!$B$5)+(_xlfn.IFNA(VLOOKUP($A4,'FL Ratio'!$A$3:$B$10,2,FALSE),0)*'FL Characterization'!H$2)</f>
        <v>51.789478831286743</v>
      </c>
      <c r="I4" s="2">
        <f>('[1]Pc, Summer, S3'!I4*Main!$B$5)+(_xlfn.IFNA(VLOOKUP($A4,'FL Ratio'!$A$3:$B$10,2,FALSE),0)*'FL Characterization'!I$2)</f>
        <v>58.084918566460274</v>
      </c>
      <c r="J4" s="2">
        <f>('[1]Pc, Summer, S3'!J4*Main!$B$5)+(_xlfn.IFNA(VLOOKUP($A4,'FL Ratio'!$A$3:$B$10,2,FALSE),0)*'FL Characterization'!J$2)</f>
        <v>65.348460674195863</v>
      </c>
      <c r="K4" s="2">
        <f>('[1]Pc, Summer, S3'!K4*Main!$B$5)+(_xlfn.IFNA(VLOOKUP($A4,'FL Ratio'!$A$3:$B$10,2,FALSE),0)*'FL Characterization'!K$2)</f>
        <v>70.256870669466508</v>
      </c>
      <c r="L4" s="2">
        <f>('[1]Pc, Summer, S3'!L4*Main!$B$5)+(_xlfn.IFNA(VLOOKUP($A4,'FL Ratio'!$A$3:$B$10,2,FALSE),0)*'FL Characterization'!L$2)</f>
        <v>72.30272603011737</v>
      </c>
      <c r="M4" s="2">
        <f>('[1]Pc, Summer, S3'!M4*Main!$B$5)+(_xlfn.IFNA(VLOOKUP($A4,'FL Ratio'!$A$3:$B$10,2,FALSE),0)*'FL Characterization'!M$2)</f>
        <v>73.509945813535623</v>
      </c>
      <c r="N4" s="2">
        <f>('[1]Pc, Summer, S3'!N4*Main!$B$5)+(_xlfn.IFNA(VLOOKUP($A4,'FL Ratio'!$A$3:$B$10,2,FALSE),0)*'FL Characterization'!N$2)</f>
        <v>75.146255382723538</v>
      </c>
      <c r="O4" s="2">
        <f>('[1]Pc, Summer, S3'!O4*Main!$B$5)+(_xlfn.IFNA(VLOOKUP($A4,'FL Ratio'!$A$3:$B$10,2,FALSE),0)*'FL Characterization'!O$2)</f>
        <v>76.208813159255683</v>
      </c>
      <c r="P4" s="2">
        <f>('[1]Pc, Summer, S3'!P4*Main!$B$5)+(_xlfn.IFNA(VLOOKUP($A4,'FL Ratio'!$A$3:$B$10,2,FALSE),0)*'FL Characterization'!P$2)</f>
        <v>76.537440083414992</v>
      </c>
      <c r="Q4" s="2">
        <f>('[1]Pc, Summer, S3'!Q4*Main!$B$5)+(_xlfn.IFNA(VLOOKUP($A4,'FL Ratio'!$A$3:$B$10,2,FALSE),0)*'FL Characterization'!Q$2)</f>
        <v>73.674285497169151</v>
      </c>
      <c r="R4" s="2">
        <f>('[1]Pc, Summer, S3'!R4*Main!$B$5)+(_xlfn.IFNA(VLOOKUP($A4,'FL Ratio'!$A$3:$B$10,2,FALSE),0)*'FL Characterization'!R$2)</f>
        <v>73.255811691794221</v>
      </c>
      <c r="S4" s="2">
        <f>('[1]Pc, Summer, S3'!S4*Main!$B$5)+(_xlfn.IFNA(VLOOKUP($A4,'FL Ratio'!$A$3:$B$10,2,FALSE),0)*'FL Characterization'!S$2)</f>
        <v>71.02505514572762</v>
      </c>
      <c r="T4" s="2">
        <f>('[1]Pc, Summer, S3'!T4*Main!$B$5)+(_xlfn.IFNA(VLOOKUP($A4,'FL Ratio'!$A$3:$B$10,2,FALSE),0)*'FL Characterization'!T$2)</f>
        <v>70.903435408940126</v>
      </c>
      <c r="U4" s="2">
        <f>('[1]Pc, Summer, S3'!U4*Main!$B$5)+(_xlfn.IFNA(VLOOKUP($A4,'FL Ratio'!$A$3:$B$10,2,FALSE),0)*'FL Characterization'!U$2)</f>
        <v>71.274419432609477</v>
      </c>
      <c r="V4" s="2">
        <f>('[1]Pc, Summer, S3'!V4*Main!$B$5)+(_xlfn.IFNA(VLOOKUP($A4,'FL Ratio'!$A$3:$B$10,2,FALSE),0)*'FL Characterization'!V$2)</f>
        <v>70.94582475316615</v>
      </c>
      <c r="W4" s="2">
        <f>('[1]Pc, Summer, S3'!W4*Main!$B$5)+(_xlfn.IFNA(VLOOKUP($A4,'FL Ratio'!$A$3:$B$10,2,FALSE),0)*'FL Characterization'!W$2)</f>
        <v>73.179214914495716</v>
      </c>
      <c r="X4" s="2">
        <f>('[1]Pc, Summer, S3'!X4*Main!$B$5)+(_xlfn.IFNA(VLOOKUP($A4,'FL Ratio'!$A$3:$B$10,2,FALSE),0)*'FL Characterization'!X$2)</f>
        <v>73.141555447778643</v>
      </c>
      <c r="Y4" s="2">
        <f>('[1]Pc, Summer, S3'!Y4*Main!$B$5)+(_xlfn.IFNA(VLOOKUP($A4,'FL Ratio'!$A$3:$B$10,2,FALSE),0)*'FL Characterization'!Y$2)</f>
        <v>66.021296018502795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C093A-A009-45C7-8400-95923DE29AB6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39.634992225828178</v>
      </c>
      <c r="C2" s="2">
        <f>('[1]Pc, Summer, S3'!C2*Main!$B$5)+(_xlfn.IFNA(VLOOKUP($A2,'FL Ratio'!$A$3:$B$10,2,FALSE),0)*'FL Characterization'!C$2)</f>
        <v>36.010164131842977</v>
      </c>
      <c r="D2" s="2">
        <f>('[1]Pc, Summer, S3'!D2*Main!$B$5)+(_xlfn.IFNA(VLOOKUP($A2,'FL Ratio'!$A$3:$B$10,2,FALSE),0)*'FL Characterization'!D$2)</f>
        <v>35.381160154729031</v>
      </c>
      <c r="E2" s="2">
        <f>('[1]Pc, Summer, S3'!E2*Main!$B$5)+(_xlfn.IFNA(VLOOKUP($A2,'FL Ratio'!$A$3:$B$10,2,FALSE),0)*'FL Characterization'!E$2)</f>
        <v>35.290776715004725</v>
      </c>
      <c r="F2" s="2">
        <f>('[1]Pc, Summer, S3'!F2*Main!$B$5)+(_xlfn.IFNA(VLOOKUP($A2,'FL Ratio'!$A$3:$B$10,2,FALSE),0)*'FL Characterization'!F$2)</f>
        <v>35.293559043736032</v>
      </c>
      <c r="G2" s="2">
        <f>('[1]Pc, Summer, S3'!G2*Main!$B$5)+(_xlfn.IFNA(VLOOKUP($A2,'FL Ratio'!$A$3:$B$10,2,FALSE),0)*'FL Characterization'!G$2)</f>
        <v>34.981433120107688</v>
      </c>
      <c r="H2" s="2">
        <f>('[1]Pc, Summer, S3'!H2*Main!$B$5)+(_xlfn.IFNA(VLOOKUP($A2,'FL Ratio'!$A$3:$B$10,2,FALSE),0)*'FL Characterization'!H$2)</f>
        <v>37.765579736450889</v>
      </c>
      <c r="I2" s="2">
        <f>('[1]Pc, Summer, S3'!I2*Main!$B$5)+(_xlfn.IFNA(VLOOKUP($A2,'FL Ratio'!$A$3:$B$10,2,FALSE),0)*'FL Characterization'!I$2)</f>
        <v>44.836969577505265</v>
      </c>
      <c r="J2" s="2">
        <f>('[1]Pc, Summer, S3'!J2*Main!$B$5)+(_xlfn.IFNA(VLOOKUP($A2,'FL Ratio'!$A$3:$B$10,2,FALSE),0)*'FL Characterization'!J$2)</f>
        <v>51.101396069599559</v>
      </c>
      <c r="K2" s="2">
        <f>('[1]Pc, Summer, S3'!K2*Main!$B$5)+(_xlfn.IFNA(VLOOKUP($A2,'FL Ratio'!$A$3:$B$10,2,FALSE),0)*'FL Characterization'!K$2)</f>
        <v>52.671642285129614</v>
      </c>
      <c r="L2" s="2">
        <f>('[1]Pc, Summer, S3'!L2*Main!$B$5)+(_xlfn.IFNA(VLOOKUP($A2,'FL Ratio'!$A$3:$B$10,2,FALSE),0)*'FL Characterization'!L$2)</f>
        <v>52.138619316967599</v>
      </c>
      <c r="M2" s="2">
        <f>('[1]Pc, Summer, S3'!M2*Main!$B$5)+(_xlfn.IFNA(VLOOKUP($A2,'FL Ratio'!$A$3:$B$10,2,FALSE),0)*'FL Characterization'!M$2)</f>
        <v>53.6130268839389</v>
      </c>
      <c r="N2" s="2">
        <f>('[1]Pc, Summer, S3'!N2*Main!$B$5)+(_xlfn.IFNA(VLOOKUP($A2,'FL Ratio'!$A$3:$B$10,2,FALSE),0)*'FL Characterization'!N$2)</f>
        <v>54.348484569322395</v>
      </c>
      <c r="O2" s="2">
        <f>('[1]Pc, Summer, S3'!O2*Main!$B$5)+(_xlfn.IFNA(VLOOKUP($A2,'FL Ratio'!$A$3:$B$10,2,FALSE),0)*'FL Characterization'!O$2)</f>
        <v>53.343139423006576</v>
      </c>
      <c r="P2" s="2">
        <f>('[1]Pc, Summer, S3'!P2*Main!$B$5)+(_xlfn.IFNA(VLOOKUP($A2,'FL Ratio'!$A$3:$B$10,2,FALSE),0)*'FL Characterization'!P$2)</f>
        <v>51.258745116261693</v>
      </c>
      <c r="Q2" s="2">
        <f>('[1]Pc, Summer, S3'!Q2*Main!$B$5)+(_xlfn.IFNA(VLOOKUP($A2,'FL Ratio'!$A$3:$B$10,2,FALSE),0)*'FL Characterization'!Q$2)</f>
        <v>49.195669057526146</v>
      </c>
      <c r="R2" s="2">
        <f>('[1]Pc, Summer, S3'!R2*Main!$B$5)+(_xlfn.IFNA(VLOOKUP($A2,'FL Ratio'!$A$3:$B$10,2,FALSE),0)*'FL Characterization'!R$2)</f>
        <v>50.053972251725924</v>
      </c>
      <c r="S2" s="2">
        <f>('[1]Pc, Summer, S3'!S2*Main!$B$5)+(_xlfn.IFNA(VLOOKUP($A2,'FL Ratio'!$A$3:$B$10,2,FALSE),0)*'FL Characterization'!S$2)</f>
        <v>50.548492993981782</v>
      </c>
      <c r="T2" s="2">
        <f>('[1]Pc, Summer, S3'!T2*Main!$B$5)+(_xlfn.IFNA(VLOOKUP($A2,'FL Ratio'!$A$3:$B$10,2,FALSE),0)*'FL Characterization'!T$2)</f>
        <v>50.763052568940651</v>
      </c>
      <c r="U2" s="2">
        <f>('[1]Pc, Summer, S3'!U2*Main!$B$5)+(_xlfn.IFNA(VLOOKUP($A2,'FL Ratio'!$A$3:$B$10,2,FALSE),0)*'FL Characterization'!U$2)</f>
        <v>49.92269067357509</v>
      </c>
      <c r="V2" s="2">
        <f>('[1]Pc, Summer, S3'!V2*Main!$B$5)+(_xlfn.IFNA(VLOOKUP($A2,'FL Ratio'!$A$3:$B$10,2,FALSE),0)*'FL Characterization'!V$2)</f>
        <v>50.072686367749796</v>
      </c>
      <c r="W2" s="2">
        <f>('[1]Pc, Summer, S3'!W2*Main!$B$5)+(_xlfn.IFNA(VLOOKUP($A2,'FL Ratio'!$A$3:$B$10,2,FALSE),0)*'FL Characterization'!W$2)</f>
        <v>52.146595383202786</v>
      </c>
      <c r="X2" s="2">
        <f>('[1]Pc, Summer, S3'!X2*Main!$B$5)+(_xlfn.IFNA(VLOOKUP($A2,'FL Ratio'!$A$3:$B$10,2,FALSE),0)*'FL Characterization'!X$2)</f>
        <v>48.606938575675592</v>
      </c>
      <c r="Y2" s="2">
        <f>('[1]Pc, Summer, S3'!Y2*Main!$B$5)+(_xlfn.IFNA(VLOOKUP($A2,'FL Ratio'!$A$3:$B$10,2,FALSE),0)*'FL Characterization'!Y$2)</f>
        <v>44.557709564847492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42.939946095156934</v>
      </c>
      <c r="C3" s="2">
        <f>('[1]Pc, Summer, S3'!C3*Main!$B$5)+(_xlfn.IFNA(VLOOKUP($A3,'FL Ratio'!$A$3:$B$10,2,FALSE),0)*'FL Characterization'!C$2)</f>
        <v>39.436194113759072</v>
      </c>
      <c r="D3" s="2">
        <f>('[1]Pc, Summer, S3'!D3*Main!$B$5)+(_xlfn.IFNA(VLOOKUP($A3,'FL Ratio'!$A$3:$B$10,2,FALSE),0)*'FL Characterization'!D$2)</f>
        <v>37.347747997068993</v>
      </c>
      <c r="E3" s="2">
        <f>('[1]Pc, Summer, S3'!E3*Main!$B$5)+(_xlfn.IFNA(VLOOKUP($A3,'FL Ratio'!$A$3:$B$10,2,FALSE),0)*'FL Characterization'!E$2)</f>
        <v>35.976034571551644</v>
      </c>
      <c r="F3" s="2">
        <f>('[1]Pc, Summer, S3'!F3*Main!$B$5)+(_xlfn.IFNA(VLOOKUP($A3,'FL Ratio'!$A$3:$B$10,2,FALSE),0)*'FL Characterization'!F$2)</f>
        <v>35.539791178707929</v>
      </c>
      <c r="G3" s="2">
        <f>('[1]Pc, Summer, S3'!G3*Main!$B$5)+(_xlfn.IFNA(VLOOKUP($A3,'FL Ratio'!$A$3:$B$10,2,FALSE),0)*'FL Characterization'!G$2)</f>
        <v>37.664574085160041</v>
      </c>
      <c r="H3" s="2">
        <f>('[1]Pc, Summer, S3'!H3*Main!$B$5)+(_xlfn.IFNA(VLOOKUP($A3,'FL Ratio'!$A$3:$B$10,2,FALSE),0)*'FL Characterization'!H$2)</f>
        <v>47.142148562757143</v>
      </c>
      <c r="I3" s="2">
        <f>('[1]Pc, Summer, S3'!I3*Main!$B$5)+(_xlfn.IFNA(VLOOKUP($A3,'FL Ratio'!$A$3:$B$10,2,FALSE),0)*'FL Characterization'!I$2)</f>
        <v>55.841899782421734</v>
      </c>
      <c r="J3" s="2">
        <f>('[1]Pc, Summer, S3'!J3*Main!$B$5)+(_xlfn.IFNA(VLOOKUP($A3,'FL Ratio'!$A$3:$B$10,2,FALSE),0)*'FL Characterization'!J$2)</f>
        <v>58.222877811264226</v>
      </c>
      <c r="K3" s="2">
        <f>('[1]Pc, Summer, S3'!K3*Main!$B$5)+(_xlfn.IFNA(VLOOKUP($A3,'FL Ratio'!$A$3:$B$10,2,FALSE),0)*'FL Characterization'!K$2)</f>
        <v>57.15443696694998</v>
      </c>
      <c r="L3" s="2">
        <f>('[1]Pc, Summer, S3'!L3*Main!$B$5)+(_xlfn.IFNA(VLOOKUP($A3,'FL Ratio'!$A$3:$B$10,2,FALSE),0)*'FL Characterization'!L$2)</f>
        <v>56.939619474407301</v>
      </c>
      <c r="M3" s="2">
        <f>('[1]Pc, Summer, S3'!M3*Main!$B$5)+(_xlfn.IFNA(VLOOKUP($A3,'FL Ratio'!$A$3:$B$10,2,FALSE),0)*'FL Characterization'!M$2)</f>
        <v>60.723569335778087</v>
      </c>
      <c r="N3" s="2">
        <f>('[1]Pc, Summer, S3'!N3*Main!$B$5)+(_xlfn.IFNA(VLOOKUP($A3,'FL Ratio'!$A$3:$B$10,2,FALSE),0)*'FL Characterization'!N$2)</f>
        <v>60.923103659712254</v>
      </c>
      <c r="O3" s="2">
        <f>('[1]Pc, Summer, S3'!O3*Main!$B$5)+(_xlfn.IFNA(VLOOKUP($A3,'FL Ratio'!$A$3:$B$10,2,FALSE),0)*'FL Characterization'!O$2)</f>
        <v>61.374575261341064</v>
      </c>
      <c r="P3" s="2">
        <f>('[1]Pc, Summer, S3'!P3*Main!$B$5)+(_xlfn.IFNA(VLOOKUP($A3,'FL Ratio'!$A$3:$B$10,2,FALSE),0)*'FL Characterization'!P$2)</f>
        <v>58.410667492233173</v>
      </c>
      <c r="Q3" s="2">
        <f>('[1]Pc, Summer, S3'!Q3*Main!$B$5)+(_xlfn.IFNA(VLOOKUP($A3,'FL Ratio'!$A$3:$B$10,2,FALSE),0)*'FL Characterization'!Q$2)</f>
        <v>55.336294468136238</v>
      </c>
      <c r="R3" s="2">
        <f>('[1]Pc, Summer, S3'!R3*Main!$B$5)+(_xlfn.IFNA(VLOOKUP($A3,'FL Ratio'!$A$3:$B$10,2,FALSE),0)*'FL Characterization'!R$2)</f>
        <v>51.164702896959618</v>
      </c>
      <c r="S3" s="2">
        <f>('[1]Pc, Summer, S3'!S3*Main!$B$5)+(_xlfn.IFNA(VLOOKUP($A3,'FL Ratio'!$A$3:$B$10,2,FALSE),0)*'FL Characterization'!S$2)</f>
        <v>51.767336865205216</v>
      </c>
      <c r="T3" s="2">
        <f>('[1]Pc, Summer, S3'!T3*Main!$B$5)+(_xlfn.IFNA(VLOOKUP($A3,'FL Ratio'!$A$3:$B$10,2,FALSE),0)*'FL Characterization'!T$2)</f>
        <v>51.278242630107343</v>
      </c>
      <c r="U3" s="2">
        <f>('[1]Pc, Summer, S3'!U3*Main!$B$5)+(_xlfn.IFNA(VLOOKUP($A3,'FL Ratio'!$A$3:$B$10,2,FALSE),0)*'FL Characterization'!U$2)</f>
        <v>51.071989978767988</v>
      </c>
      <c r="V3" s="2">
        <f>('[1]Pc, Summer, S3'!V3*Main!$B$5)+(_xlfn.IFNA(VLOOKUP($A3,'FL Ratio'!$A$3:$B$10,2,FALSE),0)*'FL Characterization'!V$2)</f>
        <v>51.325270921943677</v>
      </c>
      <c r="W3" s="2">
        <f>('[1]Pc, Summer, S3'!W3*Main!$B$5)+(_xlfn.IFNA(VLOOKUP($A3,'FL Ratio'!$A$3:$B$10,2,FALSE),0)*'FL Characterization'!W$2)</f>
        <v>51.04198144969147</v>
      </c>
      <c r="X3" s="2">
        <f>('[1]Pc, Summer, S3'!X3*Main!$B$5)+(_xlfn.IFNA(VLOOKUP($A3,'FL Ratio'!$A$3:$B$10,2,FALSE),0)*'FL Characterization'!X$2)</f>
        <v>50.857908025985196</v>
      </c>
      <c r="Y3" s="2">
        <f>('[1]Pc, Summer, S3'!Y3*Main!$B$5)+(_xlfn.IFNA(VLOOKUP($A3,'FL Ratio'!$A$3:$B$10,2,FALSE),0)*'FL Characterization'!Y$2)</f>
        <v>48.150187894735609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56.938982536935683</v>
      </c>
      <c r="C4" s="2">
        <f>('[1]Pc, Summer, S3'!C4*Main!$B$5)+(_xlfn.IFNA(VLOOKUP($A4,'FL Ratio'!$A$3:$B$10,2,FALSE),0)*'FL Characterization'!C$2)</f>
        <v>50.544800832109587</v>
      </c>
      <c r="D4" s="2">
        <f>('[1]Pc, Summer, S3'!D4*Main!$B$5)+(_xlfn.IFNA(VLOOKUP($A4,'FL Ratio'!$A$3:$B$10,2,FALSE),0)*'FL Characterization'!D$2)</f>
        <v>47.652841061670252</v>
      </c>
      <c r="E4" s="2">
        <f>('[1]Pc, Summer, S3'!E4*Main!$B$5)+(_xlfn.IFNA(VLOOKUP($A4,'FL Ratio'!$A$3:$B$10,2,FALSE),0)*'FL Characterization'!E$2)</f>
        <v>46.089455745343379</v>
      </c>
      <c r="F4" s="2">
        <f>('[1]Pc, Summer, S3'!F4*Main!$B$5)+(_xlfn.IFNA(VLOOKUP($A4,'FL Ratio'!$A$3:$B$10,2,FALSE),0)*'FL Characterization'!F$2)</f>
        <v>48.277820799899011</v>
      </c>
      <c r="G4" s="2">
        <f>('[1]Pc, Summer, S3'!G4*Main!$B$5)+(_xlfn.IFNA(VLOOKUP($A4,'FL Ratio'!$A$3:$B$10,2,FALSE),0)*'FL Characterization'!G$2)</f>
        <v>44.086460702941103</v>
      </c>
      <c r="H4" s="2">
        <f>('[1]Pc, Summer, S3'!H4*Main!$B$5)+(_xlfn.IFNA(VLOOKUP($A4,'FL Ratio'!$A$3:$B$10,2,FALSE),0)*'FL Characterization'!H$2)</f>
        <v>51.789478831286743</v>
      </c>
      <c r="I4" s="2">
        <f>('[1]Pc, Summer, S3'!I4*Main!$B$5)+(_xlfn.IFNA(VLOOKUP($A4,'FL Ratio'!$A$3:$B$10,2,FALSE),0)*'FL Characterization'!I$2)</f>
        <v>58.084918566460274</v>
      </c>
      <c r="J4" s="2">
        <f>('[1]Pc, Summer, S3'!J4*Main!$B$5)+(_xlfn.IFNA(VLOOKUP($A4,'FL Ratio'!$A$3:$B$10,2,FALSE),0)*'FL Characterization'!J$2)</f>
        <v>65.348460674195863</v>
      </c>
      <c r="K4" s="2">
        <f>('[1]Pc, Summer, S3'!K4*Main!$B$5)+(_xlfn.IFNA(VLOOKUP($A4,'FL Ratio'!$A$3:$B$10,2,FALSE),0)*'FL Characterization'!K$2)</f>
        <v>70.256870669466508</v>
      </c>
      <c r="L4" s="2">
        <f>('[1]Pc, Summer, S3'!L4*Main!$B$5)+(_xlfn.IFNA(VLOOKUP($A4,'FL Ratio'!$A$3:$B$10,2,FALSE),0)*'FL Characterization'!L$2)</f>
        <v>72.30272603011737</v>
      </c>
      <c r="M4" s="2">
        <f>('[1]Pc, Summer, S3'!M4*Main!$B$5)+(_xlfn.IFNA(VLOOKUP($A4,'FL Ratio'!$A$3:$B$10,2,FALSE),0)*'FL Characterization'!M$2)</f>
        <v>73.509945813535623</v>
      </c>
      <c r="N4" s="2">
        <f>('[1]Pc, Summer, S3'!N4*Main!$B$5)+(_xlfn.IFNA(VLOOKUP($A4,'FL Ratio'!$A$3:$B$10,2,FALSE),0)*'FL Characterization'!N$2)</f>
        <v>75.146255382723538</v>
      </c>
      <c r="O4" s="2">
        <f>('[1]Pc, Summer, S3'!O4*Main!$B$5)+(_xlfn.IFNA(VLOOKUP($A4,'FL Ratio'!$A$3:$B$10,2,FALSE),0)*'FL Characterization'!O$2)</f>
        <v>76.208813159255683</v>
      </c>
      <c r="P4" s="2">
        <f>('[1]Pc, Summer, S3'!P4*Main!$B$5)+(_xlfn.IFNA(VLOOKUP($A4,'FL Ratio'!$A$3:$B$10,2,FALSE),0)*'FL Characterization'!P$2)</f>
        <v>76.537440083414992</v>
      </c>
      <c r="Q4" s="2">
        <f>('[1]Pc, Summer, S3'!Q4*Main!$B$5)+(_xlfn.IFNA(VLOOKUP($A4,'FL Ratio'!$A$3:$B$10,2,FALSE),0)*'FL Characterization'!Q$2)</f>
        <v>73.674285497169151</v>
      </c>
      <c r="R4" s="2">
        <f>('[1]Pc, Summer, S3'!R4*Main!$B$5)+(_xlfn.IFNA(VLOOKUP($A4,'FL Ratio'!$A$3:$B$10,2,FALSE),0)*'FL Characterization'!R$2)</f>
        <v>73.255811691794221</v>
      </c>
      <c r="S4" s="2">
        <f>('[1]Pc, Summer, S3'!S4*Main!$B$5)+(_xlfn.IFNA(VLOOKUP($A4,'FL Ratio'!$A$3:$B$10,2,FALSE),0)*'FL Characterization'!S$2)</f>
        <v>71.02505514572762</v>
      </c>
      <c r="T4" s="2">
        <f>('[1]Pc, Summer, S3'!T4*Main!$B$5)+(_xlfn.IFNA(VLOOKUP($A4,'FL Ratio'!$A$3:$B$10,2,FALSE),0)*'FL Characterization'!T$2)</f>
        <v>70.903435408940126</v>
      </c>
      <c r="U4" s="2">
        <f>('[1]Pc, Summer, S3'!U4*Main!$B$5)+(_xlfn.IFNA(VLOOKUP($A4,'FL Ratio'!$A$3:$B$10,2,FALSE),0)*'FL Characterization'!U$2)</f>
        <v>71.274419432609477</v>
      </c>
      <c r="V4" s="2">
        <f>('[1]Pc, Summer, S3'!V4*Main!$B$5)+(_xlfn.IFNA(VLOOKUP($A4,'FL Ratio'!$A$3:$B$10,2,FALSE),0)*'FL Characterization'!V$2)</f>
        <v>70.94582475316615</v>
      </c>
      <c r="W4" s="2">
        <f>('[1]Pc, Summer, S3'!W4*Main!$B$5)+(_xlfn.IFNA(VLOOKUP($A4,'FL Ratio'!$A$3:$B$10,2,FALSE),0)*'FL Characterization'!W$2)</f>
        <v>73.179214914495716</v>
      </c>
      <c r="X4" s="2">
        <f>('[1]Pc, Summer, S3'!X4*Main!$B$5)+(_xlfn.IFNA(VLOOKUP($A4,'FL Ratio'!$A$3:$B$10,2,FALSE),0)*'FL Characterization'!X$2)</f>
        <v>73.141555447778643</v>
      </c>
      <c r="Y4" s="2">
        <f>('[1]Pc, Summer, S3'!Y4*Main!$B$5)+(_xlfn.IFNA(VLOOKUP($A4,'FL Ratio'!$A$3:$B$10,2,FALSE),0)*'FL Characterization'!Y$2)</f>
        <v>66.021296018502795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7E3D7-C1B6-4623-A296-E98A362F351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39.634992225828178</v>
      </c>
      <c r="C2" s="2">
        <f>('[1]Pc, Summer, S3'!C2*Main!$B$5)+(_xlfn.IFNA(VLOOKUP($A2,'FL Ratio'!$A$3:$B$10,2,FALSE),0)*'FL Characterization'!C$2)</f>
        <v>36.010164131842977</v>
      </c>
      <c r="D2" s="2">
        <f>('[1]Pc, Summer, S3'!D2*Main!$B$5)+(_xlfn.IFNA(VLOOKUP($A2,'FL Ratio'!$A$3:$B$10,2,FALSE),0)*'FL Characterization'!D$2)</f>
        <v>35.381160154729031</v>
      </c>
      <c r="E2" s="2">
        <f>('[1]Pc, Summer, S3'!E2*Main!$B$5)+(_xlfn.IFNA(VLOOKUP($A2,'FL Ratio'!$A$3:$B$10,2,FALSE),0)*'FL Characterization'!E$2)</f>
        <v>35.290776715004725</v>
      </c>
      <c r="F2" s="2">
        <f>('[1]Pc, Summer, S3'!F2*Main!$B$5)+(_xlfn.IFNA(VLOOKUP($A2,'FL Ratio'!$A$3:$B$10,2,FALSE),0)*'FL Characterization'!F$2)</f>
        <v>35.293559043736032</v>
      </c>
      <c r="G2" s="2">
        <f>('[1]Pc, Summer, S3'!G2*Main!$B$5)+(_xlfn.IFNA(VLOOKUP($A2,'FL Ratio'!$A$3:$B$10,2,FALSE),0)*'FL Characterization'!G$2)</f>
        <v>34.981433120107688</v>
      </c>
      <c r="H2" s="2">
        <f>('[1]Pc, Summer, S3'!H2*Main!$B$5)+(_xlfn.IFNA(VLOOKUP($A2,'FL Ratio'!$A$3:$B$10,2,FALSE),0)*'FL Characterization'!H$2)</f>
        <v>37.765579736450889</v>
      </c>
      <c r="I2" s="2">
        <f>('[1]Pc, Summer, S3'!I2*Main!$B$5)+(_xlfn.IFNA(VLOOKUP($A2,'FL Ratio'!$A$3:$B$10,2,FALSE),0)*'FL Characterization'!I$2)</f>
        <v>44.836969577505265</v>
      </c>
      <c r="J2" s="2">
        <f>('[1]Pc, Summer, S3'!J2*Main!$B$5)+(_xlfn.IFNA(VLOOKUP($A2,'FL Ratio'!$A$3:$B$10,2,FALSE),0)*'FL Characterization'!J$2)</f>
        <v>51.101396069599559</v>
      </c>
      <c r="K2" s="2">
        <f>('[1]Pc, Summer, S3'!K2*Main!$B$5)+(_xlfn.IFNA(VLOOKUP($A2,'FL Ratio'!$A$3:$B$10,2,FALSE),0)*'FL Characterization'!K$2)</f>
        <v>52.671642285129614</v>
      </c>
      <c r="L2" s="2">
        <f>('[1]Pc, Summer, S3'!L2*Main!$B$5)+(_xlfn.IFNA(VLOOKUP($A2,'FL Ratio'!$A$3:$B$10,2,FALSE),0)*'FL Characterization'!L$2)</f>
        <v>52.138619316967599</v>
      </c>
      <c r="M2" s="2">
        <f>('[1]Pc, Summer, S3'!M2*Main!$B$5)+(_xlfn.IFNA(VLOOKUP($A2,'FL Ratio'!$A$3:$B$10,2,FALSE),0)*'FL Characterization'!M$2)</f>
        <v>53.6130268839389</v>
      </c>
      <c r="N2" s="2">
        <f>('[1]Pc, Summer, S3'!N2*Main!$B$5)+(_xlfn.IFNA(VLOOKUP($A2,'FL Ratio'!$A$3:$B$10,2,FALSE),0)*'FL Characterization'!N$2)</f>
        <v>54.348484569322395</v>
      </c>
      <c r="O2" s="2">
        <f>('[1]Pc, Summer, S3'!O2*Main!$B$5)+(_xlfn.IFNA(VLOOKUP($A2,'FL Ratio'!$A$3:$B$10,2,FALSE),0)*'FL Characterization'!O$2)</f>
        <v>53.343139423006576</v>
      </c>
      <c r="P2" s="2">
        <f>('[1]Pc, Summer, S3'!P2*Main!$B$5)+(_xlfn.IFNA(VLOOKUP($A2,'FL Ratio'!$A$3:$B$10,2,FALSE),0)*'FL Characterization'!P$2)</f>
        <v>51.258745116261693</v>
      </c>
      <c r="Q2" s="2">
        <f>('[1]Pc, Summer, S3'!Q2*Main!$B$5)+(_xlfn.IFNA(VLOOKUP($A2,'FL Ratio'!$A$3:$B$10,2,FALSE),0)*'FL Characterization'!Q$2)</f>
        <v>49.195669057526146</v>
      </c>
      <c r="R2" s="2">
        <f>('[1]Pc, Summer, S3'!R2*Main!$B$5)+(_xlfn.IFNA(VLOOKUP($A2,'FL Ratio'!$A$3:$B$10,2,FALSE),0)*'FL Characterization'!R$2)</f>
        <v>50.053972251725924</v>
      </c>
      <c r="S2" s="2">
        <f>('[1]Pc, Summer, S3'!S2*Main!$B$5)+(_xlfn.IFNA(VLOOKUP($A2,'FL Ratio'!$A$3:$B$10,2,FALSE),0)*'FL Characterization'!S$2)</f>
        <v>50.548492993981782</v>
      </c>
      <c r="T2" s="2">
        <f>('[1]Pc, Summer, S3'!T2*Main!$B$5)+(_xlfn.IFNA(VLOOKUP($A2,'FL Ratio'!$A$3:$B$10,2,FALSE),0)*'FL Characterization'!T$2)</f>
        <v>50.763052568940651</v>
      </c>
      <c r="U2" s="2">
        <f>('[1]Pc, Summer, S3'!U2*Main!$B$5)+(_xlfn.IFNA(VLOOKUP($A2,'FL Ratio'!$A$3:$B$10,2,FALSE),0)*'FL Characterization'!U$2)</f>
        <v>49.92269067357509</v>
      </c>
      <c r="V2" s="2">
        <f>('[1]Pc, Summer, S3'!V2*Main!$B$5)+(_xlfn.IFNA(VLOOKUP($A2,'FL Ratio'!$A$3:$B$10,2,FALSE),0)*'FL Characterization'!V$2)</f>
        <v>50.072686367749796</v>
      </c>
      <c r="W2" s="2">
        <f>('[1]Pc, Summer, S3'!W2*Main!$B$5)+(_xlfn.IFNA(VLOOKUP($A2,'FL Ratio'!$A$3:$B$10,2,FALSE),0)*'FL Characterization'!W$2)</f>
        <v>52.146595383202786</v>
      </c>
      <c r="X2" s="2">
        <f>('[1]Pc, Summer, S3'!X2*Main!$B$5)+(_xlfn.IFNA(VLOOKUP($A2,'FL Ratio'!$A$3:$B$10,2,FALSE),0)*'FL Characterization'!X$2)</f>
        <v>48.606938575675592</v>
      </c>
      <c r="Y2" s="2">
        <f>('[1]Pc, Summer, S3'!Y2*Main!$B$5)+(_xlfn.IFNA(VLOOKUP($A2,'FL Ratio'!$A$3:$B$10,2,FALSE),0)*'FL Characterization'!Y$2)</f>
        <v>44.557709564847492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42.939946095156934</v>
      </c>
      <c r="C3" s="2">
        <f>('[1]Pc, Summer, S3'!C3*Main!$B$5)+(_xlfn.IFNA(VLOOKUP($A3,'FL Ratio'!$A$3:$B$10,2,FALSE),0)*'FL Characterization'!C$2)</f>
        <v>39.436194113759072</v>
      </c>
      <c r="D3" s="2">
        <f>('[1]Pc, Summer, S3'!D3*Main!$B$5)+(_xlfn.IFNA(VLOOKUP($A3,'FL Ratio'!$A$3:$B$10,2,FALSE),0)*'FL Characterization'!D$2)</f>
        <v>37.347747997068993</v>
      </c>
      <c r="E3" s="2">
        <f>('[1]Pc, Summer, S3'!E3*Main!$B$5)+(_xlfn.IFNA(VLOOKUP($A3,'FL Ratio'!$A$3:$B$10,2,FALSE),0)*'FL Characterization'!E$2)</f>
        <v>35.976034571551644</v>
      </c>
      <c r="F3" s="2">
        <f>('[1]Pc, Summer, S3'!F3*Main!$B$5)+(_xlfn.IFNA(VLOOKUP($A3,'FL Ratio'!$A$3:$B$10,2,FALSE),0)*'FL Characterization'!F$2)</f>
        <v>35.539791178707929</v>
      </c>
      <c r="G3" s="2">
        <f>('[1]Pc, Summer, S3'!G3*Main!$B$5)+(_xlfn.IFNA(VLOOKUP($A3,'FL Ratio'!$A$3:$B$10,2,FALSE),0)*'FL Characterization'!G$2)</f>
        <v>37.664574085160041</v>
      </c>
      <c r="H3" s="2">
        <f>('[1]Pc, Summer, S3'!H3*Main!$B$5)+(_xlfn.IFNA(VLOOKUP($A3,'FL Ratio'!$A$3:$B$10,2,FALSE),0)*'FL Characterization'!H$2)</f>
        <v>47.142148562757143</v>
      </c>
      <c r="I3" s="2">
        <f>('[1]Pc, Summer, S3'!I3*Main!$B$5)+(_xlfn.IFNA(VLOOKUP($A3,'FL Ratio'!$A$3:$B$10,2,FALSE),0)*'FL Characterization'!I$2)</f>
        <v>55.841899782421734</v>
      </c>
      <c r="J3" s="2">
        <f>('[1]Pc, Summer, S3'!J3*Main!$B$5)+(_xlfn.IFNA(VLOOKUP($A3,'FL Ratio'!$A$3:$B$10,2,FALSE),0)*'FL Characterization'!J$2)</f>
        <v>58.222877811264226</v>
      </c>
      <c r="K3" s="2">
        <f>('[1]Pc, Summer, S3'!K3*Main!$B$5)+(_xlfn.IFNA(VLOOKUP($A3,'FL Ratio'!$A$3:$B$10,2,FALSE),0)*'FL Characterization'!K$2)</f>
        <v>57.15443696694998</v>
      </c>
      <c r="L3" s="2">
        <f>('[1]Pc, Summer, S3'!L3*Main!$B$5)+(_xlfn.IFNA(VLOOKUP($A3,'FL Ratio'!$A$3:$B$10,2,FALSE),0)*'FL Characterization'!L$2)</f>
        <v>56.939619474407301</v>
      </c>
      <c r="M3" s="2">
        <f>('[1]Pc, Summer, S3'!M3*Main!$B$5)+(_xlfn.IFNA(VLOOKUP($A3,'FL Ratio'!$A$3:$B$10,2,FALSE),0)*'FL Characterization'!M$2)</f>
        <v>60.723569335778087</v>
      </c>
      <c r="N3" s="2">
        <f>('[1]Pc, Summer, S3'!N3*Main!$B$5)+(_xlfn.IFNA(VLOOKUP($A3,'FL Ratio'!$A$3:$B$10,2,FALSE),0)*'FL Characterization'!N$2)</f>
        <v>60.923103659712254</v>
      </c>
      <c r="O3" s="2">
        <f>('[1]Pc, Summer, S3'!O3*Main!$B$5)+(_xlfn.IFNA(VLOOKUP($A3,'FL Ratio'!$A$3:$B$10,2,FALSE),0)*'FL Characterization'!O$2)</f>
        <v>61.374575261341064</v>
      </c>
      <c r="P3" s="2">
        <f>('[1]Pc, Summer, S3'!P3*Main!$B$5)+(_xlfn.IFNA(VLOOKUP($A3,'FL Ratio'!$A$3:$B$10,2,FALSE),0)*'FL Characterization'!P$2)</f>
        <v>58.410667492233173</v>
      </c>
      <c r="Q3" s="2">
        <f>('[1]Pc, Summer, S3'!Q3*Main!$B$5)+(_xlfn.IFNA(VLOOKUP($A3,'FL Ratio'!$A$3:$B$10,2,FALSE),0)*'FL Characterization'!Q$2)</f>
        <v>55.336294468136238</v>
      </c>
      <c r="R3" s="2">
        <f>('[1]Pc, Summer, S3'!R3*Main!$B$5)+(_xlfn.IFNA(VLOOKUP($A3,'FL Ratio'!$A$3:$B$10,2,FALSE),0)*'FL Characterization'!R$2)</f>
        <v>51.164702896959618</v>
      </c>
      <c r="S3" s="2">
        <f>('[1]Pc, Summer, S3'!S3*Main!$B$5)+(_xlfn.IFNA(VLOOKUP($A3,'FL Ratio'!$A$3:$B$10,2,FALSE),0)*'FL Characterization'!S$2)</f>
        <v>51.767336865205216</v>
      </c>
      <c r="T3" s="2">
        <f>('[1]Pc, Summer, S3'!T3*Main!$B$5)+(_xlfn.IFNA(VLOOKUP($A3,'FL Ratio'!$A$3:$B$10,2,FALSE),0)*'FL Characterization'!T$2)</f>
        <v>51.278242630107343</v>
      </c>
      <c r="U3" s="2">
        <f>('[1]Pc, Summer, S3'!U3*Main!$B$5)+(_xlfn.IFNA(VLOOKUP($A3,'FL Ratio'!$A$3:$B$10,2,FALSE),0)*'FL Characterization'!U$2)</f>
        <v>51.071989978767988</v>
      </c>
      <c r="V3" s="2">
        <f>('[1]Pc, Summer, S3'!V3*Main!$B$5)+(_xlfn.IFNA(VLOOKUP($A3,'FL Ratio'!$A$3:$B$10,2,FALSE),0)*'FL Characterization'!V$2)</f>
        <v>51.325270921943677</v>
      </c>
      <c r="W3" s="2">
        <f>('[1]Pc, Summer, S3'!W3*Main!$B$5)+(_xlfn.IFNA(VLOOKUP($A3,'FL Ratio'!$A$3:$B$10,2,FALSE),0)*'FL Characterization'!W$2)</f>
        <v>51.04198144969147</v>
      </c>
      <c r="X3" s="2">
        <f>('[1]Pc, Summer, S3'!X3*Main!$B$5)+(_xlfn.IFNA(VLOOKUP($A3,'FL Ratio'!$A$3:$B$10,2,FALSE),0)*'FL Characterization'!X$2)</f>
        <v>50.857908025985196</v>
      </c>
      <c r="Y3" s="2">
        <f>('[1]Pc, Summer, S3'!Y3*Main!$B$5)+(_xlfn.IFNA(VLOOKUP($A3,'FL Ratio'!$A$3:$B$10,2,FALSE),0)*'FL Characterization'!Y$2)</f>
        <v>48.150187894735609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56.938982536935683</v>
      </c>
      <c r="C4" s="2">
        <f>('[1]Pc, Summer, S3'!C4*Main!$B$5)+(_xlfn.IFNA(VLOOKUP($A4,'FL Ratio'!$A$3:$B$10,2,FALSE),0)*'FL Characterization'!C$2)</f>
        <v>50.544800832109587</v>
      </c>
      <c r="D4" s="2">
        <f>('[1]Pc, Summer, S3'!D4*Main!$B$5)+(_xlfn.IFNA(VLOOKUP($A4,'FL Ratio'!$A$3:$B$10,2,FALSE),0)*'FL Characterization'!D$2)</f>
        <v>47.652841061670252</v>
      </c>
      <c r="E4" s="2">
        <f>('[1]Pc, Summer, S3'!E4*Main!$B$5)+(_xlfn.IFNA(VLOOKUP($A4,'FL Ratio'!$A$3:$B$10,2,FALSE),0)*'FL Characterization'!E$2)</f>
        <v>46.089455745343379</v>
      </c>
      <c r="F4" s="2">
        <f>('[1]Pc, Summer, S3'!F4*Main!$B$5)+(_xlfn.IFNA(VLOOKUP($A4,'FL Ratio'!$A$3:$B$10,2,FALSE),0)*'FL Characterization'!F$2)</f>
        <v>48.277820799899011</v>
      </c>
      <c r="G4" s="2">
        <f>('[1]Pc, Summer, S3'!G4*Main!$B$5)+(_xlfn.IFNA(VLOOKUP($A4,'FL Ratio'!$A$3:$B$10,2,FALSE),0)*'FL Characterization'!G$2)</f>
        <v>44.086460702941103</v>
      </c>
      <c r="H4" s="2">
        <f>('[1]Pc, Summer, S3'!H4*Main!$B$5)+(_xlfn.IFNA(VLOOKUP($A4,'FL Ratio'!$A$3:$B$10,2,FALSE),0)*'FL Characterization'!H$2)</f>
        <v>51.789478831286743</v>
      </c>
      <c r="I4" s="2">
        <f>('[1]Pc, Summer, S3'!I4*Main!$B$5)+(_xlfn.IFNA(VLOOKUP($A4,'FL Ratio'!$A$3:$B$10,2,FALSE),0)*'FL Characterization'!I$2)</f>
        <v>58.084918566460274</v>
      </c>
      <c r="J4" s="2">
        <f>('[1]Pc, Summer, S3'!J4*Main!$B$5)+(_xlfn.IFNA(VLOOKUP($A4,'FL Ratio'!$A$3:$B$10,2,FALSE),0)*'FL Characterization'!J$2)</f>
        <v>65.348460674195863</v>
      </c>
      <c r="K4" s="2">
        <f>('[1]Pc, Summer, S3'!K4*Main!$B$5)+(_xlfn.IFNA(VLOOKUP($A4,'FL Ratio'!$A$3:$B$10,2,FALSE),0)*'FL Characterization'!K$2)</f>
        <v>70.256870669466508</v>
      </c>
      <c r="L4" s="2">
        <f>('[1]Pc, Summer, S3'!L4*Main!$B$5)+(_xlfn.IFNA(VLOOKUP($A4,'FL Ratio'!$A$3:$B$10,2,FALSE),0)*'FL Characterization'!L$2)</f>
        <v>72.30272603011737</v>
      </c>
      <c r="M4" s="2">
        <f>('[1]Pc, Summer, S3'!M4*Main!$B$5)+(_xlfn.IFNA(VLOOKUP($A4,'FL Ratio'!$A$3:$B$10,2,FALSE),0)*'FL Characterization'!M$2)</f>
        <v>73.509945813535623</v>
      </c>
      <c r="N4" s="2">
        <f>('[1]Pc, Summer, S3'!N4*Main!$B$5)+(_xlfn.IFNA(VLOOKUP($A4,'FL Ratio'!$A$3:$B$10,2,FALSE),0)*'FL Characterization'!N$2)</f>
        <v>75.146255382723538</v>
      </c>
      <c r="O4" s="2">
        <f>('[1]Pc, Summer, S3'!O4*Main!$B$5)+(_xlfn.IFNA(VLOOKUP($A4,'FL Ratio'!$A$3:$B$10,2,FALSE),0)*'FL Characterization'!O$2)</f>
        <v>76.208813159255683</v>
      </c>
      <c r="P4" s="2">
        <f>('[1]Pc, Summer, S3'!P4*Main!$B$5)+(_xlfn.IFNA(VLOOKUP($A4,'FL Ratio'!$A$3:$B$10,2,FALSE),0)*'FL Characterization'!P$2)</f>
        <v>76.537440083414992</v>
      </c>
      <c r="Q4" s="2">
        <f>('[1]Pc, Summer, S3'!Q4*Main!$B$5)+(_xlfn.IFNA(VLOOKUP($A4,'FL Ratio'!$A$3:$B$10,2,FALSE),0)*'FL Characterization'!Q$2)</f>
        <v>73.674285497169151</v>
      </c>
      <c r="R4" s="2">
        <f>('[1]Pc, Summer, S3'!R4*Main!$B$5)+(_xlfn.IFNA(VLOOKUP($A4,'FL Ratio'!$A$3:$B$10,2,FALSE),0)*'FL Characterization'!R$2)</f>
        <v>73.255811691794221</v>
      </c>
      <c r="S4" s="2">
        <f>('[1]Pc, Summer, S3'!S4*Main!$B$5)+(_xlfn.IFNA(VLOOKUP($A4,'FL Ratio'!$A$3:$B$10,2,FALSE),0)*'FL Characterization'!S$2)</f>
        <v>71.02505514572762</v>
      </c>
      <c r="T4" s="2">
        <f>('[1]Pc, Summer, S3'!T4*Main!$B$5)+(_xlfn.IFNA(VLOOKUP($A4,'FL Ratio'!$A$3:$B$10,2,FALSE),0)*'FL Characterization'!T$2)</f>
        <v>70.903435408940126</v>
      </c>
      <c r="U4" s="2">
        <f>('[1]Pc, Summer, S3'!U4*Main!$B$5)+(_xlfn.IFNA(VLOOKUP($A4,'FL Ratio'!$A$3:$B$10,2,FALSE),0)*'FL Characterization'!U$2)</f>
        <v>71.274419432609477</v>
      </c>
      <c r="V4" s="2">
        <f>('[1]Pc, Summer, S3'!V4*Main!$B$5)+(_xlfn.IFNA(VLOOKUP($A4,'FL Ratio'!$A$3:$B$10,2,FALSE),0)*'FL Characterization'!V$2)</f>
        <v>70.94582475316615</v>
      </c>
      <c r="W4" s="2">
        <f>('[1]Pc, Summer, S3'!W4*Main!$B$5)+(_xlfn.IFNA(VLOOKUP($A4,'FL Ratio'!$A$3:$B$10,2,FALSE),0)*'FL Characterization'!W$2)</f>
        <v>73.179214914495716</v>
      </c>
      <c r="X4" s="2">
        <f>('[1]Pc, Summer, S3'!X4*Main!$B$5)+(_xlfn.IFNA(VLOOKUP($A4,'FL Ratio'!$A$3:$B$10,2,FALSE),0)*'FL Characterization'!X$2)</f>
        <v>73.141555447778643</v>
      </c>
      <c r="Y4" s="2">
        <f>('[1]Pc, Summer, S3'!Y4*Main!$B$5)+(_xlfn.IFNA(VLOOKUP($A4,'FL Ratio'!$A$3:$B$10,2,FALSE),0)*'FL Characterization'!Y$2)</f>
        <v>66.021296018502795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53056-E6B3-4F0E-8018-F15414CCE61A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-12.891504769308554</v>
      </c>
      <c r="C2" s="2">
        <f>('[1]Qc, Summer, S1'!C2*Main!$B$5)</f>
        <v>-16.760539152726484</v>
      </c>
      <c r="D2" s="2">
        <f>('[1]Qc, Summer, S1'!D2*Main!$B$5)</f>
        <v>-18.473348684294965</v>
      </c>
      <c r="E2" s="2">
        <f>('[1]Qc, Summer, S1'!E2*Main!$B$5)</f>
        <v>-16.85789850583161</v>
      </c>
      <c r="F2" s="2">
        <f>('[1]Qc, Summer, S1'!F2*Main!$B$5)</f>
        <v>-18.069399125667111</v>
      </c>
      <c r="G2" s="2">
        <f>('[1]Qc, Summer, S1'!G2*Main!$B$5)</f>
        <v>-18.485879105211698</v>
      </c>
      <c r="H2" s="2">
        <f>('[1]Qc, Summer, S1'!H2*Main!$B$5)</f>
        <v>-16.021531833051672</v>
      </c>
      <c r="I2" s="2">
        <f>('[1]Qc, Summer, S1'!I2*Main!$B$5)</f>
        <v>-2.4925904013481865</v>
      </c>
      <c r="J2" s="2">
        <f>('[1]Qc, Summer, S1'!J2*Main!$B$5)</f>
        <v>8.0010317743342139</v>
      </c>
      <c r="K2" s="2">
        <f>('[1]Qc, Summer, S1'!K2*Main!$B$5)</f>
        <v>11.647947045792131</v>
      </c>
      <c r="L2" s="2">
        <f>('[1]Qc, Summer, S1'!L2*Main!$B$5)</f>
        <v>9.1563277297305827</v>
      </c>
      <c r="M2" s="2">
        <f>('[1]Qc, Summer, S1'!M2*Main!$B$5)</f>
        <v>12.196479939842767</v>
      </c>
      <c r="N2" s="2">
        <f>('[1]Qc, Summer, S1'!N2*Main!$B$5)</f>
        <v>10.823398702915341</v>
      </c>
      <c r="O2" s="2">
        <f>('[1]Qc, Summer, S1'!O2*Main!$B$5)</f>
        <v>11.149278093135559</v>
      </c>
      <c r="P2" s="2">
        <f>('[1]Qc, Summer, S1'!P2*Main!$B$5)</f>
        <v>5.7526183300936511</v>
      </c>
      <c r="Q2" s="2">
        <f>('[1]Qc, Summer, S1'!Q2*Main!$B$5)</f>
        <v>1.454331549435216</v>
      </c>
      <c r="R2" s="2">
        <f>('[1]Qc, Summer, S1'!R2*Main!$B$5)</f>
        <v>3.235308203908251</v>
      </c>
      <c r="S2" s="2">
        <f>('[1]Qc, Summer, S1'!S2*Main!$B$5)</f>
        <v>3.929780858857109</v>
      </c>
      <c r="T2" s="2">
        <f>('[1]Qc, Summer, S1'!T2*Main!$B$5)</f>
        <v>2.367544974250464</v>
      </c>
      <c r="U2" s="2">
        <f>('[1]Qc, Summer, S1'!U2*Main!$B$5)</f>
        <v>-0.44165715129242855</v>
      </c>
      <c r="V2" s="2">
        <f>('[1]Qc, Summer, S1'!V2*Main!$B$5)</f>
        <v>-1.7241585736102172</v>
      </c>
      <c r="W2" s="2">
        <f>('[1]Qc, Summer, S1'!W2*Main!$B$5)</f>
        <v>-1.1995417900485388</v>
      </c>
      <c r="X2" s="2">
        <f>('[1]Qc, Summer, S1'!X2*Main!$B$5)</f>
        <v>-5.7526937047481272</v>
      </c>
      <c r="Y2" s="2">
        <f>('[1]Qc, Summer, S1'!Y2*Main!$B$5)</f>
        <v>-7.7867393186414047</v>
      </c>
    </row>
    <row r="3" spans="1:25" x14ac:dyDescent="0.3">
      <c r="A3">
        <v>2</v>
      </c>
      <c r="B3" s="2">
        <f>('[1]Qc, Summer, S1'!B3*Main!$B$5)</f>
        <v>-16.315267231802263</v>
      </c>
      <c r="C3" s="2">
        <f>('[1]Qc, Summer, S1'!C3*Main!$B$5)</f>
        <v>-16.315267231802263</v>
      </c>
      <c r="D3" s="2">
        <f>('[1]Qc, Summer, S1'!D3*Main!$B$5)</f>
        <v>-18.941063093941285</v>
      </c>
      <c r="E3" s="2">
        <f>('[1]Qc, Summer, S1'!E3*Main!$B$5)</f>
        <v>-21.566858956080317</v>
      </c>
      <c r="F3" s="2">
        <f>('[1]Qc, Summer, S1'!F3*Main!$B$5)</f>
        <v>-21.566858956080317</v>
      </c>
      <c r="G3" s="2">
        <f>('[1]Qc, Summer, S1'!G3*Main!$B$5)</f>
        <v>-21.566858956080317</v>
      </c>
      <c r="H3" s="2">
        <f>('[1]Qc, Summer, S1'!H3*Main!$B$5)</f>
        <v>-8.5994729633971563</v>
      </c>
      <c r="I3" s="2">
        <f>('[1]Qc, Summer, S1'!I3*Main!$B$5)</f>
        <v>1.7825198267731885</v>
      </c>
      <c r="J3" s="2">
        <f>('[1]Qc, Summer, S1'!J3*Main!$B$5)</f>
        <v>5.6606247959247096</v>
      </c>
      <c r="K3" s="2">
        <f>('[1]Qc, Summer, S1'!K3*Main!$B$5)</f>
        <v>5.6606247959247096</v>
      </c>
      <c r="L3" s="2">
        <f>('[1]Qc, Summer, S1'!L3*Main!$B$5)</f>
        <v>5.1758535419393636</v>
      </c>
      <c r="M3" s="2">
        <f>('[1]Qc, Summer, S1'!M3*Main!$B$5)</f>
        <v>7.2764798006879738</v>
      </c>
      <c r="N3" s="2">
        <f>('[1]Qc, Summer, S1'!N3*Main!$B$5)</f>
        <v>9.8618773134219317</v>
      </c>
      <c r="O3" s="2">
        <f>('[1]Qc, Summer, S1'!O3*Main!$B$5)</f>
        <v>10.164864797488582</v>
      </c>
      <c r="P3" s="2">
        <f>('[1]Qc, Summer, S1'!P3*Main!$B$5)</f>
        <v>5.7010187896181792</v>
      </c>
      <c r="Q3" s="2">
        <f>('[1]Qc, Summer, S1'!Q3*Main!$B$5)</f>
        <v>4.4487096598604561</v>
      </c>
      <c r="R3" s="2">
        <f>('[1]Qc, Summer, S1'!R3*Main!$B$5)</f>
        <v>-0.72208541109791802</v>
      </c>
      <c r="S3" s="2">
        <f>('[1]Qc, Summer, S1'!S3*Main!$B$5)</f>
        <v>-0.72208541109791802</v>
      </c>
      <c r="T3" s="2">
        <f>('[1]Qc, Summer, S1'!T3*Main!$B$5)</f>
        <v>-0.72208541109791802</v>
      </c>
      <c r="U3" s="2">
        <f>('[1]Qc, Summer, S1'!U3*Main!$B$5)</f>
        <v>-0.72208541109791802</v>
      </c>
      <c r="V3" s="2">
        <f>('[1]Qc, Summer, S1'!V3*Main!$B$5)</f>
        <v>-4.6001947132158101</v>
      </c>
      <c r="W3" s="2">
        <f>('[1]Qc, Summer, S1'!W3*Main!$B$5)</f>
        <v>-5.8928978139217723</v>
      </c>
      <c r="X3" s="2">
        <f>('[1]Qc, Summer, S1'!X3*Main!$B$5)</f>
        <v>-16.476843206576142</v>
      </c>
      <c r="Y3" s="2">
        <f>('[1]Qc, Summer, S1'!Y3*Main!$B$5)</f>
        <v>-16.476843206576142</v>
      </c>
    </row>
    <row r="4" spans="1:25" x14ac:dyDescent="0.3">
      <c r="A4">
        <v>3</v>
      </c>
      <c r="B4" s="2">
        <f>('[1]Qc, Summer, S1'!B4*Main!$B$5)</f>
        <v>13.170113053169299</v>
      </c>
      <c r="C4" s="2">
        <f>('[1]Qc, Summer, S1'!C4*Main!$B$5)</f>
        <v>10.090858659940288</v>
      </c>
      <c r="D4" s="2">
        <f>('[1]Qc, Summer, S1'!D4*Main!$B$5)</f>
        <v>9.5626000721305253</v>
      </c>
      <c r="E4" s="2">
        <f>('[1]Qc, Summer, S1'!E4*Main!$B$5)</f>
        <v>8.3517254728754047</v>
      </c>
      <c r="F4" s="2">
        <f>('[1]Qc, Summer, S1'!F4*Main!$B$5)</f>
        <v>9.6144889556637239</v>
      </c>
      <c r="G4" s="2">
        <f>('[1]Qc, Summer, S1'!G4*Main!$B$5)</f>
        <v>4.4622333407693162</v>
      </c>
      <c r="H4" s="2">
        <f>('[1]Qc, Summer, S1'!H4*Main!$B$5)</f>
        <v>7.7855550522803112</v>
      </c>
      <c r="I4" s="2">
        <f>('[1]Qc, Summer, S1'!I4*Main!$B$5)</f>
        <v>14.960863914918351</v>
      </c>
      <c r="J4" s="2">
        <f>('[1]Qc, Summer, S1'!J4*Main!$B$5)</f>
        <v>21.763489941608597</v>
      </c>
      <c r="K4" s="2">
        <f>('[1]Qc, Summer, S1'!K4*Main!$B$5)</f>
        <v>25.861079247184154</v>
      </c>
      <c r="L4" s="2">
        <f>('[1]Qc, Summer, S1'!L4*Main!$B$5)</f>
        <v>28.232338208205526</v>
      </c>
      <c r="M4" s="2">
        <f>('[1]Qc, Summer, S1'!M4*Main!$B$5)</f>
        <v>29.263069781726205</v>
      </c>
      <c r="N4" s="2">
        <f>('[1]Qc, Summer, S1'!N4*Main!$B$5)</f>
        <v>30.578444058963058</v>
      </c>
      <c r="O4" s="2">
        <f>('[1]Qc, Summer, S1'!O4*Main!$B$5)</f>
        <v>30.809798508686164</v>
      </c>
      <c r="P4" s="2">
        <f>('[1]Qc, Summer, S1'!P4*Main!$B$5)</f>
        <v>30.591111181451026</v>
      </c>
      <c r="Q4" s="2">
        <f>('[1]Qc, Summer, S1'!Q4*Main!$B$5)</f>
        <v>29.57277687021525</v>
      </c>
      <c r="R4" s="2">
        <f>('[1]Qc, Summer, S1'!R4*Main!$B$5)</f>
        <v>28.143214928311895</v>
      </c>
      <c r="S4" s="2">
        <f>('[1]Qc, Summer, S1'!S4*Main!$B$5)</f>
        <v>24.973934402225538</v>
      </c>
      <c r="T4" s="2">
        <f>('[1]Qc, Summer, S1'!T4*Main!$B$5)</f>
        <v>24.858391849296151</v>
      </c>
      <c r="U4" s="2">
        <f>('[1]Qc, Summer, S1'!U4*Main!$B$5)</f>
        <v>23.647834428450889</v>
      </c>
      <c r="V4" s="2">
        <f>('[1]Qc, Summer, S1'!V4*Main!$B$5)</f>
        <v>21.31611274227015</v>
      </c>
      <c r="W4" s="2">
        <f>('[1]Qc, Summer, S1'!W4*Main!$B$5)</f>
        <v>25.553856341431459</v>
      </c>
      <c r="X4" s="2">
        <f>('[1]Qc, Summer, S1'!X4*Main!$B$5)</f>
        <v>22.897185416745586</v>
      </c>
      <c r="Y4" s="2">
        <f>('[1]Qc, Summer, S1'!Y4*Main!$B$5)</f>
        <v>18.426732972817376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50F2B-C4B7-4CA6-9F6F-9625BF8A2D24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-12.891504769308554</v>
      </c>
      <c r="C2" s="2">
        <f>('[1]Qc, Summer, S1'!C2*Main!$B$5)</f>
        <v>-16.760539152726484</v>
      </c>
      <c r="D2" s="2">
        <f>('[1]Qc, Summer, S1'!D2*Main!$B$5)</f>
        <v>-18.473348684294965</v>
      </c>
      <c r="E2" s="2">
        <f>('[1]Qc, Summer, S1'!E2*Main!$B$5)</f>
        <v>-16.85789850583161</v>
      </c>
      <c r="F2" s="2">
        <f>('[1]Qc, Summer, S1'!F2*Main!$B$5)</f>
        <v>-18.069399125667111</v>
      </c>
      <c r="G2" s="2">
        <f>('[1]Qc, Summer, S1'!G2*Main!$B$5)</f>
        <v>-18.485879105211698</v>
      </c>
      <c r="H2" s="2">
        <f>('[1]Qc, Summer, S1'!H2*Main!$B$5)</f>
        <v>-16.021531833051672</v>
      </c>
      <c r="I2" s="2">
        <f>('[1]Qc, Summer, S1'!I2*Main!$B$5)</f>
        <v>-2.4925904013481865</v>
      </c>
      <c r="J2" s="2">
        <f>('[1]Qc, Summer, S1'!J2*Main!$B$5)</f>
        <v>8.0010317743342139</v>
      </c>
      <c r="K2" s="2">
        <f>('[1]Qc, Summer, S1'!K2*Main!$B$5)</f>
        <v>11.647947045792131</v>
      </c>
      <c r="L2" s="2">
        <f>('[1]Qc, Summer, S1'!L2*Main!$B$5)</f>
        <v>9.1563277297305827</v>
      </c>
      <c r="M2" s="2">
        <f>('[1]Qc, Summer, S1'!M2*Main!$B$5)</f>
        <v>12.196479939842767</v>
      </c>
      <c r="N2" s="2">
        <f>('[1]Qc, Summer, S1'!N2*Main!$B$5)</f>
        <v>10.823398702915341</v>
      </c>
      <c r="O2" s="2">
        <f>('[1]Qc, Summer, S1'!O2*Main!$B$5)</f>
        <v>11.149278093135559</v>
      </c>
      <c r="P2" s="2">
        <f>('[1]Qc, Summer, S1'!P2*Main!$B$5)</f>
        <v>5.7526183300936511</v>
      </c>
      <c r="Q2" s="2">
        <f>('[1]Qc, Summer, S1'!Q2*Main!$B$5)</f>
        <v>1.454331549435216</v>
      </c>
      <c r="R2" s="2">
        <f>('[1]Qc, Summer, S1'!R2*Main!$B$5)</f>
        <v>3.235308203908251</v>
      </c>
      <c r="S2" s="2">
        <f>('[1]Qc, Summer, S1'!S2*Main!$B$5)</f>
        <v>3.929780858857109</v>
      </c>
      <c r="T2" s="2">
        <f>('[1]Qc, Summer, S1'!T2*Main!$B$5)</f>
        <v>2.367544974250464</v>
      </c>
      <c r="U2" s="2">
        <f>('[1]Qc, Summer, S1'!U2*Main!$B$5)</f>
        <v>-0.44165715129242855</v>
      </c>
      <c r="V2" s="2">
        <f>('[1]Qc, Summer, S1'!V2*Main!$B$5)</f>
        <v>-1.7241585736102172</v>
      </c>
      <c r="W2" s="2">
        <f>('[1]Qc, Summer, S1'!W2*Main!$B$5)</f>
        <v>-1.1995417900485388</v>
      </c>
      <c r="X2" s="2">
        <f>('[1]Qc, Summer, S1'!X2*Main!$B$5)</f>
        <v>-5.7526937047481272</v>
      </c>
      <c r="Y2" s="2">
        <f>('[1]Qc, Summer, S1'!Y2*Main!$B$5)</f>
        <v>-7.7867393186414047</v>
      </c>
    </row>
    <row r="3" spans="1:25" x14ac:dyDescent="0.3">
      <c r="A3">
        <v>2</v>
      </c>
      <c r="B3" s="2">
        <f>('[1]Qc, Summer, S1'!B3*Main!$B$5)</f>
        <v>-16.315267231802263</v>
      </c>
      <c r="C3" s="2">
        <f>('[1]Qc, Summer, S1'!C3*Main!$B$5)</f>
        <v>-16.315267231802263</v>
      </c>
      <c r="D3" s="2">
        <f>('[1]Qc, Summer, S1'!D3*Main!$B$5)</f>
        <v>-18.941063093941285</v>
      </c>
      <c r="E3" s="2">
        <f>('[1]Qc, Summer, S1'!E3*Main!$B$5)</f>
        <v>-21.566858956080317</v>
      </c>
      <c r="F3" s="2">
        <f>('[1]Qc, Summer, S1'!F3*Main!$B$5)</f>
        <v>-21.566858956080317</v>
      </c>
      <c r="G3" s="2">
        <f>('[1]Qc, Summer, S1'!G3*Main!$B$5)</f>
        <v>-21.566858956080317</v>
      </c>
      <c r="H3" s="2">
        <f>('[1]Qc, Summer, S1'!H3*Main!$B$5)</f>
        <v>-8.5994729633971563</v>
      </c>
      <c r="I3" s="2">
        <f>('[1]Qc, Summer, S1'!I3*Main!$B$5)</f>
        <v>1.7825198267731885</v>
      </c>
      <c r="J3" s="2">
        <f>('[1]Qc, Summer, S1'!J3*Main!$B$5)</f>
        <v>5.6606247959247096</v>
      </c>
      <c r="K3" s="2">
        <f>('[1]Qc, Summer, S1'!K3*Main!$B$5)</f>
        <v>5.6606247959247096</v>
      </c>
      <c r="L3" s="2">
        <f>('[1]Qc, Summer, S1'!L3*Main!$B$5)</f>
        <v>5.1758535419393636</v>
      </c>
      <c r="M3" s="2">
        <f>('[1]Qc, Summer, S1'!M3*Main!$B$5)</f>
        <v>7.2764798006879738</v>
      </c>
      <c r="N3" s="2">
        <f>('[1]Qc, Summer, S1'!N3*Main!$B$5)</f>
        <v>9.8618773134219317</v>
      </c>
      <c r="O3" s="2">
        <f>('[1]Qc, Summer, S1'!O3*Main!$B$5)</f>
        <v>10.164864797488582</v>
      </c>
      <c r="P3" s="2">
        <f>('[1]Qc, Summer, S1'!P3*Main!$B$5)</f>
        <v>5.7010187896181792</v>
      </c>
      <c r="Q3" s="2">
        <f>('[1]Qc, Summer, S1'!Q3*Main!$B$5)</f>
        <v>4.4487096598604561</v>
      </c>
      <c r="R3" s="2">
        <f>('[1]Qc, Summer, S1'!R3*Main!$B$5)</f>
        <v>-0.72208541109791802</v>
      </c>
      <c r="S3" s="2">
        <f>('[1]Qc, Summer, S1'!S3*Main!$B$5)</f>
        <v>-0.72208541109791802</v>
      </c>
      <c r="T3" s="2">
        <f>('[1]Qc, Summer, S1'!T3*Main!$B$5)</f>
        <v>-0.72208541109791802</v>
      </c>
      <c r="U3" s="2">
        <f>('[1]Qc, Summer, S1'!U3*Main!$B$5)</f>
        <v>-0.72208541109791802</v>
      </c>
      <c r="V3" s="2">
        <f>('[1]Qc, Summer, S1'!V3*Main!$B$5)</f>
        <v>-4.6001947132158101</v>
      </c>
      <c r="W3" s="2">
        <f>('[1]Qc, Summer, S1'!W3*Main!$B$5)</f>
        <v>-5.8928978139217723</v>
      </c>
      <c r="X3" s="2">
        <f>('[1]Qc, Summer, S1'!X3*Main!$B$5)</f>
        <v>-16.476843206576142</v>
      </c>
      <c r="Y3" s="2">
        <f>('[1]Qc, Summer, S1'!Y3*Main!$B$5)</f>
        <v>-16.476843206576142</v>
      </c>
    </row>
    <row r="4" spans="1:25" x14ac:dyDescent="0.3">
      <c r="A4">
        <v>3</v>
      </c>
      <c r="B4" s="2">
        <f>('[1]Qc, Summer, S1'!B4*Main!$B$5)</f>
        <v>13.170113053169299</v>
      </c>
      <c r="C4" s="2">
        <f>('[1]Qc, Summer, S1'!C4*Main!$B$5)</f>
        <v>10.090858659940288</v>
      </c>
      <c r="D4" s="2">
        <f>('[1]Qc, Summer, S1'!D4*Main!$B$5)</f>
        <v>9.5626000721305253</v>
      </c>
      <c r="E4" s="2">
        <f>('[1]Qc, Summer, S1'!E4*Main!$B$5)</f>
        <v>8.3517254728754047</v>
      </c>
      <c r="F4" s="2">
        <f>('[1]Qc, Summer, S1'!F4*Main!$B$5)</f>
        <v>9.6144889556637239</v>
      </c>
      <c r="G4" s="2">
        <f>('[1]Qc, Summer, S1'!G4*Main!$B$5)</f>
        <v>4.4622333407693162</v>
      </c>
      <c r="H4" s="2">
        <f>('[1]Qc, Summer, S1'!H4*Main!$B$5)</f>
        <v>7.7855550522803112</v>
      </c>
      <c r="I4" s="2">
        <f>('[1]Qc, Summer, S1'!I4*Main!$B$5)</f>
        <v>14.960863914918351</v>
      </c>
      <c r="J4" s="2">
        <f>('[1]Qc, Summer, S1'!J4*Main!$B$5)</f>
        <v>21.763489941608597</v>
      </c>
      <c r="K4" s="2">
        <f>('[1]Qc, Summer, S1'!K4*Main!$B$5)</f>
        <v>25.861079247184154</v>
      </c>
      <c r="L4" s="2">
        <f>('[1]Qc, Summer, S1'!L4*Main!$B$5)</f>
        <v>28.232338208205526</v>
      </c>
      <c r="M4" s="2">
        <f>('[1]Qc, Summer, S1'!M4*Main!$B$5)</f>
        <v>29.263069781726205</v>
      </c>
      <c r="N4" s="2">
        <f>('[1]Qc, Summer, S1'!N4*Main!$B$5)</f>
        <v>30.578444058963058</v>
      </c>
      <c r="O4" s="2">
        <f>('[1]Qc, Summer, S1'!O4*Main!$B$5)</f>
        <v>30.809798508686164</v>
      </c>
      <c r="P4" s="2">
        <f>('[1]Qc, Summer, S1'!P4*Main!$B$5)</f>
        <v>30.591111181451026</v>
      </c>
      <c r="Q4" s="2">
        <f>('[1]Qc, Summer, S1'!Q4*Main!$B$5)</f>
        <v>29.57277687021525</v>
      </c>
      <c r="R4" s="2">
        <f>('[1]Qc, Summer, S1'!R4*Main!$B$5)</f>
        <v>28.143214928311895</v>
      </c>
      <c r="S4" s="2">
        <f>('[1]Qc, Summer, S1'!S4*Main!$B$5)</f>
        <v>24.973934402225538</v>
      </c>
      <c r="T4" s="2">
        <f>('[1]Qc, Summer, S1'!T4*Main!$B$5)</f>
        <v>24.858391849296151</v>
      </c>
      <c r="U4" s="2">
        <f>('[1]Qc, Summer, S1'!U4*Main!$B$5)</f>
        <v>23.647834428450889</v>
      </c>
      <c r="V4" s="2">
        <f>('[1]Qc, Summer, S1'!V4*Main!$B$5)</f>
        <v>21.31611274227015</v>
      </c>
      <c r="W4" s="2">
        <f>('[1]Qc, Summer, S1'!W4*Main!$B$5)</f>
        <v>25.553856341431459</v>
      </c>
      <c r="X4" s="2">
        <f>('[1]Qc, Summer, S1'!X4*Main!$B$5)</f>
        <v>22.897185416745586</v>
      </c>
      <c r="Y4" s="2">
        <f>('[1]Qc, Summer, S1'!Y4*Main!$B$5)</f>
        <v>18.426732972817376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8A2B2-F3C9-45A7-B421-2FBE8BE2B44A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-12.891504769308554</v>
      </c>
      <c r="C2" s="2">
        <f>('[1]Qc, Summer, S1'!C2*Main!$B$5)</f>
        <v>-16.760539152726484</v>
      </c>
      <c r="D2" s="2">
        <f>('[1]Qc, Summer, S1'!D2*Main!$B$5)</f>
        <v>-18.473348684294965</v>
      </c>
      <c r="E2" s="2">
        <f>('[1]Qc, Summer, S1'!E2*Main!$B$5)</f>
        <v>-16.85789850583161</v>
      </c>
      <c r="F2" s="2">
        <f>('[1]Qc, Summer, S1'!F2*Main!$B$5)</f>
        <v>-18.069399125667111</v>
      </c>
      <c r="G2" s="2">
        <f>('[1]Qc, Summer, S1'!G2*Main!$B$5)</f>
        <v>-18.485879105211698</v>
      </c>
      <c r="H2" s="2">
        <f>('[1]Qc, Summer, S1'!H2*Main!$B$5)</f>
        <v>-16.021531833051672</v>
      </c>
      <c r="I2" s="2">
        <f>('[1]Qc, Summer, S1'!I2*Main!$B$5)</f>
        <v>-2.4925904013481865</v>
      </c>
      <c r="J2" s="2">
        <f>('[1]Qc, Summer, S1'!J2*Main!$B$5)</f>
        <v>8.0010317743342139</v>
      </c>
      <c r="K2" s="2">
        <f>('[1]Qc, Summer, S1'!K2*Main!$B$5)</f>
        <v>11.647947045792131</v>
      </c>
      <c r="L2" s="2">
        <f>('[1]Qc, Summer, S1'!L2*Main!$B$5)</f>
        <v>9.1563277297305827</v>
      </c>
      <c r="M2" s="2">
        <f>('[1]Qc, Summer, S1'!M2*Main!$B$5)</f>
        <v>12.196479939842767</v>
      </c>
      <c r="N2" s="2">
        <f>('[1]Qc, Summer, S1'!N2*Main!$B$5)</f>
        <v>10.823398702915341</v>
      </c>
      <c r="O2" s="2">
        <f>('[1]Qc, Summer, S1'!O2*Main!$B$5)</f>
        <v>11.149278093135559</v>
      </c>
      <c r="P2" s="2">
        <f>('[1]Qc, Summer, S1'!P2*Main!$B$5)</f>
        <v>5.7526183300936511</v>
      </c>
      <c r="Q2" s="2">
        <f>('[1]Qc, Summer, S1'!Q2*Main!$B$5)</f>
        <v>1.454331549435216</v>
      </c>
      <c r="R2" s="2">
        <f>('[1]Qc, Summer, S1'!R2*Main!$B$5)</f>
        <v>3.235308203908251</v>
      </c>
      <c r="S2" s="2">
        <f>('[1]Qc, Summer, S1'!S2*Main!$B$5)</f>
        <v>3.929780858857109</v>
      </c>
      <c r="T2" s="2">
        <f>('[1]Qc, Summer, S1'!T2*Main!$B$5)</f>
        <v>2.367544974250464</v>
      </c>
      <c r="U2" s="2">
        <f>('[1]Qc, Summer, S1'!U2*Main!$B$5)</f>
        <v>-0.44165715129242855</v>
      </c>
      <c r="V2" s="2">
        <f>('[1]Qc, Summer, S1'!V2*Main!$B$5)</f>
        <v>-1.7241585736102172</v>
      </c>
      <c r="W2" s="2">
        <f>('[1]Qc, Summer, S1'!W2*Main!$B$5)</f>
        <v>-1.1995417900485388</v>
      </c>
      <c r="X2" s="2">
        <f>('[1]Qc, Summer, S1'!X2*Main!$B$5)</f>
        <v>-5.7526937047481272</v>
      </c>
      <c r="Y2" s="2">
        <f>('[1]Qc, Summer, S1'!Y2*Main!$B$5)</f>
        <v>-7.7867393186414047</v>
      </c>
    </row>
    <row r="3" spans="1:25" x14ac:dyDescent="0.3">
      <c r="A3">
        <v>2</v>
      </c>
      <c r="B3" s="2">
        <f>('[1]Qc, Summer, S1'!B3*Main!$B$5)</f>
        <v>-16.315267231802263</v>
      </c>
      <c r="C3" s="2">
        <f>('[1]Qc, Summer, S1'!C3*Main!$B$5)</f>
        <v>-16.315267231802263</v>
      </c>
      <c r="D3" s="2">
        <f>('[1]Qc, Summer, S1'!D3*Main!$B$5)</f>
        <v>-18.941063093941285</v>
      </c>
      <c r="E3" s="2">
        <f>('[1]Qc, Summer, S1'!E3*Main!$B$5)</f>
        <v>-21.566858956080317</v>
      </c>
      <c r="F3" s="2">
        <f>('[1]Qc, Summer, S1'!F3*Main!$B$5)</f>
        <v>-21.566858956080317</v>
      </c>
      <c r="G3" s="2">
        <f>('[1]Qc, Summer, S1'!G3*Main!$B$5)</f>
        <v>-21.566858956080317</v>
      </c>
      <c r="H3" s="2">
        <f>('[1]Qc, Summer, S1'!H3*Main!$B$5)</f>
        <v>-8.5994729633971563</v>
      </c>
      <c r="I3" s="2">
        <f>('[1]Qc, Summer, S1'!I3*Main!$B$5)</f>
        <v>1.7825198267731885</v>
      </c>
      <c r="J3" s="2">
        <f>('[1]Qc, Summer, S1'!J3*Main!$B$5)</f>
        <v>5.6606247959247096</v>
      </c>
      <c r="K3" s="2">
        <f>('[1]Qc, Summer, S1'!K3*Main!$B$5)</f>
        <v>5.6606247959247096</v>
      </c>
      <c r="L3" s="2">
        <f>('[1]Qc, Summer, S1'!L3*Main!$B$5)</f>
        <v>5.1758535419393636</v>
      </c>
      <c r="M3" s="2">
        <f>('[1]Qc, Summer, S1'!M3*Main!$B$5)</f>
        <v>7.2764798006879738</v>
      </c>
      <c r="N3" s="2">
        <f>('[1]Qc, Summer, S1'!N3*Main!$B$5)</f>
        <v>9.8618773134219317</v>
      </c>
      <c r="O3" s="2">
        <f>('[1]Qc, Summer, S1'!O3*Main!$B$5)</f>
        <v>10.164864797488582</v>
      </c>
      <c r="P3" s="2">
        <f>('[1]Qc, Summer, S1'!P3*Main!$B$5)</f>
        <v>5.7010187896181792</v>
      </c>
      <c r="Q3" s="2">
        <f>('[1]Qc, Summer, S1'!Q3*Main!$B$5)</f>
        <v>4.4487096598604561</v>
      </c>
      <c r="R3" s="2">
        <f>('[1]Qc, Summer, S1'!R3*Main!$B$5)</f>
        <v>-0.72208541109791802</v>
      </c>
      <c r="S3" s="2">
        <f>('[1]Qc, Summer, S1'!S3*Main!$B$5)</f>
        <v>-0.72208541109791802</v>
      </c>
      <c r="T3" s="2">
        <f>('[1]Qc, Summer, S1'!T3*Main!$B$5)</f>
        <v>-0.72208541109791802</v>
      </c>
      <c r="U3" s="2">
        <f>('[1]Qc, Summer, S1'!U3*Main!$B$5)</f>
        <v>-0.72208541109791802</v>
      </c>
      <c r="V3" s="2">
        <f>('[1]Qc, Summer, S1'!V3*Main!$B$5)</f>
        <v>-4.6001947132158101</v>
      </c>
      <c r="W3" s="2">
        <f>('[1]Qc, Summer, S1'!W3*Main!$B$5)</f>
        <v>-5.8928978139217723</v>
      </c>
      <c r="X3" s="2">
        <f>('[1]Qc, Summer, S1'!X3*Main!$B$5)</f>
        <v>-16.476843206576142</v>
      </c>
      <c r="Y3" s="2">
        <f>('[1]Qc, Summer, S1'!Y3*Main!$B$5)</f>
        <v>-16.476843206576142</v>
      </c>
    </row>
    <row r="4" spans="1:25" x14ac:dyDescent="0.3">
      <c r="A4">
        <v>3</v>
      </c>
      <c r="B4" s="2">
        <f>('[1]Qc, Summer, S1'!B4*Main!$B$5)</f>
        <v>13.170113053169299</v>
      </c>
      <c r="C4" s="2">
        <f>('[1]Qc, Summer, S1'!C4*Main!$B$5)</f>
        <v>10.090858659940288</v>
      </c>
      <c r="D4" s="2">
        <f>('[1]Qc, Summer, S1'!D4*Main!$B$5)</f>
        <v>9.5626000721305253</v>
      </c>
      <c r="E4" s="2">
        <f>('[1]Qc, Summer, S1'!E4*Main!$B$5)</f>
        <v>8.3517254728754047</v>
      </c>
      <c r="F4" s="2">
        <f>('[1]Qc, Summer, S1'!F4*Main!$B$5)</f>
        <v>9.6144889556637239</v>
      </c>
      <c r="G4" s="2">
        <f>('[1]Qc, Summer, S1'!G4*Main!$B$5)</f>
        <v>4.4622333407693162</v>
      </c>
      <c r="H4" s="2">
        <f>('[1]Qc, Summer, S1'!H4*Main!$B$5)</f>
        <v>7.7855550522803112</v>
      </c>
      <c r="I4" s="2">
        <f>('[1]Qc, Summer, S1'!I4*Main!$B$5)</f>
        <v>14.960863914918351</v>
      </c>
      <c r="J4" s="2">
        <f>('[1]Qc, Summer, S1'!J4*Main!$B$5)</f>
        <v>21.763489941608597</v>
      </c>
      <c r="K4" s="2">
        <f>('[1]Qc, Summer, S1'!K4*Main!$B$5)</f>
        <v>25.861079247184154</v>
      </c>
      <c r="L4" s="2">
        <f>('[1]Qc, Summer, S1'!L4*Main!$B$5)</f>
        <v>28.232338208205526</v>
      </c>
      <c r="M4" s="2">
        <f>('[1]Qc, Summer, S1'!M4*Main!$B$5)</f>
        <v>29.263069781726205</v>
      </c>
      <c r="N4" s="2">
        <f>('[1]Qc, Summer, S1'!N4*Main!$B$5)</f>
        <v>30.578444058963058</v>
      </c>
      <c r="O4" s="2">
        <f>('[1]Qc, Summer, S1'!O4*Main!$B$5)</f>
        <v>30.809798508686164</v>
      </c>
      <c r="P4" s="2">
        <f>('[1]Qc, Summer, S1'!P4*Main!$B$5)</f>
        <v>30.591111181451026</v>
      </c>
      <c r="Q4" s="2">
        <f>('[1]Qc, Summer, S1'!Q4*Main!$B$5)</f>
        <v>29.57277687021525</v>
      </c>
      <c r="R4" s="2">
        <f>('[1]Qc, Summer, S1'!R4*Main!$B$5)</f>
        <v>28.143214928311895</v>
      </c>
      <c r="S4" s="2">
        <f>('[1]Qc, Summer, S1'!S4*Main!$B$5)</f>
        <v>24.973934402225538</v>
      </c>
      <c r="T4" s="2">
        <f>('[1]Qc, Summer, S1'!T4*Main!$B$5)</f>
        <v>24.858391849296151</v>
      </c>
      <c r="U4" s="2">
        <f>('[1]Qc, Summer, S1'!U4*Main!$B$5)</f>
        <v>23.647834428450889</v>
      </c>
      <c r="V4" s="2">
        <f>('[1]Qc, Summer, S1'!V4*Main!$B$5)</f>
        <v>21.31611274227015</v>
      </c>
      <c r="W4" s="2">
        <f>('[1]Qc, Summer, S1'!W4*Main!$B$5)</f>
        <v>25.553856341431459</v>
      </c>
      <c r="X4" s="2">
        <f>('[1]Qc, Summer, S1'!X4*Main!$B$5)</f>
        <v>22.897185416745586</v>
      </c>
      <c r="Y4" s="2">
        <f>('[1]Qc, Summer, S1'!Y4*Main!$B$5)</f>
        <v>18.426732972817376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B436F-3476-4DB3-805A-C57EDD458B32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-13.278249912387809</v>
      </c>
      <c r="C2" s="2">
        <f>('[1]Qc, Summer, S2'!C2*Main!$B$5)</f>
        <v>-17.263355327308279</v>
      </c>
      <c r="D2" s="2">
        <f>('[1]Qc, Summer, S2'!D2*Main!$B$5)</f>
        <v>-19.027549144823816</v>
      </c>
      <c r="E2" s="2">
        <f>('[1]Qc, Summer, S2'!E2*Main!$B$5)</f>
        <v>-17.363635461006563</v>
      </c>
      <c r="F2" s="2">
        <f>('[1]Qc, Summer, S2'!F2*Main!$B$5)</f>
        <v>-18.611481099437121</v>
      </c>
      <c r="G2" s="2">
        <f>('[1]Qc, Summer, S2'!G2*Main!$B$5)</f>
        <v>-19.040455478368052</v>
      </c>
      <c r="H2" s="2">
        <f>('[1]Qc, Summer, S2'!H2*Main!$B$5)</f>
        <v>-16.502177788043223</v>
      </c>
      <c r="I2" s="2">
        <f>('[1]Qc, Summer, S2'!I2*Main!$B$5)</f>
        <v>-2.5673681133886324</v>
      </c>
      <c r="J2" s="2">
        <f>('[1]Qc, Summer, S2'!J2*Main!$B$5)</f>
        <v>8.2410627275642412</v>
      </c>
      <c r="K2" s="2">
        <f>('[1]Qc, Summer, S2'!K2*Main!$B$5)</f>
        <v>11.997385457165896</v>
      </c>
      <c r="L2" s="2">
        <f>('[1]Qc, Summer, S2'!L2*Main!$B$5)</f>
        <v>9.431017561622502</v>
      </c>
      <c r="M2" s="2">
        <f>('[1]Qc, Summer, S2'!M2*Main!$B$5)</f>
        <v>12.562374338038049</v>
      </c>
      <c r="N2" s="2">
        <f>('[1]Qc, Summer, S2'!N2*Main!$B$5)</f>
        <v>11.148100664002801</v>
      </c>
      <c r="O2" s="2">
        <f>('[1]Qc, Summer, S2'!O2*Main!$B$5)</f>
        <v>11.483756435929624</v>
      </c>
      <c r="P2" s="2">
        <f>('[1]Qc, Summer, S2'!P2*Main!$B$5)</f>
        <v>5.9251968799964612</v>
      </c>
      <c r="Q2" s="2">
        <f>('[1]Qc, Summer, S2'!Q2*Main!$B$5)</f>
        <v>1.4979614959182725</v>
      </c>
      <c r="R2" s="2">
        <f>('[1]Qc, Summer, S2'!R2*Main!$B$5)</f>
        <v>3.3323674500254983</v>
      </c>
      <c r="S2" s="2">
        <f>('[1]Qc, Summer, S2'!S2*Main!$B$5)</f>
        <v>4.0476742846228229</v>
      </c>
      <c r="T2" s="2">
        <f>('[1]Qc, Summer, S2'!T2*Main!$B$5)</f>
        <v>2.4385713234779778</v>
      </c>
      <c r="U2" s="2">
        <f>('[1]Qc, Summer, S2'!U2*Main!$B$5)</f>
        <v>-0.45490686583120143</v>
      </c>
      <c r="V2" s="2">
        <f>('[1]Qc, Summer, S2'!V2*Main!$B$5)</f>
        <v>-1.7758833308185238</v>
      </c>
      <c r="W2" s="2">
        <f>('[1]Qc, Summer, S2'!W2*Main!$B$5)</f>
        <v>-1.2355280437499947</v>
      </c>
      <c r="X2" s="2">
        <f>('[1]Qc, Summer, S2'!X2*Main!$B$5)</f>
        <v>-5.925274515890572</v>
      </c>
      <c r="Y2" s="2">
        <f>('[1]Qc, Summer, S2'!Y2*Main!$B$5)</f>
        <v>-8.0203414982006471</v>
      </c>
    </row>
    <row r="3" spans="1:25" x14ac:dyDescent="0.3">
      <c r="A3">
        <v>2</v>
      </c>
      <c r="B3" s="2">
        <f>('[1]Qc, Summer, S2'!B3*Main!$B$5)</f>
        <v>-16.804725248756327</v>
      </c>
      <c r="C3" s="2">
        <f>('[1]Qc, Summer, S2'!C3*Main!$B$5)</f>
        <v>-16.804725248756327</v>
      </c>
      <c r="D3" s="2">
        <f>('[1]Qc, Summer, S2'!D3*Main!$B$5)</f>
        <v>-19.509294986759524</v>
      </c>
      <c r="E3" s="2">
        <f>('[1]Qc, Summer, S2'!E3*Main!$B$5)</f>
        <v>-22.213864724762729</v>
      </c>
      <c r="F3" s="2">
        <f>('[1]Qc, Summer, S2'!F3*Main!$B$5)</f>
        <v>-22.213864724762729</v>
      </c>
      <c r="G3" s="2">
        <f>('[1]Qc, Summer, S2'!G3*Main!$B$5)</f>
        <v>-22.213864724762729</v>
      </c>
      <c r="H3" s="2">
        <f>('[1]Qc, Summer, S2'!H3*Main!$B$5)</f>
        <v>-8.8574571522990713</v>
      </c>
      <c r="I3" s="2">
        <f>('[1]Qc, Summer, S2'!I3*Main!$B$5)</f>
        <v>1.8359954215763845</v>
      </c>
      <c r="J3" s="2">
        <f>('[1]Qc, Summer, S2'!J3*Main!$B$5)</f>
        <v>5.8304435398024506</v>
      </c>
      <c r="K3" s="2">
        <f>('[1]Qc, Summer, S2'!K3*Main!$B$5)</f>
        <v>5.8304435398024506</v>
      </c>
      <c r="L3" s="2">
        <f>('[1]Qc, Summer, S2'!L3*Main!$B$5)</f>
        <v>5.3311291481975447</v>
      </c>
      <c r="M3" s="2">
        <f>('[1]Qc, Summer, S2'!M3*Main!$B$5)</f>
        <v>7.4947741947086124</v>
      </c>
      <c r="N3" s="2">
        <f>('[1]Qc, Summer, S2'!N3*Main!$B$5)</f>
        <v>10.157733632824588</v>
      </c>
      <c r="O3" s="2">
        <f>('[1]Qc, Summer, S2'!O3*Main!$B$5)</f>
        <v>10.469810741413239</v>
      </c>
      <c r="P3" s="2">
        <f>('[1]Qc, Summer, S2'!P3*Main!$B$5)</f>
        <v>5.8720493533067257</v>
      </c>
      <c r="Q3" s="2">
        <f>('[1]Qc, Summer, S2'!Q3*Main!$B$5)</f>
        <v>4.5821709496562697</v>
      </c>
      <c r="R3" s="2">
        <f>('[1]Qc, Summer, S2'!R3*Main!$B$5)</f>
        <v>-0.74374797343085552</v>
      </c>
      <c r="S3" s="2">
        <f>('[1]Qc, Summer, S2'!S3*Main!$B$5)</f>
        <v>-0.74374797343085552</v>
      </c>
      <c r="T3" s="2">
        <f>('[1]Qc, Summer, S2'!T3*Main!$B$5)</f>
        <v>-0.74374797343085552</v>
      </c>
      <c r="U3" s="2">
        <f>('[1]Qc, Summer, S2'!U3*Main!$B$5)</f>
        <v>-0.74374797343085552</v>
      </c>
      <c r="V3" s="2">
        <f>('[1]Qc, Summer, S2'!V3*Main!$B$5)</f>
        <v>-4.7382005546122841</v>
      </c>
      <c r="W3" s="2">
        <f>('[1]Qc, Summer, S2'!W3*Main!$B$5)</f>
        <v>-6.0696847483394265</v>
      </c>
      <c r="X3" s="2">
        <f>('[1]Qc, Summer, S2'!X3*Main!$B$5)</f>
        <v>-16.971148502773428</v>
      </c>
      <c r="Y3" s="2">
        <f>('[1]Qc, Summer, S2'!Y3*Main!$B$5)</f>
        <v>-16.971148502773428</v>
      </c>
    </row>
    <row r="4" spans="1:25" x14ac:dyDescent="0.3">
      <c r="A4">
        <v>3</v>
      </c>
      <c r="B4" s="2">
        <f>('[1]Qc, Summer, S2'!B4*Main!$B$5)</f>
        <v>13.565216444764378</v>
      </c>
      <c r="C4" s="2">
        <f>('[1]Qc, Summer, S2'!C4*Main!$B$5)</f>
        <v>10.393584419738495</v>
      </c>
      <c r="D4" s="2">
        <f>('[1]Qc, Summer, S2'!D4*Main!$B$5)</f>
        <v>9.8494780742944403</v>
      </c>
      <c r="E4" s="2">
        <f>('[1]Qc, Summer, S2'!E4*Main!$B$5)</f>
        <v>8.6022772370616671</v>
      </c>
      <c r="F4" s="2">
        <f>('[1]Qc, Summer, S2'!F4*Main!$B$5)</f>
        <v>9.9029236243336367</v>
      </c>
      <c r="G4" s="2">
        <f>('[1]Qc, Summer, S2'!G4*Main!$B$5)</f>
        <v>4.5961003409923959</v>
      </c>
      <c r="H4" s="2">
        <f>('[1]Qc, Summer, S2'!H4*Main!$B$5)</f>
        <v>8.0191217038487199</v>
      </c>
      <c r="I4" s="2">
        <f>('[1]Qc, Summer, S2'!I4*Main!$B$5)</f>
        <v>15.409689832365903</v>
      </c>
      <c r="J4" s="2">
        <f>('[1]Qc, Summer, S2'!J4*Main!$B$5)</f>
        <v>22.416394639856861</v>
      </c>
      <c r="K4" s="2">
        <f>('[1]Qc, Summer, S2'!K4*Main!$B$5)</f>
        <v>26.636911624599676</v>
      </c>
      <c r="L4" s="2">
        <f>('[1]Qc, Summer, S2'!L4*Main!$B$5)</f>
        <v>29.079308354451694</v>
      </c>
      <c r="M4" s="2">
        <f>('[1]Qc, Summer, S2'!M4*Main!$B$5)</f>
        <v>30.140961875177993</v>
      </c>
      <c r="N4" s="2">
        <f>('[1]Qc, Summer, S2'!N4*Main!$B$5)</f>
        <v>31.49579738073195</v>
      </c>
      <c r="O4" s="2">
        <f>('[1]Qc, Summer, S2'!O4*Main!$B$5)</f>
        <v>31.734092463946748</v>
      </c>
      <c r="P4" s="2">
        <f>('[1]Qc, Summer, S2'!P4*Main!$B$5)</f>
        <v>31.508844516894563</v>
      </c>
      <c r="Q4" s="2">
        <f>('[1]Qc, Summer, S2'!Q4*Main!$B$5)</f>
        <v>30.459960176321704</v>
      </c>
      <c r="R4" s="2">
        <f>('[1]Qc, Summer, S2'!R4*Main!$B$5)</f>
        <v>28.987511376161251</v>
      </c>
      <c r="S4" s="2">
        <f>('[1]Qc, Summer, S2'!S4*Main!$B$5)</f>
        <v>25.723152434292306</v>
      </c>
      <c r="T4" s="2">
        <f>('[1]Qc, Summer, S2'!T4*Main!$B$5)</f>
        <v>25.604143604775039</v>
      </c>
      <c r="U4" s="2">
        <f>('[1]Qc, Summer, S2'!U4*Main!$B$5)</f>
        <v>24.357269461304416</v>
      </c>
      <c r="V4" s="2">
        <f>('[1]Qc, Summer, S2'!V4*Main!$B$5)</f>
        <v>21.955596124538253</v>
      </c>
      <c r="W4" s="2">
        <f>('[1]Qc, Summer, S2'!W4*Main!$B$5)</f>
        <v>26.320472031674402</v>
      </c>
      <c r="X4" s="2">
        <f>('[1]Qc, Summer, S2'!X4*Main!$B$5)</f>
        <v>23.584100979247953</v>
      </c>
      <c r="Y4" s="2">
        <f>('[1]Qc, Summer, S2'!Y4*Main!$B$5)</f>
        <v>18.9795349620019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166DC-49E9-4005-859A-30B80B18882C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-13.278249912387809</v>
      </c>
      <c r="C2" s="2">
        <f>('[1]Qc, Summer, S2'!C2*Main!$B$5)</f>
        <v>-17.263355327308279</v>
      </c>
      <c r="D2" s="2">
        <f>('[1]Qc, Summer, S2'!D2*Main!$B$5)</f>
        <v>-19.027549144823816</v>
      </c>
      <c r="E2" s="2">
        <f>('[1]Qc, Summer, S2'!E2*Main!$B$5)</f>
        <v>-17.363635461006563</v>
      </c>
      <c r="F2" s="2">
        <f>('[1]Qc, Summer, S2'!F2*Main!$B$5)</f>
        <v>-18.611481099437121</v>
      </c>
      <c r="G2" s="2">
        <f>('[1]Qc, Summer, S2'!G2*Main!$B$5)</f>
        <v>-19.040455478368052</v>
      </c>
      <c r="H2" s="2">
        <f>('[1]Qc, Summer, S2'!H2*Main!$B$5)</f>
        <v>-16.502177788043223</v>
      </c>
      <c r="I2" s="2">
        <f>('[1]Qc, Summer, S2'!I2*Main!$B$5)</f>
        <v>-2.5673681133886324</v>
      </c>
      <c r="J2" s="2">
        <f>('[1]Qc, Summer, S2'!J2*Main!$B$5)</f>
        <v>8.2410627275642412</v>
      </c>
      <c r="K2" s="2">
        <f>('[1]Qc, Summer, S2'!K2*Main!$B$5)</f>
        <v>11.997385457165896</v>
      </c>
      <c r="L2" s="2">
        <f>('[1]Qc, Summer, S2'!L2*Main!$B$5)</f>
        <v>9.431017561622502</v>
      </c>
      <c r="M2" s="2">
        <f>('[1]Qc, Summer, S2'!M2*Main!$B$5)</f>
        <v>12.562374338038049</v>
      </c>
      <c r="N2" s="2">
        <f>('[1]Qc, Summer, S2'!N2*Main!$B$5)</f>
        <v>11.148100664002801</v>
      </c>
      <c r="O2" s="2">
        <f>('[1]Qc, Summer, S2'!O2*Main!$B$5)</f>
        <v>11.483756435929624</v>
      </c>
      <c r="P2" s="2">
        <f>('[1]Qc, Summer, S2'!P2*Main!$B$5)</f>
        <v>5.9251968799964612</v>
      </c>
      <c r="Q2" s="2">
        <f>('[1]Qc, Summer, S2'!Q2*Main!$B$5)</f>
        <v>1.4979614959182725</v>
      </c>
      <c r="R2" s="2">
        <f>('[1]Qc, Summer, S2'!R2*Main!$B$5)</f>
        <v>3.3323674500254983</v>
      </c>
      <c r="S2" s="2">
        <f>('[1]Qc, Summer, S2'!S2*Main!$B$5)</f>
        <v>4.0476742846228229</v>
      </c>
      <c r="T2" s="2">
        <f>('[1]Qc, Summer, S2'!T2*Main!$B$5)</f>
        <v>2.4385713234779778</v>
      </c>
      <c r="U2" s="2">
        <f>('[1]Qc, Summer, S2'!U2*Main!$B$5)</f>
        <v>-0.45490686583120143</v>
      </c>
      <c r="V2" s="2">
        <f>('[1]Qc, Summer, S2'!V2*Main!$B$5)</f>
        <v>-1.7758833308185238</v>
      </c>
      <c r="W2" s="2">
        <f>('[1]Qc, Summer, S2'!W2*Main!$B$5)</f>
        <v>-1.2355280437499947</v>
      </c>
      <c r="X2" s="2">
        <f>('[1]Qc, Summer, S2'!X2*Main!$B$5)</f>
        <v>-5.925274515890572</v>
      </c>
      <c r="Y2" s="2">
        <f>('[1]Qc, Summer, S2'!Y2*Main!$B$5)</f>
        <v>-8.0203414982006471</v>
      </c>
    </row>
    <row r="3" spans="1:25" x14ac:dyDescent="0.3">
      <c r="A3">
        <v>2</v>
      </c>
      <c r="B3" s="2">
        <f>('[1]Qc, Summer, S2'!B3*Main!$B$5)</f>
        <v>-16.804725248756327</v>
      </c>
      <c r="C3" s="2">
        <f>('[1]Qc, Summer, S2'!C3*Main!$B$5)</f>
        <v>-16.804725248756327</v>
      </c>
      <c r="D3" s="2">
        <f>('[1]Qc, Summer, S2'!D3*Main!$B$5)</f>
        <v>-19.509294986759524</v>
      </c>
      <c r="E3" s="2">
        <f>('[1]Qc, Summer, S2'!E3*Main!$B$5)</f>
        <v>-22.213864724762729</v>
      </c>
      <c r="F3" s="2">
        <f>('[1]Qc, Summer, S2'!F3*Main!$B$5)</f>
        <v>-22.213864724762729</v>
      </c>
      <c r="G3" s="2">
        <f>('[1]Qc, Summer, S2'!G3*Main!$B$5)</f>
        <v>-22.213864724762729</v>
      </c>
      <c r="H3" s="2">
        <f>('[1]Qc, Summer, S2'!H3*Main!$B$5)</f>
        <v>-8.8574571522990713</v>
      </c>
      <c r="I3" s="2">
        <f>('[1]Qc, Summer, S2'!I3*Main!$B$5)</f>
        <v>1.8359954215763845</v>
      </c>
      <c r="J3" s="2">
        <f>('[1]Qc, Summer, S2'!J3*Main!$B$5)</f>
        <v>5.8304435398024506</v>
      </c>
      <c r="K3" s="2">
        <f>('[1]Qc, Summer, S2'!K3*Main!$B$5)</f>
        <v>5.8304435398024506</v>
      </c>
      <c r="L3" s="2">
        <f>('[1]Qc, Summer, S2'!L3*Main!$B$5)</f>
        <v>5.3311291481975447</v>
      </c>
      <c r="M3" s="2">
        <f>('[1]Qc, Summer, S2'!M3*Main!$B$5)</f>
        <v>7.4947741947086124</v>
      </c>
      <c r="N3" s="2">
        <f>('[1]Qc, Summer, S2'!N3*Main!$B$5)</f>
        <v>10.157733632824588</v>
      </c>
      <c r="O3" s="2">
        <f>('[1]Qc, Summer, S2'!O3*Main!$B$5)</f>
        <v>10.469810741413239</v>
      </c>
      <c r="P3" s="2">
        <f>('[1]Qc, Summer, S2'!P3*Main!$B$5)</f>
        <v>5.8720493533067257</v>
      </c>
      <c r="Q3" s="2">
        <f>('[1]Qc, Summer, S2'!Q3*Main!$B$5)</f>
        <v>4.5821709496562697</v>
      </c>
      <c r="R3" s="2">
        <f>('[1]Qc, Summer, S2'!R3*Main!$B$5)</f>
        <v>-0.74374797343085552</v>
      </c>
      <c r="S3" s="2">
        <f>('[1]Qc, Summer, S2'!S3*Main!$B$5)</f>
        <v>-0.74374797343085552</v>
      </c>
      <c r="T3" s="2">
        <f>('[1]Qc, Summer, S2'!T3*Main!$B$5)</f>
        <v>-0.74374797343085552</v>
      </c>
      <c r="U3" s="2">
        <f>('[1]Qc, Summer, S2'!U3*Main!$B$5)</f>
        <v>-0.74374797343085552</v>
      </c>
      <c r="V3" s="2">
        <f>('[1]Qc, Summer, S2'!V3*Main!$B$5)</f>
        <v>-4.7382005546122841</v>
      </c>
      <c r="W3" s="2">
        <f>('[1]Qc, Summer, S2'!W3*Main!$B$5)</f>
        <v>-6.0696847483394265</v>
      </c>
      <c r="X3" s="2">
        <f>('[1]Qc, Summer, S2'!X3*Main!$B$5)</f>
        <v>-16.971148502773428</v>
      </c>
      <c r="Y3" s="2">
        <f>('[1]Qc, Summer, S2'!Y3*Main!$B$5)</f>
        <v>-16.971148502773428</v>
      </c>
    </row>
    <row r="4" spans="1:25" x14ac:dyDescent="0.3">
      <c r="A4">
        <v>3</v>
      </c>
      <c r="B4" s="2">
        <f>('[1]Qc, Summer, S2'!B4*Main!$B$5)</f>
        <v>13.565216444764378</v>
      </c>
      <c r="C4" s="2">
        <f>('[1]Qc, Summer, S2'!C4*Main!$B$5)</f>
        <v>10.393584419738495</v>
      </c>
      <c r="D4" s="2">
        <f>('[1]Qc, Summer, S2'!D4*Main!$B$5)</f>
        <v>9.8494780742944403</v>
      </c>
      <c r="E4" s="2">
        <f>('[1]Qc, Summer, S2'!E4*Main!$B$5)</f>
        <v>8.6022772370616671</v>
      </c>
      <c r="F4" s="2">
        <f>('[1]Qc, Summer, S2'!F4*Main!$B$5)</f>
        <v>9.9029236243336367</v>
      </c>
      <c r="G4" s="2">
        <f>('[1]Qc, Summer, S2'!G4*Main!$B$5)</f>
        <v>4.5961003409923959</v>
      </c>
      <c r="H4" s="2">
        <f>('[1]Qc, Summer, S2'!H4*Main!$B$5)</f>
        <v>8.0191217038487199</v>
      </c>
      <c r="I4" s="2">
        <f>('[1]Qc, Summer, S2'!I4*Main!$B$5)</f>
        <v>15.409689832365903</v>
      </c>
      <c r="J4" s="2">
        <f>('[1]Qc, Summer, S2'!J4*Main!$B$5)</f>
        <v>22.416394639856861</v>
      </c>
      <c r="K4" s="2">
        <f>('[1]Qc, Summer, S2'!K4*Main!$B$5)</f>
        <v>26.636911624599676</v>
      </c>
      <c r="L4" s="2">
        <f>('[1]Qc, Summer, S2'!L4*Main!$B$5)</f>
        <v>29.079308354451694</v>
      </c>
      <c r="M4" s="2">
        <f>('[1]Qc, Summer, S2'!M4*Main!$B$5)</f>
        <v>30.140961875177993</v>
      </c>
      <c r="N4" s="2">
        <f>('[1]Qc, Summer, S2'!N4*Main!$B$5)</f>
        <v>31.49579738073195</v>
      </c>
      <c r="O4" s="2">
        <f>('[1]Qc, Summer, S2'!O4*Main!$B$5)</f>
        <v>31.734092463946748</v>
      </c>
      <c r="P4" s="2">
        <f>('[1]Qc, Summer, S2'!P4*Main!$B$5)</f>
        <v>31.508844516894563</v>
      </c>
      <c r="Q4" s="2">
        <f>('[1]Qc, Summer, S2'!Q4*Main!$B$5)</f>
        <v>30.459960176321704</v>
      </c>
      <c r="R4" s="2">
        <f>('[1]Qc, Summer, S2'!R4*Main!$B$5)</f>
        <v>28.987511376161251</v>
      </c>
      <c r="S4" s="2">
        <f>('[1]Qc, Summer, S2'!S4*Main!$B$5)</f>
        <v>25.723152434292306</v>
      </c>
      <c r="T4" s="2">
        <f>('[1]Qc, Summer, S2'!T4*Main!$B$5)</f>
        <v>25.604143604775039</v>
      </c>
      <c r="U4" s="2">
        <f>('[1]Qc, Summer, S2'!U4*Main!$B$5)</f>
        <v>24.357269461304416</v>
      </c>
      <c r="V4" s="2">
        <f>('[1]Qc, Summer, S2'!V4*Main!$B$5)</f>
        <v>21.955596124538253</v>
      </c>
      <c r="W4" s="2">
        <f>('[1]Qc, Summer, S2'!W4*Main!$B$5)</f>
        <v>26.320472031674402</v>
      </c>
      <c r="X4" s="2">
        <f>('[1]Qc, Summer, S2'!X4*Main!$B$5)</f>
        <v>23.584100979247953</v>
      </c>
      <c r="Y4" s="2">
        <f>('[1]Qc, Summer, S2'!Y4*Main!$B$5)</f>
        <v>18.9795349620019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5A79A-A7A5-4753-BFC0-753B09052AA3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-13.278249912387809</v>
      </c>
      <c r="C2" s="2">
        <f>('[1]Qc, Summer, S2'!C2*Main!$B$5)</f>
        <v>-17.263355327308279</v>
      </c>
      <c r="D2" s="2">
        <f>('[1]Qc, Summer, S2'!D2*Main!$B$5)</f>
        <v>-19.027549144823816</v>
      </c>
      <c r="E2" s="2">
        <f>('[1]Qc, Summer, S2'!E2*Main!$B$5)</f>
        <v>-17.363635461006563</v>
      </c>
      <c r="F2" s="2">
        <f>('[1]Qc, Summer, S2'!F2*Main!$B$5)</f>
        <v>-18.611481099437121</v>
      </c>
      <c r="G2" s="2">
        <f>('[1]Qc, Summer, S2'!G2*Main!$B$5)</f>
        <v>-19.040455478368052</v>
      </c>
      <c r="H2" s="2">
        <f>('[1]Qc, Summer, S2'!H2*Main!$B$5)</f>
        <v>-16.502177788043223</v>
      </c>
      <c r="I2" s="2">
        <f>('[1]Qc, Summer, S2'!I2*Main!$B$5)</f>
        <v>-2.5673681133886324</v>
      </c>
      <c r="J2" s="2">
        <f>('[1]Qc, Summer, S2'!J2*Main!$B$5)</f>
        <v>8.2410627275642412</v>
      </c>
      <c r="K2" s="2">
        <f>('[1]Qc, Summer, S2'!K2*Main!$B$5)</f>
        <v>11.997385457165896</v>
      </c>
      <c r="L2" s="2">
        <f>('[1]Qc, Summer, S2'!L2*Main!$B$5)</f>
        <v>9.431017561622502</v>
      </c>
      <c r="M2" s="2">
        <f>('[1]Qc, Summer, S2'!M2*Main!$B$5)</f>
        <v>12.562374338038049</v>
      </c>
      <c r="N2" s="2">
        <f>('[1]Qc, Summer, S2'!N2*Main!$B$5)</f>
        <v>11.148100664002801</v>
      </c>
      <c r="O2" s="2">
        <f>('[1]Qc, Summer, S2'!O2*Main!$B$5)</f>
        <v>11.483756435929624</v>
      </c>
      <c r="P2" s="2">
        <f>('[1]Qc, Summer, S2'!P2*Main!$B$5)</f>
        <v>5.9251968799964612</v>
      </c>
      <c r="Q2" s="2">
        <f>('[1]Qc, Summer, S2'!Q2*Main!$B$5)</f>
        <v>1.4979614959182725</v>
      </c>
      <c r="R2" s="2">
        <f>('[1]Qc, Summer, S2'!R2*Main!$B$5)</f>
        <v>3.3323674500254983</v>
      </c>
      <c r="S2" s="2">
        <f>('[1]Qc, Summer, S2'!S2*Main!$B$5)</f>
        <v>4.0476742846228229</v>
      </c>
      <c r="T2" s="2">
        <f>('[1]Qc, Summer, S2'!T2*Main!$B$5)</f>
        <v>2.4385713234779778</v>
      </c>
      <c r="U2" s="2">
        <f>('[1]Qc, Summer, S2'!U2*Main!$B$5)</f>
        <v>-0.45490686583120143</v>
      </c>
      <c r="V2" s="2">
        <f>('[1]Qc, Summer, S2'!V2*Main!$B$5)</f>
        <v>-1.7758833308185238</v>
      </c>
      <c r="W2" s="2">
        <f>('[1]Qc, Summer, S2'!W2*Main!$B$5)</f>
        <v>-1.2355280437499947</v>
      </c>
      <c r="X2" s="2">
        <f>('[1]Qc, Summer, S2'!X2*Main!$B$5)</f>
        <v>-5.925274515890572</v>
      </c>
      <c r="Y2" s="2">
        <f>('[1]Qc, Summer, S2'!Y2*Main!$B$5)</f>
        <v>-8.0203414982006471</v>
      </c>
    </row>
    <row r="3" spans="1:25" x14ac:dyDescent="0.3">
      <c r="A3">
        <v>2</v>
      </c>
      <c r="B3" s="2">
        <f>('[1]Qc, Summer, S2'!B3*Main!$B$5)</f>
        <v>-16.804725248756327</v>
      </c>
      <c r="C3" s="2">
        <f>('[1]Qc, Summer, S2'!C3*Main!$B$5)</f>
        <v>-16.804725248756327</v>
      </c>
      <c r="D3" s="2">
        <f>('[1]Qc, Summer, S2'!D3*Main!$B$5)</f>
        <v>-19.509294986759524</v>
      </c>
      <c r="E3" s="2">
        <f>('[1]Qc, Summer, S2'!E3*Main!$B$5)</f>
        <v>-22.213864724762729</v>
      </c>
      <c r="F3" s="2">
        <f>('[1]Qc, Summer, S2'!F3*Main!$B$5)</f>
        <v>-22.213864724762729</v>
      </c>
      <c r="G3" s="2">
        <f>('[1]Qc, Summer, S2'!G3*Main!$B$5)</f>
        <v>-22.213864724762729</v>
      </c>
      <c r="H3" s="2">
        <f>('[1]Qc, Summer, S2'!H3*Main!$B$5)</f>
        <v>-8.8574571522990713</v>
      </c>
      <c r="I3" s="2">
        <f>('[1]Qc, Summer, S2'!I3*Main!$B$5)</f>
        <v>1.8359954215763845</v>
      </c>
      <c r="J3" s="2">
        <f>('[1]Qc, Summer, S2'!J3*Main!$B$5)</f>
        <v>5.8304435398024506</v>
      </c>
      <c r="K3" s="2">
        <f>('[1]Qc, Summer, S2'!K3*Main!$B$5)</f>
        <v>5.8304435398024506</v>
      </c>
      <c r="L3" s="2">
        <f>('[1]Qc, Summer, S2'!L3*Main!$B$5)</f>
        <v>5.3311291481975447</v>
      </c>
      <c r="M3" s="2">
        <f>('[1]Qc, Summer, S2'!M3*Main!$B$5)</f>
        <v>7.4947741947086124</v>
      </c>
      <c r="N3" s="2">
        <f>('[1]Qc, Summer, S2'!N3*Main!$B$5)</f>
        <v>10.157733632824588</v>
      </c>
      <c r="O3" s="2">
        <f>('[1]Qc, Summer, S2'!O3*Main!$B$5)</f>
        <v>10.469810741413239</v>
      </c>
      <c r="P3" s="2">
        <f>('[1]Qc, Summer, S2'!P3*Main!$B$5)</f>
        <v>5.8720493533067257</v>
      </c>
      <c r="Q3" s="2">
        <f>('[1]Qc, Summer, S2'!Q3*Main!$B$5)</f>
        <v>4.5821709496562697</v>
      </c>
      <c r="R3" s="2">
        <f>('[1]Qc, Summer, S2'!R3*Main!$B$5)</f>
        <v>-0.74374797343085552</v>
      </c>
      <c r="S3" s="2">
        <f>('[1]Qc, Summer, S2'!S3*Main!$B$5)</f>
        <v>-0.74374797343085552</v>
      </c>
      <c r="T3" s="2">
        <f>('[1]Qc, Summer, S2'!T3*Main!$B$5)</f>
        <v>-0.74374797343085552</v>
      </c>
      <c r="U3" s="2">
        <f>('[1]Qc, Summer, S2'!U3*Main!$B$5)</f>
        <v>-0.74374797343085552</v>
      </c>
      <c r="V3" s="2">
        <f>('[1]Qc, Summer, S2'!V3*Main!$B$5)</f>
        <v>-4.7382005546122841</v>
      </c>
      <c r="W3" s="2">
        <f>('[1]Qc, Summer, S2'!W3*Main!$B$5)</f>
        <v>-6.0696847483394265</v>
      </c>
      <c r="X3" s="2">
        <f>('[1]Qc, Summer, S2'!X3*Main!$B$5)</f>
        <v>-16.971148502773428</v>
      </c>
      <c r="Y3" s="2">
        <f>('[1]Qc, Summer, S2'!Y3*Main!$B$5)</f>
        <v>-16.971148502773428</v>
      </c>
    </row>
    <row r="4" spans="1:25" x14ac:dyDescent="0.3">
      <c r="A4">
        <v>3</v>
      </c>
      <c r="B4" s="2">
        <f>('[1]Qc, Summer, S2'!B4*Main!$B$5)</f>
        <v>13.565216444764378</v>
      </c>
      <c r="C4" s="2">
        <f>('[1]Qc, Summer, S2'!C4*Main!$B$5)</f>
        <v>10.393584419738495</v>
      </c>
      <c r="D4" s="2">
        <f>('[1]Qc, Summer, S2'!D4*Main!$B$5)</f>
        <v>9.8494780742944403</v>
      </c>
      <c r="E4" s="2">
        <f>('[1]Qc, Summer, S2'!E4*Main!$B$5)</f>
        <v>8.6022772370616671</v>
      </c>
      <c r="F4" s="2">
        <f>('[1]Qc, Summer, S2'!F4*Main!$B$5)</f>
        <v>9.9029236243336367</v>
      </c>
      <c r="G4" s="2">
        <f>('[1]Qc, Summer, S2'!G4*Main!$B$5)</f>
        <v>4.5961003409923959</v>
      </c>
      <c r="H4" s="2">
        <f>('[1]Qc, Summer, S2'!H4*Main!$B$5)</f>
        <v>8.0191217038487199</v>
      </c>
      <c r="I4" s="2">
        <f>('[1]Qc, Summer, S2'!I4*Main!$B$5)</f>
        <v>15.409689832365903</v>
      </c>
      <c r="J4" s="2">
        <f>('[1]Qc, Summer, S2'!J4*Main!$B$5)</f>
        <v>22.416394639856861</v>
      </c>
      <c r="K4" s="2">
        <f>('[1]Qc, Summer, S2'!K4*Main!$B$5)</f>
        <v>26.636911624599676</v>
      </c>
      <c r="L4" s="2">
        <f>('[1]Qc, Summer, S2'!L4*Main!$B$5)</f>
        <v>29.079308354451694</v>
      </c>
      <c r="M4" s="2">
        <f>('[1]Qc, Summer, S2'!M4*Main!$B$5)</f>
        <v>30.140961875177993</v>
      </c>
      <c r="N4" s="2">
        <f>('[1]Qc, Summer, S2'!N4*Main!$B$5)</f>
        <v>31.49579738073195</v>
      </c>
      <c r="O4" s="2">
        <f>('[1]Qc, Summer, S2'!O4*Main!$B$5)</f>
        <v>31.734092463946748</v>
      </c>
      <c r="P4" s="2">
        <f>('[1]Qc, Summer, S2'!P4*Main!$B$5)</f>
        <v>31.508844516894563</v>
      </c>
      <c r="Q4" s="2">
        <f>('[1]Qc, Summer, S2'!Q4*Main!$B$5)</f>
        <v>30.459960176321704</v>
      </c>
      <c r="R4" s="2">
        <f>('[1]Qc, Summer, S2'!R4*Main!$B$5)</f>
        <v>28.987511376161251</v>
      </c>
      <c r="S4" s="2">
        <f>('[1]Qc, Summer, S2'!S4*Main!$B$5)</f>
        <v>25.723152434292306</v>
      </c>
      <c r="T4" s="2">
        <f>('[1]Qc, Summer, S2'!T4*Main!$B$5)</f>
        <v>25.604143604775039</v>
      </c>
      <c r="U4" s="2">
        <f>('[1]Qc, Summer, S2'!U4*Main!$B$5)</f>
        <v>24.357269461304416</v>
      </c>
      <c r="V4" s="2">
        <f>('[1]Qc, Summer, S2'!V4*Main!$B$5)</f>
        <v>21.955596124538253</v>
      </c>
      <c r="W4" s="2">
        <f>('[1]Qc, Summer, S2'!W4*Main!$B$5)</f>
        <v>26.320472031674402</v>
      </c>
      <c r="X4" s="2">
        <f>('[1]Qc, Summer, S2'!X4*Main!$B$5)</f>
        <v>23.584100979247953</v>
      </c>
      <c r="Y4" s="2">
        <f>('[1]Qc, Summer, S2'!Y4*Main!$B$5)</f>
        <v>18.9795349620019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4CB74-1EDC-42F0-8237-BA1DB1708AAE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-12.633674673922382</v>
      </c>
      <c r="C2" s="2">
        <f>('[1]Qc, Summer, S3'!C2*Main!$B$5)</f>
        <v>-16.425328369671956</v>
      </c>
      <c r="D2" s="2">
        <f>('[1]Qc, Summer, S3'!D2*Main!$B$5)</f>
        <v>-18.103881710609063</v>
      </c>
      <c r="E2" s="2">
        <f>('[1]Qc, Summer, S3'!E2*Main!$B$5)</f>
        <v>-16.520740535714978</v>
      </c>
      <c r="F2" s="2">
        <f>('[1]Qc, Summer, S3'!F2*Main!$B$5)</f>
        <v>-17.708011143153769</v>
      </c>
      <c r="G2" s="2">
        <f>('[1]Qc, Summer, S3'!G2*Main!$B$5)</f>
        <v>-18.116161523107465</v>
      </c>
      <c r="H2" s="2">
        <f>('[1]Qc, Summer, S3'!H2*Main!$B$5)</f>
        <v>-15.701101196390637</v>
      </c>
      <c r="I2" s="2">
        <f>('[1]Qc, Summer, S3'!I2*Main!$B$5)</f>
        <v>-2.4427385933212227</v>
      </c>
      <c r="J2" s="2">
        <f>('[1]Qc, Summer, S3'!J2*Main!$B$5)</f>
        <v>7.8410111388475299</v>
      </c>
      <c r="K2" s="2">
        <f>('[1]Qc, Summer, S3'!K2*Main!$B$5)</f>
        <v>11.414988104876288</v>
      </c>
      <c r="L2" s="2">
        <f>('[1]Qc, Summer, S3'!L2*Main!$B$5)</f>
        <v>8.973201175135971</v>
      </c>
      <c r="M2" s="2">
        <f>('[1]Qc, Summer, S3'!M2*Main!$B$5)</f>
        <v>11.952550341045912</v>
      </c>
      <c r="N2" s="2">
        <f>('[1]Qc, Summer, S3'!N2*Main!$B$5)</f>
        <v>10.606930728857034</v>
      </c>
      <c r="O2" s="2">
        <f>('[1]Qc, Summer, S3'!O2*Main!$B$5)</f>
        <v>10.926292531272846</v>
      </c>
      <c r="P2" s="2">
        <f>('[1]Qc, Summer, S3'!P2*Main!$B$5)</f>
        <v>5.6375659634917783</v>
      </c>
      <c r="Q2" s="2">
        <f>('[1]Qc, Summer, S3'!Q2*Main!$B$5)</f>
        <v>1.4252449184465115</v>
      </c>
      <c r="R2" s="2">
        <f>('[1]Qc, Summer, S3'!R2*Main!$B$5)</f>
        <v>3.1706020398300856</v>
      </c>
      <c r="S2" s="2">
        <f>('[1]Qc, Summer, S3'!S2*Main!$B$5)</f>
        <v>3.8511852416799668</v>
      </c>
      <c r="T2" s="2">
        <f>('[1]Qc, Summer, S3'!T2*Main!$B$5)</f>
        <v>2.320194074765455</v>
      </c>
      <c r="U2" s="2">
        <f>('[1]Qc, Summer, S3'!U2*Main!$B$5)</f>
        <v>-0.43282400826658002</v>
      </c>
      <c r="V2" s="2">
        <f>('[1]Qc, Summer, S3'!V2*Main!$B$5)</f>
        <v>-1.6896754021380127</v>
      </c>
      <c r="W2" s="2">
        <f>('[1]Qc, Summer, S3'!W2*Main!$B$5)</f>
        <v>-1.1755509542475677</v>
      </c>
      <c r="X2" s="2">
        <f>('[1]Qc, Summer, S3'!X2*Main!$B$5)</f>
        <v>-5.637639830653165</v>
      </c>
      <c r="Y2" s="2">
        <f>('[1]Qc, Summer, S3'!Y2*Main!$B$5)</f>
        <v>-7.6310045322685776</v>
      </c>
    </row>
    <row r="3" spans="1:25" x14ac:dyDescent="0.3">
      <c r="A3">
        <v>2</v>
      </c>
      <c r="B3" s="2">
        <f>('[1]Qc, Summer, S3'!B3*Main!$B$5)</f>
        <v>-15.988961887166216</v>
      </c>
      <c r="C3" s="2">
        <f>('[1]Qc, Summer, S3'!C3*Main!$B$5)</f>
        <v>-15.988961887166216</v>
      </c>
      <c r="D3" s="2">
        <f>('[1]Qc, Summer, S3'!D3*Main!$B$5)</f>
        <v>-18.562241832062462</v>
      </c>
      <c r="E3" s="2">
        <f>('[1]Qc, Summer, S3'!E3*Main!$B$5)</f>
        <v>-21.135521776958708</v>
      </c>
      <c r="F3" s="2">
        <f>('[1]Qc, Summer, S3'!F3*Main!$B$5)</f>
        <v>-21.135521776958708</v>
      </c>
      <c r="G3" s="2">
        <f>('[1]Qc, Summer, S3'!G3*Main!$B$5)</f>
        <v>-21.135521776958708</v>
      </c>
      <c r="H3" s="2">
        <f>('[1]Qc, Summer, S3'!H3*Main!$B$5)</f>
        <v>-8.4274835041292118</v>
      </c>
      <c r="I3" s="2">
        <f>('[1]Qc, Summer, S3'!I3*Main!$B$5)</f>
        <v>1.7468694302377246</v>
      </c>
      <c r="J3" s="2">
        <f>('[1]Qc, Summer, S3'!J3*Main!$B$5)</f>
        <v>5.547412300006215</v>
      </c>
      <c r="K3" s="2">
        <f>('[1]Qc, Summer, S3'!K3*Main!$B$5)</f>
        <v>5.547412300006215</v>
      </c>
      <c r="L3" s="2">
        <f>('[1]Qc, Summer, S3'!L3*Main!$B$5)</f>
        <v>5.0723364711005763</v>
      </c>
      <c r="M3" s="2">
        <f>('[1]Qc, Summer, S3'!M3*Main!$B$5)</f>
        <v>7.1309502046742148</v>
      </c>
      <c r="N3" s="2">
        <f>('[1]Qc, Summer, S3'!N3*Main!$B$5)</f>
        <v>9.664639767153492</v>
      </c>
      <c r="O3" s="2">
        <f>('[1]Qc, Summer, S3'!O3*Main!$B$5)</f>
        <v>9.9615675015388092</v>
      </c>
      <c r="P3" s="2">
        <f>('[1]Qc, Summer, S3'!P3*Main!$B$5)</f>
        <v>5.5869984138258157</v>
      </c>
      <c r="Q3" s="2">
        <f>('[1]Qc, Summer, S3'!Q3*Main!$B$5)</f>
        <v>4.3597354666632464</v>
      </c>
      <c r="R3" s="2">
        <f>('[1]Qc, Summer, S3'!R3*Main!$B$5)</f>
        <v>-0.70764370287595957</v>
      </c>
      <c r="S3" s="2">
        <f>('[1]Qc, Summer, S3'!S3*Main!$B$5)</f>
        <v>-0.70764370287595957</v>
      </c>
      <c r="T3" s="2">
        <f>('[1]Qc, Summer, S3'!T3*Main!$B$5)</f>
        <v>-0.70764370287595957</v>
      </c>
      <c r="U3" s="2">
        <f>('[1]Qc, Summer, S3'!U3*Main!$B$5)</f>
        <v>-0.70764370287595957</v>
      </c>
      <c r="V3" s="2">
        <f>('[1]Qc, Summer, S3'!V3*Main!$B$5)</f>
        <v>-4.5081908189514932</v>
      </c>
      <c r="W3" s="2">
        <f>('[1]Qc, Summer, S3'!W3*Main!$B$5)</f>
        <v>-5.7750398576433373</v>
      </c>
      <c r="X3" s="2">
        <f>('[1]Qc, Summer, S3'!X3*Main!$B$5)</f>
        <v>-16.147306342444622</v>
      </c>
      <c r="Y3" s="2">
        <f>('[1]Qc, Summer, S3'!Y3*Main!$B$5)</f>
        <v>-16.147306342444622</v>
      </c>
    </row>
    <row r="4" spans="1:25" x14ac:dyDescent="0.3">
      <c r="A4">
        <v>3</v>
      </c>
      <c r="B4" s="2">
        <f>('[1]Qc, Summer, S3'!B4*Main!$B$5)</f>
        <v>12.906710792105914</v>
      </c>
      <c r="C4" s="2">
        <f>('[1]Qc, Summer, S3'!C4*Main!$B$5)</f>
        <v>9.8890414867414815</v>
      </c>
      <c r="D4" s="2">
        <f>('[1]Qc, Summer, S3'!D4*Main!$B$5)</f>
        <v>9.3713480706879135</v>
      </c>
      <c r="E4" s="2">
        <f>('[1]Qc, Summer, S3'!E4*Main!$B$5)</f>
        <v>8.1846909634178964</v>
      </c>
      <c r="F4" s="2">
        <f>('[1]Qc, Summer, S3'!F4*Main!$B$5)</f>
        <v>9.4221991765504498</v>
      </c>
      <c r="G4" s="2">
        <f>('[1]Qc, Summer, S3'!G4*Main!$B$5)</f>
        <v>4.3729886739539303</v>
      </c>
      <c r="H4" s="2">
        <f>('[1]Qc, Summer, S3'!H4*Main!$B$5)</f>
        <v>7.6298439512347045</v>
      </c>
      <c r="I4" s="2">
        <f>('[1]Qc, Summer, S3'!I4*Main!$B$5)</f>
        <v>14.661646636619983</v>
      </c>
      <c r="J4" s="2">
        <f>('[1]Qc, Summer, S3'!J4*Main!$B$5)</f>
        <v>21.328220142776427</v>
      </c>
      <c r="K4" s="2">
        <f>('[1]Qc, Summer, S3'!K4*Main!$B$5)</f>
        <v>25.34385766224047</v>
      </c>
      <c r="L4" s="2">
        <f>('[1]Qc, Summer, S3'!L4*Main!$B$5)</f>
        <v>27.66769144404142</v>
      </c>
      <c r="M4" s="2">
        <f>('[1]Qc, Summer, S3'!M4*Main!$B$5)</f>
        <v>28.67780838609168</v>
      </c>
      <c r="N4" s="2">
        <f>('[1]Qc, Summer, S3'!N4*Main!$B$5)</f>
        <v>29.966875177783795</v>
      </c>
      <c r="O4" s="2">
        <f>('[1]Qc, Summer, S3'!O4*Main!$B$5)</f>
        <v>30.19360253851244</v>
      </c>
      <c r="P4" s="2">
        <f>('[1]Qc, Summer, S3'!P4*Main!$B$5)</f>
        <v>29.979288957822007</v>
      </c>
      <c r="Q4" s="2">
        <f>('[1]Qc, Summer, S3'!Q4*Main!$B$5)</f>
        <v>28.981321332810943</v>
      </c>
      <c r="R4" s="2">
        <f>('[1]Qc, Summer, S3'!R4*Main!$B$5)</f>
        <v>27.580350629745659</v>
      </c>
      <c r="S4" s="2">
        <f>('[1]Qc, Summer, S3'!S4*Main!$B$5)</f>
        <v>24.47445571418103</v>
      </c>
      <c r="T4" s="2">
        <f>('[1]Qc, Summer, S3'!T4*Main!$B$5)</f>
        <v>24.361224012310227</v>
      </c>
      <c r="U4" s="2">
        <f>('[1]Qc, Summer, S3'!U4*Main!$B$5)</f>
        <v>23.174877739881875</v>
      </c>
      <c r="V4" s="2">
        <f>('[1]Qc, Summer, S3'!V4*Main!$B$5)</f>
        <v>20.889790487424744</v>
      </c>
      <c r="W4" s="2">
        <f>('[1]Qc, Summer, S3'!W4*Main!$B$5)</f>
        <v>25.042779214602827</v>
      </c>
      <c r="X4" s="2">
        <f>('[1]Qc, Summer, S3'!X4*Main!$B$5)</f>
        <v>22.439241708410673</v>
      </c>
      <c r="Y4" s="2">
        <f>('[1]Qc, Summer, S3'!Y4*Main!$B$5)</f>
        <v>18.058198313361029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B2D06-6809-4291-8C45-542A8D818016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-12.633674673922382</v>
      </c>
      <c r="C2" s="2">
        <f>('[1]Qc, Summer, S3'!C2*Main!$B$5)</f>
        <v>-16.425328369671956</v>
      </c>
      <c r="D2" s="2">
        <f>('[1]Qc, Summer, S3'!D2*Main!$B$5)</f>
        <v>-18.103881710609063</v>
      </c>
      <c r="E2" s="2">
        <f>('[1]Qc, Summer, S3'!E2*Main!$B$5)</f>
        <v>-16.520740535714978</v>
      </c>
      <c r="F2" s="2">
        <f>('[1]Qc, Summer, S3'!F2*Main!$B$5)</f>
        <v>-17.708011143153769</v>
      </c>
      <c r="G2" s="2">
        <f>('[1]Qc, Summer, S3'!G2*Main!$B$5)</f>
        <v>-18.116161523107465</v>
      </c>
      <c r="H2" s="2">
        <f>('[1]Qc, Summer, S3'!H2*Main!$B$5)</f>
        <v>-15.701101196390637</v>
      </c>
      <c r="I2" s="2">
        <f>('[1]Qc, Summer, S3'!I2*Main!$B$5)</f>
        <v>-2.4427385933212227</v>
      </c>
      <c r="J2" s="2">
        <f>('[1]Qc, Summer, S3'!J2*Main!$B$5)</f>
        <v>7.8410111388475299</v>
      </c>
      <c r="K2" s="2">
        <f>('[1]Qc, Summer, S3'!K2*Main!$B$5)</f>
        <v>11.414988104876288</v>
      </c>
      <c r="L2" s="2">
        <f>('[1]Qc, Summer, S3'!L2*Main!$B$5)</f>
        <v>8.973201175135971</v>
      </c>
      <c r="M2" s="2">
        <f>('[1]Qc, Summer, S3'!M2*Main!$B$5)</f>
        <v>11.952550341045912</v>
      </c>
      <c r="N2" s="2">
        <f>('[1]Qc, Summer, S3'!N2*Main!$B$5)</f>
        <v>10.606930728857034</v>
      </c>
      <c r="O2" s="2">
        <f>('[1]Qc, Summer, S3'!O2*Main!$B$5)</f>
        <v>10.926292531272846</v>
      </c>
      <c r="P2" s="2">
        <f>('[1]Qc, Summer, S3'!P2*Main!$B$5)</f>
        <v>5.6375659634917783</v>
      </c>
      <c r="Q2" s="2">
        <f>('[1]Qc, Summer, S3'!Q2*Main!$B$5)</f>
        <v>1.4252449184465115</v>
      </c>
      <c r="R2" s="2">
        <f>('[1]Qc, Summer, S3'!R2*Main!$B$5)</f>
        <v>3.1706020398300856</v>
      </c>
      <c r="S2" s="2">
        <f>('[1]Qc, Summer, S3'!S2*Main!$B$5)</f>
        <v>3.8511852416799668</v>
      </c>
      <c r="T2" s="2">
        <f>('[1]Qc, Summer, S3'!T2*Main!$B$5)</f>
        <v>2.320194074765455</v>
      </c>
      <c r="U2" s="2">
        <f>('[1]Qc, Summer, S3'!U2*Main!$B$5)</f>
        <v>-0.43282400826658002</v>
      </c>
      <c r="V2" s="2">
        <f>('[1]Qc, Summer, S3'!V2*Main!$B$5)</f>
        <v>-1.6896754021380127</v>
      </c>
      <c r="W2" s="2">
        <f>('[1]Qc, Summer, S3'!W2*Main!$B$5)</f>
        <v>-1.1755509542475677</v>
      </c>
      <c r="X2" s="2">
        <f>('[1]Qc, Summer, S3'!X2*Main!$B$5)</f>
        <v>-5.637639830653165</v>
      </c>
      <c r="Y2" s="2">
        <f>('[1]Qc, Summer, S3'!Y2*Main!$B$5)</f>
        <v>-7.6310045322685776</v>
      </c>
    </row>
    <row r="3" spans="1:25" x14ac:dyDescent="0.3">
      <c r="A3">
        <v>2</v>
      </c>
      <c r="B3" s="2">
        <f>('[1]Qc, Summer, S3'!B3*Main!$B$5)</f>
        <v>-15.988961887166216</v>
      </c>
      <c r="C3" s="2">
        <f>('[1]Qc, Summer, S3'!C3*Main!$B$5)</f>
        <v>-15.988961887166216</v>
      </c>
      <c r="D3" s="2">
        <f>('[1]Qc, Summer, S3'!D3*Main!$B$5)</f>
        <v>-18.562241832062462</v>
      </c>
      <c r="E3" s="2">
        <f>('[1]Qc, Summer, S3'!E3*Main!$B$5)</f>
        <v>-21.135521776958708</v>
      </c>
      <c r="F3" s="2">
        <f>('[1]Qc, Summer, S3'!F3*Main!$B$5)</f>
        <v>-21.135521776958708</v>
      </c>
      <c r="G3" s="2">
        <f>('[1]Qc, Summer, S3'!G3*Main!$B$5)</f>
        <v>-21.135521776958708</v>
      </c>
      <c r="H3" s="2">
        <f>('[1]Qc, Summer, S3'!H3*Main!$B$5)</f>
        <v>-8.4274835041292118</v>
      </c>
      <c r="I3" s="2">
        <f>('[1]Qc, Summer, S3'!I3*Main!$B$5)</f>
        <v>1.7468694302377246</v>
      </c>
      <c r="J3" s="2">
        <f>('[1]Qc, Summer, S3'!J3*Main!$B$5)</f>
        <v>5.547412300006215</v>
      </c>
      <c r="K3" s="2">
        <f>('[1]Qc, Summer, S3'!K3*Main!$B$5)</f>
        <v>5.547412300006215</v>
      </c>
      <c r="L3" s="2">
        <f>('[1]Qc, Summer, S3'!L3*Main!$B$5)</f>
        <v>5.0723364711005763</v>
      </c>
      <c r="M3" s="2">
        <f>('[1]Qc, Summer, S3'!M3*Main!$B$5)</f>
        <v>7.1309502046742148</v>
      </c>
      <c r="N3" s="2">
        <f>('[1]Qc, Summer, S3'!N3*Main!$B$5)</f>
        <v>9.664639767153492</v>
      </c>
      <c r="O3" s="2">
        <f>('[1]Qc, Summer, S3'!O3*Main!$B$5)</f>
        <v>9.9615675015388092</v>
      </c>
      <c r="P3" s="2">
        <f>('[1]Qc, Summer, S3'!P3*Main!$B$5)</f>
        <v>5.5869984138258157</v>
      </c>
      <c r="Q3" s="2">
        <f>('[1]Qc, Summer, S3'!Q3*Main!$B$5)</f>
        <v>4.3597354666632464</v>
      </c>
      <c r="R3" s="2">
        <f>('[1]Qc, Summer, S3'!R3*Main!$B$5)</f>
        <v>-0.70764370287595957</v>
      </c>
      <c r="S3" s="2">
        <f>('[1]Qc, Summer, S3'!S3*Main!$B$5)</f>
        <v>-0.70764370287595957</v>
      </c>
      <c r="T3" s="2">
        <f>('[1]Qc, Summer, S3'!T3*Main!$B$5)</f>
        <v>-0.70764370287595957</v>
      </c>
      <c r="U3" s="2">
        <f>('[1]Qc, Summer, S3'!U3*Main!$B$5)</f>
        <v>-0.70764370287595957</v>
      </c>
      <c r="V3" s="2">
        <f>('[1]Qc, Summer, S3'!V3*Main!$B$5)</f>
        <v>-4.5081908189514932</v>
      </c>
      <c r="W3" s="2">
        <f>('[1]Qc, Summer, S3'!W3*Main!$B$5)</f>
        <v>-5.7750398576433373</v>
      </c>
      <c r="X3" s="2">
        <f>('[1]Qc, Summer, S3'!X3*Main!$B$5)</f>
        <v>-16.147306342444622</v>
      </c>
      <c r="Y3" s="2">
        <f>('[1]Qc, Summer, S3'!Y3*Main!$B$5)</f>
        <v>-16.147306342444622</v>
      </c>
    </row>
    <row r="4" spans="1:25" x14ac:dyDescent="0.3">
      <c r="A4">
        <v>3</v>
      </c>
      <c r="B4" s="2">
        <f>('[1]Qc, Summer, S3'!B4*Main!$B$5)</f>
        <v>12.906710792105914</v>
      </c>
      <c r="C4" s="2">
        <f>('[1]Qc, Summer, S3'!C4*Main!$B$5)</f>
        <v>9.8890414867414815</v>
      </c>
      <c r="D4" s="2">
        <f>('[1]Qc, Summer, S3'!D4*Main!$B$5)</f>
        <v>9.3713480706879135</v>
      </c>
      <c r="E4" s="2">
        <f>('[1]Qc, Summer, S3'!E4*Main!$B$5)</f>
        <v>8.1846909634178964</v>
      </c>
      <c r="F4" s="2">
        <f>('[1]Qc, Summer, S3'!F4*Main!$B$5)</f>
        <v>9.4221991765504498</v>
      </c>
      <c r="G4" s="2">
        <f>('[1]Qc, Summer, S3'!G4*Main!$B$5)</f>
        <v>4.3729886739539303</v>
      </c>
      <c r="H4" s="2">
        <f>('[1]Qc, Summer, S3'!H4*Main!$B$5)</f>
        <v>7.6298439512347045</v>
      </c>
      <c r="I4" s="2">
        <f>('[1]Qc, Summer, S3'!I4*Main!$B$5)</f>
        <v>14.661646636619983</v>
      </c>
      <c r="J4" s="2">
        <f>('[1]Qc, Summer, S3'!J4*Main!$B$5)</f>
        <v>21.328220142776427</v>
      </c>
      <c r="K4" s="2">
        <f>('[1]Qc, Summer, S3'!K4*Main!$B$5)</f>
        <v>25.34385766224047</v>
      </c>
      <c r="L4" s="2">
        <f>('[1]Qc, Summer, S3'!L4*Main!$B$5)</f>
        <v>27.66769144404142</v>
      </c>
      <c r="M4" s="2">
        <f>('[1]Qc, Summer, S3'!M4*Main!$B$5)</f>
        <v>28.67780838609168</v>
      </c>
      <c r="N4" s="2">
        <f>('[1]Qc, Summer, S3'!N4*Main!$B$5)</f>
        <v>29.966875177783795</v>
      </c>
      <c r="O4" s="2">
        <f>('[1]Qc, Summer, S3'!O4*Main!$B$5)</f>
        <v>30.19360253851244</v>
      </c>
      <c r="P4" s="2">
        <f>('[1]Qc, Summer, S3'!P4*Main!$B$5)</f>
        <v>29.979288957822007</v>
      </c>
      <c r="Q4" s="2">
        <f>('[1]Qc, Summer, S3'!Q4*Main!$B$5)</f>
        <v>28.981321332810943</v>
      </c>
      <c r="R4" s="2">
        <f>('[1]Qc, Summer, S3'!R4*Main!$B$5)</f>
        <v>27.580350629745659</v>
      </c>
      <c r="S4" s="2">
        <f>('[1]Qc, Summer, S3'!S4*Main!$B$5)</f>
        <v>24.47445571418103</v>
      </c>
      <c r="T4" s="2">
        <f>('[1]Qc, Summer, S3'!T4*Main!$B$5)</f>
        <v>24.361224012310227</v>
      </c>
      <c r="U4" s="2">
        <f>('[1]Qc, Summer, S3'!U4*Main!$B$5)</f>
        <v>23.174877739881875</v>
      </c>
      <c r="V4" s="2">
        <f>('[1]Qc, Summer, S3'!V4*Main!$B$5)</f>
        <v>20.889790487424744</v>
      </c>
      <c r="W4" s="2">
        <f>('[1]Qc, Summer, S3'!W4*Main!$B$5)</f>
        <v>25.042779214602827</v>
      </c>
      <c r="X4" s="2">
        <f>('[1]Qc, Summer, S3'!X4*Main!$B$5)</f>
        <v>22.439241708410673</v>
      </c>
      <c r="Y4" s="2">
        <f>('[1]Qc, Summer, S3'!Y4*Main!$B$5)</f>
        <v>18.058198313361029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C8CBD-8163-4197-999D-14E463C9318C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-12.633674673922382</v>
      </c>
      <c r="C2" s="2">
        <f>('[1]Qc, Summer, S3'!C2*Main!$B$5)</f>
        <v>-16.425328369671956</v>
      </c>
      <c r="D2" s="2">
        <f>('[1]Qc, Summer, S3'!D2*Main!$B$5)</f>
        <v>-18.103881710609063</v>
      </c>
      <c r="E2" s="2">
        <f>('[1]Qc, Summer, S3'!E2*Main!$B$5)</f>
        <v>-16.520740535714978</v>
      </c>
      <c r="F2" s="2">
        <f>('[1]Qc, Summer, S3'!F2*Main!$B$5)</f>
        <v>-17.708011143153769</v>
      </c>
      <c r="G2" s="2">
        <f>('[1]Qc, Summer, S3'!G2*Main!$B$5)</f>
        <v>-18.116161523107465</v>
      </c>
      <c r="H2" s="2">
        <f>('[1]Qc, Summer, S3'!H2*Main!$B$5)</f>
        <v>-15.701101196390637</v>
      </c>
      <c r="I2" s="2">
        <f>('[1]Qc, Summer, S3'!I2*Main!$B$5)</f>
        <v>-2.4427385933212227</v>
      </c>
      <c r="J2" s="2">
        <f>('[1]Qc, Summer, S3'!J2*Main!$B$5)</f>
        <v>7.8410111388475299</v>
      </c>
      <c r="K2" s="2">
        <f>('[1]Qc, Summer, S3'!K2*Main!$B$5)</f>
        <v>11.414988104876288</v>
      </c>
      <c r="L2" s="2">
        <f>('[1]Qc, Summer, S3'!L2*Main!$B$5)</f>
        <v>8.973201175135971</v>
      </c>
      <c r="M2" s="2">
        <f>('[1]Qc, Summer, S3'!M2*Main!$B$5)</f>
        <v>11.952550341045912</v>
      </c>
      <c r="N2" s="2">
        <f>('[1]Qc, Summer, S3'!N2*Main!$B$5)</f>
        <v>10.606930728857034</v>
      </c>
      <c r="O2" s="2">
        <f>('[1]Qc, Summer, S3'!O2*Main!$B$5)</f>
        <v>10.926292531272846</v>
      </c>
      <c r="P2" s="2">
        <f>('[1]Qc, Summer, S3'!P2*Main!$B$5)</f>
        <v>5.6375659634917783</v>
      </c>
      <c r="Q2" s="2">
        <f>('[1]Qc, Summer, S3'!Q2*Main!$B$5)</f>
        <v>1.4252449184465115</v>
      </c>
      <c r="R2" s="2">
        <f>('[1]Qc, Summer, S3'!R2*Main!$B$5)</f>
        <v>3.1706020398300856</v>
      </c>
      <c r="S2" s="2">
        <f>('[1]Qc, Summer, S3'!S2*Main!$B$5)</f>
        <v>3.8511852416799668</v>
      </c>
      <c r="T2" s="2">
        <f>('[1]Qc, Summer, S3'!T2*Main!$B$5)</f>
        <v>2.320194074765455</v>
      </c>
      <c r="U2" s="2">
        <f>('[1]Qc, Summer, S3'!U2*Main!$B$5)</f>
        <v>-0.43282400826658002</v>
      </c>
      <c r="V2" s="2">
        <f>('[1]Qc, Summer, S3'!V2*Main!$B$5)</f>
        <v>-1.6896754021380127</v>
      </c>
      <c r="W2" s="2">
        <f>('[1]Qc, Summer, S3'!W2*Main!$B$5)</f>
        <v>-1.1755509542475677</v>
      </c>
      <c r="X2" s="2">
        <f>('[1]Qc, Summer, S3'!X2*Main!$B$5)</f>
        <v>-5.637639830653165</v>
      </c>
      <c r="Y2" s="2">
        <f>('[1]Qc, Summer, S3'!Y2*Main!$B$5)</f>
        <v>-7.6310045322685776</v>
      </c>
    </row>
    <row r="3" spans="1:25" x14ac:dyDescent="0.3">
      <c r="A3">
        <v>2</v>
      </c>
      <c r="B3" s="2">
        <f>('[1]Qc, Summer, S3'!B3*Main!$B$5)</f>
        <v>-15.988961887166216</v>
      </c>
      <c r="C3" s="2">
        <f>('[1]Qc, Summer, S3'!C3*Main!$B$5)</f>
        <v>-15.988961887166216</v>
      </c>
      <c r="D3" s="2">
        <f>('[1]Qc, Summer, S3'!D3*Main!$B$5)</f>
        <v>-18.562241832062462</v>
      </c>
      <c r="E3" s="2">
        <f>('[1]Qc, Summer, S3'!E3*Main!$B$5)</f>
        <v>-21.135521776958708</v>
      </c>
      <c r="F3" s="2">
        <f>('[1]Qc, Summer, S3'!F3*Main!$B$5)</f>
        <v>-21.135521776958708</v>
      </c>
      <c r="G3" s="2">
        <f>('[1]Qc, Summer, S3'!G3*Main!$B$5)</f>
        <v>-21.135521776958708</v>
      </c>
      <c r="H3" s="2">
        <f>('[1]Qc, Summer, S3'!H3*Main!$B$5)</f>
        <v>-8.4274835041292118</v>
      </c>
      <c r="I3" s="2">
        <f>('[1]Qc, Summer, S3'!I3*Main!$B$5)</f>
        <v>1.7468694302377246</v>
      </c>
      <c r="J3" s="2">
        <f>('[1]Qc, Summer, S3'!J3*Main!$B$5)</f>
        <v>5.547412300006215</v>
      </c>
      <c r="K3" s="2">
        <f>('[1]Qc, Summer, S3'!K3*Main!$B$5)</f>
        <v>5.547412300006215</v>
      </c>
      <c r="L3" s="2">
        <f>('[1]Qc, Summer, S3'!L3*Main!$B$5)</f>
        <v>5.0723364711005763</v>
      </c>
      <c r="M3" s="2">
        <f>('[1]Qc, Summer, S3'!M3*Main!$B$5)</f>
        <v>7.1309502046742148</v>
      </c>
      <c r="N3" s="2">
        <f>('[1]Qc, Summer, S3'!N3*Main!$B$5)</f>
        <v>9.664639767153492</v>
      </c>
      <c r="O3" s="2">
        <f>('[1]Qc, Summer, S3'!O3*Main!$B$5)</f>
        <v>9.9615675015388092</v>
      </c>
      <c r="P3" s="2">
        <f>('[1]Qc, Summer, S3'!P3*Main!$B$5)</f>
        <v>5.5869984138258157</v>
      </c>
      <c r="Q3" s="2">
        <f>('[1]Qc, Summer, S3'!Q3*Main!$B$5)</f>
        <v>4.3597354666632464</v>
      </c>
      <c r="R3" s="2">
        <f>('[1]Qc, Summer, S3'!R3*Main!$B$5)</f>
        <v>-0.70764370287595957</v>
      </c>
      <c r="S3" s="2">
        <f>('[1]Qc, Summer, S3'!S3*Main!$B$5)</f>
        <v>-0.70764370287595957</v>
      </c>
      <c r="T3" s="2">
        <f>('[1]Qc, Summer, S3'!T3*Main!$B$5)</f>
        <v>-0.70764370287595957</v>
      </c>
      <c r="U3" s="2">
        <f>('[1]Qc, Summer, S3'!U3*Main!$B$5)</f>
        <v>-0.70764370287595957</v>
      </c>
      <c r="V3" s="2">
        <f>('[1]Qc, Summer, S3'!V3*Main!$B$5)</f>
        <v>-4.5081908189514932</v>
      </c>
      <c r="W3" s="2">
        <f>('[1]Qc, Summer, S3'!W3*Main!$B$5)</f>
        <v>-5.7750398576433373</v>
      </c>
      <c r="X3" s="2">
        <f>('[1]Qc, Summer, S3'!X3*Main!$B$5)</f>
        <v>-16.147306342444622</v>
      </c>
      <c r="Y3" s="2">
        <f>('[1]Qc, Summer, S3'!Y3*Main!$B$5)</f>
        <v>-16.147306342444622</v>
      </c>
    </row>
    <row r="4" spans="1:25" x14ac:dyDescent="0.3">
      <c r="A4">
        <v>3</v>
      </c>
      <c r="B4" s="2">
        <f>('[1]Qc, Summer, S3'!B4*Main!$B$5)</f>
        <v>12.906710792105914</v>
      </c>
      <c r="C4" s="2">
        <f>('[1]Qc, Summer, S3'!C4*Main!$B$5)</f>
        <v>9.8890414867414815</v>
      </c>
      <c r="D4" s="2">
        <f>('[1]Qc, Summer, S3'!D4*Main!$B$5)</f>
        <v>9.3713480706879135</v>
      </c>
      <c r="E4" s="2">
        <f>('[1]Qc, Summer, S3'!E4*Main!$B$5)</f>
        <v>8.1846909634178964</v>
      </c>
      <c r="F4" s="2">
        <f>('[1]Qc, Summer, S3'!F4*Main!$B$5)</f>
        <v>9.4221991765504498</v>
      </c>
      <c r="G4" s="2">
        <f>('[1]Qc, Summer, S3'!G4*Main!$B$5)</f>
        <v>4.3729886739539303</v>
      </c>
      <c r="H4" s="2">
        <f>('[1]Qc, Summer, S3'!H4*Main!$B$5)</f>
        <v>7.6298439512347045</v>
      </c>
      <c r="I4" s="2">
        <f>('[1]Qc, Summer, S3'!I4*Main!$B$5)</f>
        <v>14.661646636619983</v>
      </c>
      <c r="J4" s="2">
        <f>('[1]Qc, Summer, S3'!J4*Main!$B$5)</f>
        <v>21.328220142776427</v>
      </c>
      <c r="K4" s="2">
        <f>('[1]Qc, Summer, S3'!K4*Main!$B$5)</f>
        <v>25.34385766224047</v>
      </c>
      <c r="L4" s="2">
        <f>('[1]Qc, Summer, S3'!L4*Main!$B$5)</f>
        <v>27.66769144404142</v>
      </c>
      <c r="M4" s="2">
        <f>('[1]Qc, Summer, S3'!M4*Main!$B$5)</f>
        <v>28.67780838609168</v>
      </c>
      <c r="N4" s="2">
        <f>('[1]Qc, Summer, S3'!N4*Main!$B$5)</f>
        <v>29.966875177783795</v>
      </c>
      <c r="O4" s="2">
        <f>('[1]Qc, Summer, S3'!O4*Main!$B$5)</f>
        <v>30.19360253851244</v>
      </c>
      <c r="P4" s="2">
        <f>('[1]Qc, Summer, S3'!P4*Main!$B$5)</f>
        <v>29.979288957822007</v>
      </c>
      <c r="Q4" s="2">
        <f>('[1]Qc, Summer, S3'!Q4*Main!$B$5)</f>
        <v>28.981321332810943</v>
      </c>
      <c r="R4" s="2">
        <f>('[1]Qc, Summer, S3'!R4*Main!$B$5)</f>
        <v>27.580350629745659</v>
      </c>
      <c r="S4" s="2">
        <f>('[1]Qc, Summer, S3'!S4*Main!$B$5)</f>
        <v>24.47445571418103</v>
      </c>
      <c r="T4" s="2">
        <f>('[1]Qc, Summer, S3'!T4*Main!$B$5)</f>
        <v>24.361224012310227</v>
      </c>
      <c r="U4" s="2">
        <f>('[1]Qc, Summer, S3'!U4*Main!$B$5)</f>
        <v>23.174877739881875</v>
      </c>
      <c r="V4" s="2">
        <f>('[1]Qc, Summer, S3'!V4*Main!$B$5)</f>
        <v>20.889790487424744</v>
      </c>
      <c r="W4" s="2">
        <f>('[1]Qc, Summer, S3'!W4*Main!$B$5)</f>
        <v>25.042779214602827</v>
      </c>
      <c r="X4" s="2">
        <f>('[1]Qc, Summer, S3'!X4*Main!$B$5)</f>
        <v>22.439241708410673</v>
      </c>
      <c r="Y4" s="2">
        <f>('[1]Qc, Summer, S3'!Y4*Main!$B$5)</f>
        <v>18.058198313361029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DF70F-3329-4929-BF5C-6E86340FED71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3.2344043626809196</v>
      </c>
      <c r="C2" s="2">
        <f>('FL Characterization'!C$4-'FL Characterization'!C$2)*VLOOKUP($A2,'FL Ratio'!$A$2:$B$21,2,FALSE)</f>
        <v>3.5606687359016611</v>
      </c>
      <c r="D2" s="2">
        <f>('FL Characterization'!D$4-'FL Characterization'!D$2)*VLOOKUP($A2,'FL Ratio'!$A$2:$B$21,2,FALSE)</f>
        <v>4.6345485827720134</v>
      </c>
      <c r="E2" s="2">
        <f>('FL Characterization'!E$4-'FL Characterization'!E$2)*VLOOKUP($A2,'FL Ratio'!$A$2:$B$21,2,FALSE)</f>
        <v>5.3133235949431068</v>
      </c>
      <c r="F2" s="2">
        <f>('FL Characterization'!F$4-'FL Characterization'!F$2)*VLOOKUP($A2,'FL Ratio'!$A$2:$B$21,2,FALSE)</f>
        <v>6.2472606819633381</v>
      </c>
      <c r="G2" s="2">
        <f>('FL Characterization'!G$4-'FL Characterization'!G$2)*VLOOKUP($A2,'FL Ratio'!$A$2:$B$21,2,FALSE)</f>
        <v>7.302597945195366</v>
      </c>
      <c r="H2" s="2">
        <f>('FL Characterization'!H$4-'FL Characterization'!H$2)*VLOOKUP($A2,'FL Ratio'!$A$2:$B$21,2,FALSE)</f>
        <v>6.5096113671360332</v>
      </c>
      <c r="I2" s="2">
        <f>('FL Characterization'!I$4-'FL Characterization'!I$2)*VLOOKUP($A2,'FL Ratio'!$A$2:$B$21,2,FALSE)</f>
        <v>9.3062047272453654</v>
      </c>
      <c r="J2" s="2">
        <f>('FL Characterization'!J$4-'FL Characterization'!J$2)*VLOOKUP($A2,'FL Ratio'!$A$2:$B$21,2,FALSE)</f>
        <v>8.5374041278447166</v>
      </c>
      <c r="K2" s="2">
        <f>('FL Characterization'!K$4-'FL Characterization'!K$2)*VLOOKUP($A2,'FL Ratio'!$A$2:$B$21,2,FALSE)</f>
        <v>9.6425018027245208</v>
      </c>
      <c r="L2" s="2">
        <f>('FL Characterization'!L$4-'FL Characterization'!L$2)*VLOOKUP($A2,'FL Ratio'!$A$2:$B$21,2,FALSE)</f>
        <v>9.9099136278757936</v>
      </c>
      <c r="M2" s="2">
        <f>('FL Characterization'!M$4-'FL Characterization'!M$2)*VLOOKUP($A2,'FL Ratio'!$A$2:$B$21,2,FALSE)</f>
        <v>9.1922618944533312</v>
      </c>
      <c r="N2" s="2">
        <f>('FL Characterization'!N$4-'FL Characterization'!N$2)*VLOOKUP($A2,'FL Ratio'!$A$2:$B$21,2,FALSE)</f>
        <v>8.671569126126375</v>
      </c>
      <c r="O2" s="2">
        <f>('FL Characterization'!O$4-'FL Characterization'!O$2)*VLOOKUP($A2,'FL Ratio'!$A$2:$B$21,2,FALSE)</f>
        <v>7.983433244437383</v>
      </c>
      <c r="P2" s="2">
        <f>('FL Characterization'!P$4-'FL Characterization'!P$2)*VLOOKUP($A2,'FL Ratio'!$A$2:$B$21,2,FALSE)</f>
        <v>7.3536124446254449</v>
      </c>
      <c r="Q2" s="2">
        <f>('FL Characterization'!Q$4-'FL Characterization'!Q$2)*VLOOKUP($A2,'FL Ratio'!$A$2:$B$21,2,FALSE)</f>
        <v>6.6181571435792286</v>
      </c>
      <c r="R2" s="2">
        <f>('FL Characterization'!R$4-'FL Characterization'!R$2)*VLOOKUP($A2,'FL Ratio'!$A$2:$B$21,2,FALSE)</f>
        <v>6.5492718932513405</v>
      </c>
      <c r="S2" s="2">
        <f>('FL Characterization'!S$4-'FL Characterization'!S$2)*VLOOKUP($A2,'FL Ratio'!$A$2:$B$21,2,FALSE)</f>
        <v>5.1890569323717637</v>
      </c>
      <c r="T2" s="2">
        <f>('FL Characterization'!T$4-'FL Characterization'!T$2)*VLOOKUP($A2,'FL Ratio'!$A$2:$B$21,2,FALSE)</f>
        <v>4.2933247338623817</v>
      </c>
      <c r="U2" s="2">
        <f>('FL Characterization'!U$4-'FL Characterization'!U$2)*VLOOKUP($A2,'FL Ratio'!$A$2:$B$21,2,FALSE)</f>
        <v>5.0945972490547842</v>
      </c>
      <c r="V2" s="2">
        <f>('FL Characterization'!V$4-'FL Characterization'!V$2)*VLOOKUP($A2,'FL Ratio'!$A$2:$B$21,2,FALSE)</f>
        <v>5.1908932751958492</v>
      </c>
      <c r="W2" s="2">
        <f>('FL Characterization'!W$4-'FL Characterization'!W$2)*VLOOKUP($A2,'FL Ratio'!$A$2:$B$21,2,FALSE)</f>
        <v>5.9321487322352144</v>
      </c>
      <c r="X2" s="2">
        <f>('FL Characterization'!X$4-'FL Characterization'!X$2)*VLOOKUP($A2,'FL Ratio'!$A$2:$B$21,2,FALSE)</f>
        <v>2.8803709028520581</v>
      </c>
      <c r="Y2" s="2">
        <f>('FL Characterization'!Y$4-'FL Characterization'!Y$2)*VLOOKUP($A2,'FL Ratio'!$A$2:$B$21,2,FALSE)</f>
        <v>2.7654875042232989</v>
      </c>
    </row>
    <row r="3" spans="1:25" x14ac:dyDescent="0.3">
      <c r="A3">
        <v>2</v>
      </c>
      <c r="B3" s="2">
        <f>('FL Characterization'!B$4-'FL Characterization'!B$2)*VLOOKUP($A3,'FL Ratio'!$A$2:$B$21,2,FALSE)</f>
        <v>3.2344043626809196</v>
      </c>
      <c r="C3" s="2">
        <f>('FL Characterization'!C$4-'FL Characterization'!C$2)*VLOOKUP($A3,'FL Ratio'!$A$2:$B$21,2,FALSE)</f>
        <v>3.5606687359016611</v>
      </c>
      <c r="D3" s="2">
        <f>('FL Characterization'!D$4-'FL Characterization'!D$2)*VLOOKUP($A3,'FL Ratio'!$A$2:$B$21,2,FALSE)</f>
        <v>4.6345485827720134</v>
      </c>
      <c r="E3" s="2">
        <f>('FL Characterization'!E$4-'FL Characterization'!E$2)*VLOOKUP($A3,'FL Ratio'!$A$2:$B$21,2,FALSE)</f>
        <v>5.3133235949431068</v>
      </c>
      <c r="F3" s="2">
        <f>('FL Characterization'!F$4-'FL Characterization'!F$2)*VLOOKUP($A3,'FL Ratio'!$A$2:$B$21,2,FALSE)</f>
        <v>6.2472606819633381</v>
      </c>
      <c r="G3" s="2">
        <f>('FL Characterization'!G$4-'FL Characterization'!G$2)*VLOOKUP($A3,'FL Ratio'!$A$2:$B$21,2,FALSE)</f>
        <v>7.302597945195366</v>
      </c>
      <c r="H3" s="2">
        <f>('FL Characterization'!H$4-'FL Characterization'!H$2)*VLOOKUP($A3,'FL Ratio'!$A$2:$B$21,2,FALSE)</f>
        <v>6.5096113671360332</v>
      </c>
      <c r="I3" s="2">
        <f>('FL Characterization'!I$4-'FL Characterization'!I$2)*VLOOKUP($A3,'FL Ratio'!$A$2:$B$21,2,FALSE)</f>
        <v>9.3062047272453654</v>
      </c>
      <c r="J3" s="2">
        <f>('FL Characterization'!J$4-'FL Characterization'!J$2)*VLOOKUP($A3,'FL Ratio'!$A$2:$B$21,2,FALSE)</f>
        <v>8.5374041278447166</v>
      </c>
      <c r="K3" s="2">
        <f>('FL Characterization'!K$4-'FL Characterization'!K$2)*VLOOKUP($A3,'FL Ratio'!$A$2:$B$21,2,FALSE)</f>
        <v>9.6425018027245208</v>
      </c>
      <c r="L3" s="2">
        <f>('FL Characterization'!L$4-'FL Characterization'!L$2)*VLOOKUP($A3,'FL Ratio'!$A$2:$B$21,2,FALSE)</f>
        <v>9.9099136278757936</v>
      </c>
      <c r="M3" s="2">
        <f>('FL Characterization'!M$4-'FL Characterization'!M$2)*VLOOKUP($A3,'FL Ratio'!$A$2:$B$21,2,FALSE)</f>
        <v>9.1922618944533312</v>
      </c>
      <c r="N3" s="2">
        <f>('FL Characterization'!N$4-'FL Characterization'!N$2)*VLOOKUP($A3,'FL Ratio'!$A$2:$B$21,2,FALSE)</f>
        <v>8.671569126126375</v>
      </c>
      <c r="O3" s="2">
        <f>('FL Characterization'!O$4-'FL Characterization'!O$2)*VLOOKUP($A3,'FL Ratio'!$A$2:$B$21,2,FALSE)</f>
        <v>7.983433244437383</v>
      </c>
      <c r="P3" s="2">
        <f>('FL Characterization'!P$4-'FL Characterization'!P$2)*VLOOKUP($A3,'FL Ratio'!$A$2:$B$21,2,FALSE)</f>
        <v>7.3536124446254449</v>
      </c>
      <c r="Q3" s="2">
        <f>('FL Characterization'!Q$4-'FL Characterization'!Q$2)*VLOOKUP($A3,'FL Ratio'!$A$2:$B$21,2,FALSE)</f>
        <v>6.6181571435792286</v>
      </c>
      <c r="R3" s="2">
        <f>('FL Characterization'!R$4-'FL Characterization'!R$2)*VLOOKUP($A3,'FL Ratio'!$A$2:$B$21,2,FALSE)</f>
        <v>6.5492718932513405</v>
      </c>
      <c r="S3" s="2">
        <f>('FL Characterization'!S$4-'FL Characterization'!S$2)*VLOOKUP($A3,'FL Ratio'!$A$2:$B$21,2,FALSE)</f>
        <v>5.1890569323717637</v>
      </c>
      <c r="T3" s="2">
        <f>('FL Characterization'!T$4-'FL Characterization'!T$2)*VLOOKUP($A3,'FL Ratio'!$A$2:$B$21,2,FALSE)</f>
        <v>4.2933247338623817</v>
      </c>
      <c r="U3" s="2">
        <f>('FL Characterization'!U$4-'FL Characterization'!U$2)*VLOOKUP($A3,'FL Ratio'!$A$2:$B$21,2,FALSE)</f>
        <v>5.0945972490547842</v>
      </c>
      <c r="V3" s="2">
        <f>('FL Characterization'!V$4-'FL Characterization'!V$2)*VLOOKUP($A3,'FL Ratio'!$A$2:$B$21,2,FALSE)</f>
        <v>5.1908932751958492</v>
      </c>
      <c r="W3" s="2">
        <f>('FL Characterization'!W$4-'FL Characterization'!W$2)*VLOOKUP($A3,'FL Ratio'!$A$2:$B$21,2,FALSE)</f>
        <v>5.9321487322352144</v>
      </c>
      <c r="X3" s="2">
        <f>('FL Characterization'!X$4-'FL Characterization'!X$2)*VLOOKUP($A3,'FL Ratio'!$A$2:$B$21,2,FALSE)</f>
        <v>2.8803709028520581</v>
      </c>
      <c r="Y3" s="2">
        <f>('FL Characterization'!Y$4-'FL Characterization'!Y$2)*VLOOKUP($A3,'FL Ratio'!$A$2:$B$21,2,FALSE)</f>
        <v>2.7654875042232989</v>
      </c>
    </row>
    <row r="4" spans="1:25" x14ac:dyDescent="0.3">
      <c r="A4">
        <v>3</v>
      </c>
      <c r="B4" s="2">
        <f>('FL Characterization'!B$4-'FL Characterization'!B$2)*VLOOKUP($A4,'FL Ratio'!$A$2:$B$21,2,FALSE)</f>
        <v>3.2344043626809196</v>
      </c>
      <c r="C4" s="2">
        <f>('FL Characterization'!C$4-'FL Characterization'!C$2)*VLOOKUP($A4,'FL Ratio'!$A$2:$B$21,2,FALSE)</f>
        <v>3.5606687359016611</v>
      </c>
      <c r="D4" s="2">
        <f>('FL Characterization'!D$4-'FL Characterization'!D$2)*VLOOKUP($A4,'FL Ratio'!$A$2:$B$21,2,FALSE)</f>
        <v>4.6345485827720134</v>
      </c>
      <c r="E4" s="2">
        <f>('FL Characterization'!E$4-'FL Characterization'!E$2)*VLOOKUP($A4,'FL Ratio'!$A$2:$B$21,2,FALSE)</f>
        <v>5.3133235949431068</v>
      </c>
      <c r="F4" s="2">
        <f>('FL Characterization'!F$4-'FL Characterization'!F$2)*VLOOKUP($A4,'FL Ratio'!$A$2:$B$21,2,FALSE)</f>
        <v>6.2472606819633381</v>
      </c>
      <c r="G4" s="2">
        <f>('FL Characterization'!G$4-'FL Characterization'!G$2)*VLOOKUP($A4,'FL Ratio'!$A$2:$B$21,2,FALSE)</f>
        <v>7.302597945195366</v>
      </c>
      <c r="H4" s="2">
        <f>('FL Characterization'!H$4-'FL Characterization'!H$2)*VLOOKUP($A4,'FL Ratio'!$A$2:$B$21,2,FALSE)</f>
        <v>6.5096113671360332</v>
      </c>
      <c r="I4" s="2">
        <f>('FL Characterization'!I$4-'FL Characterization'!I$2)*VLOOKUP($A4,'FL Ratio'!$A$2:$B$21,2,FALSE)</f>
        <v>9.3062047272453654</v>
      </c>
      <c r="J4" s="2">
        <f>('FL Characterization'!J$4-'FL Characterization'!J$2)*VLOOKUP($A4,'FL Ratio'!$A$2:$B$21,2,FALSE)</f>
        <v>8.5374041278447166</v>
      </c>
      <c r="K4" s="2">
        <f>('FL Characterization'!K$4-'FL Characterization'!K$2)*VLOOKUP($A4,'FL Ratio'!$A$2:$B$21,2,FALSE)</f>
        <v>9.6425018027245208</v>
      </c>
      <c r="L4" s="2">
        <f>('FL Characterization'!L$4-'FL Characterization'!L$2)*VLOOKUP($A4,'FL Ratio'!$A$2:$B$21,2,FALSE)</f>
        <v>9.9099136278757936</v>
      </c>
      <c r="M4" s="2">
        <f>('FL Characterization'!M$4-'FL Characterization'!M$2)*VLOOKUP($A4,'FL Ratio'!$A$2:$B$21,2,FALSE)</f>
        <v>9.1922618944533312</v>
      </c>
      <c r="N4" s="2">
        <f>('FL Characterization'!N$4-'FL Characterization'!N$2)*VLOOKUP($A4,'FL Ratio'!$A$2:$B$21,2,FALSE)</f>
        <v>8.671569126126375</v>
      </c>
      <c r="O4" s="2">
        <f>('FL Characterization'!O$4-'FL Characterization'!O$2)*VLOOKUP($A4,'FL Ratio'!$A$2:$B$21,2,FALSE)</f>
        <v>7.983433244437383</v>
      </c>
      <c r="P4" s="2">
        <f>('FL Characterization'!P$4-'FL Characterization'!P$2)*VLOOKUP($A4,'FL Ratio'!$A$2:$B$21,2,FALSE)</f>
        <v>7.3536124446254449</v>
      </c>
      <c r="Q4" s="2">
        <f>('FL Characterization'!Q$4-'FL Characterization'!Q$2)*VLOOKUP($A4,'FL Ratio'!$A$2:$B$21,2,FALSE)</f>
        <v>6.6181571435792286</v>
      </c>
      <c r="R4" s="2">
        <f>('FL Characterization'!R$4-'FL Characterization'!R$2)*VLOOKUP($A4,'FL Ratio'!$A$2:$B$21,2,FALSE)</f>
        <v>6.5492718932513405</v>
      </c>
      <c r="S4" s="2">
        <f>('FL Characterization'!S$4-'FL Characterization'!S$2)*VLOOKUP($A4,'FL Ratio'!$A$2:$B$21,2,FALSE)</f>
        <v>5.1890569323717637</v>
      </c>
      <c r="T4" s="2">
        <f>('FL Characterization'!T$4-'FL Characterization'!T$2)*VLOOKUP($A4,'FL Ratio'!$A$2:$B$21,2,FALSE)</f>
        <v>4.2933247338623817</v>
      </c>
      <c r="U4" s="2">
        <f>('FL Characterization'!U$4-'FL Characterization'!U$2)*VLOOKUP($A4,'FL Ratio'!$A$2:$B$21,2,FALSE)</f>
        <v>5.0945972490547842</v>
      </c>
      <c r="V4" s="2">
        <f>('FL Characterization'!V$4-'FL Characterization'!V$2)*VLOOKUP($A4,'FL Ratio'!$A$2:$B$21,2,FALSE)</f>
        <v>5.1908932751958492</v>
      </c>
      <c r="W4" s="2">
        <f>('FL Characterization'!W$4-'FL Characterization'!W$2)*VLOOKUP($A4,'FL Ratio'!$A$2:$B$21,2,FALSE)</f>
        <v>5.9321487322352144</v>
      </c>
      <c r="X4" s="2">
        <f>('FL Characterization'!X$4-'FL Characterization'!X$2)*VLOOKUP($A4,'FL Ratio'!$A$2:$B$21,2,FALSE)</f>
        <v>2.8803709028520581</v>
      </c>
      <c r="Y4" s="2">
        <f>('FL Characterization'!Y$4-'FL Characterization'!Y$2)*VLOOKUP($A4,'FL Ratio'!$A$2:$B$21,2,FALSE)</f>
        <v>2.7654875042232989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6F068-EA6B-4E04-A0B4-69DFD4212DC7}">
  <dimension ref="A1:Y4"/>
  <sheetViews>
    <sheetView workbookViewId="0">
      <selection activeCell="Y4" sqref="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8.9669515877079213</v>
      </c>
      <c r="C2" s="2">
        <f>('FL Characterization'!C$2-'FL Characterization'!C$3)*VLOOKUP($A2,'FL Ratio'!$A$2:$B$21,2,FALSE)</f>
        <v>9.4896374598317514</v>
      </c>
      <c r="D2" s="2">
        <f>('FL Characterization'!D$2-'FL Characterization'!D$3)*VLOOKUP($A2,'FL Ratio'!$A$2:$B$21,2,FALSE)</f>
        <v>10.020833213335489</v>
      </c>
      <c r="E2" s="2">
        <f>('FL Characterization'!E$2-'FL Characterization'!E$3)*VLOOKUP($A2,'FL Ratio'!$A$2:$B$21,2,FALSE)</f>
        <v>10.476335811407413</v>
      </c>
      <c r="F2" s="2">
        <f>('FL Characterization'!F$2-'FL Characterization'!F$3)*VLOOKUP($A2,'FL Ratio'!$A$2:$B$21,2,FALSE)</f>
        <v>10.595250206479289</v>
      </c>
      <c r="G2" s="2">
        <f>('FL Characterization'!G$2-'FL Characterization'!G$3)*VLOOKUP($A2,'FL Ratio'!$A$2:$B$21,2,FALSE)</f>
        <v>11.083224720342965</v>
      </c>
      <c r="H2" s="2">
        <f>('FL Characterization'!H$2-'FL Characterization'!H$3)*VLOOKUP($A2,'FL Ratio'!$A$2:$B$21,2,FALSE)</f>
        <v>11.026566825892527</v>
      </c>
      <c r="I2" s="2">
        <f>('FL Characterization'!I$2-'FL Characterization'!I$3)*VLOOKUP($A2,'FL Ratio'!$A$2:$B$21,2,FALSE)</f>
        <v>10.422678769864625</v>
      </c>
      <c r="J2" s="2">
        <f>('FL Characterization'!J$2-'FL Characterization'!J$3)*VLOOKUP($A2,'FL Ratio'!$A$2:$B$21,2,FALSE)</f>
        <v>9.4433705784346724</v>
      </c>
      <c r="K2" s="2">
        <f>('FL Characterization'!K$2-'FL Characterization'!K$3)*VLOOKUP($A2,'FL Ratio'!$A$2:$B$21,2,FALSE)</f>
        <v>13.867321991478644</v>
      </c>
      <c r="L2" s="2">
        <f>('FL Characterization'!L$2-'FL Characterization'!L$3)*VLOOKUP($A2,'FL Ratio'!$A$2:$B$21,2,FALSE)</f>
        <v>13.541998184094632</v>
      </c>
      <c r="M2" s="2">
        <f>('FL Characterization'!M$2-'FL Characterization'!M$3)*VLOOKUP($A2,'FL Ratio'!$A$2:$B$21,2,FALSE)</f>
        <v>12.469753130226206</v>
      </c>
      <c r="N2" s="2">
        <f>('FL Characterization'!N$2-'FL Characterization'!N$3)*VLOOKUP($A2,'FL Ratio'!$A$2:$B$21,2,FALSE)</f>
        <v>12.166756564252111</v>
      </c>
      <c r="O2" s="2">
        <f>('FL Characterization'!O$2-'FL Characterization'!O$3)*VLOOKUP($A2,'FL Ratio'!$A$2:$B$21,2,FALSE)</f>
        <v>12.216763314571413</v>
      </c>
      <c r="P2" s="2">
        <f>('FL Characterization'!P$2-'FL Characterization'!P$3)*VLOOKUP($A2,'FL Ratio'!$A$2:$B$21,2,FALSE)</f>
        <v>11.637979408614239</v>
      </c>
      <c r="Q2" s="2">
        <f>('FL Characterization'!Q$2-'FL Characterization'!Q$3)*VLOOKUP($A2,'FL Ratio'!$A$2:$B$21,2,FALSE)</f>
        <v>10.667942509003449</v>
      </c>
      <c r="R2" s="2">
        <f>('FL Characterization'!R$2-'FL Characterization'!R$3)*VLOOKUP($A2,'FL Ratio'!$A$2:$B$21,2,FALSE)</f>
        <v>9.5875906733994327</v>
      </c>
      <c r="S2" s="2">
        <f>('FL Characterization'!S$2-'FL Characterization'!S$3)*VLOOKUP($A2,'FL Ratio'!$A$2:$B$21,2,FALSE)</f>
        <v>9.2436570991030393</v>
      </c>
      <c r="T2" s="2">
        <f>('FL Characterization'!T$2-'FL Characterization'!T$3)*VLOOKUP($A2,'FL Ratio'!$A$2:$B$21,2,FALSE)</f>
        <v>5.8105246117765796</v>
      </c>
      <c r="U2" s="2">
        <f>('FL Characterization'!U$2-'FL Characterization'!U$3)*VLOOKUP($A2,'FL Ratio'!$A$2:$B$21,2,FALSE)</f>
        <v>6.2138258059101732</v>
      </c>
      <c r="V2" s="2">
        <f>('FL Characterization'!V$2-'FL Characterization'!V$3)*VLOOKUP($A2,'FL Ratio'!$A$2:$B$21,2,FALSE)</f>
        <v>6.7937070386768585</v>
      </c>
      <c r="W2" s="2">
        <f>('FL Characterization'!W$2-'FL Characterization'!W$3)*VLOOKUP($A2,'FL Ratio'!$A$2:$B$21,2,FALSE)</f>
        <v>6.9558202789641088</v>
      </c>
      <c r="X2" s="2">
        <f>('FL Characterization'!X$2-'FL Characterization'!X$3)*VLOOKUP($A2,'FL Ratio'!$A$2:$B$21,2,FALSE)</f>
        <v>7.2544499321248326</v>
      </c>
      <c r="Y2" s="2">
        <f>('FL Characterization'!Y$2-'FL Characterization'!Y$3)*VLOOKUP($A2,'FL Ratio'!$A$2:$B$21,2,FALSE)</f>
        <v>8.0075744342467008</v>
      </c>
    </row>
    <row r="3" spans="1:25" x14ac:dyDescent="0.3">
      <c r="A3">
        <v>2</v>
      </c>
      <c r="B3" s="2">
        <f>('FL Characterization'!B$2-'FL Characterization'!B$3)*VLOOKUP($A3,'FL Ratio'!$A$2:$B$21,2,FALSE)</f>
        <v>8.9669515877079213</v>
      </c>
      <c r="C3" s="2">
        <f>('FL Characterization'!C$2-'FL Characterization'!C$3)*VLOOKUP($A3,'FL Ratio'!$A$2:$B$21,2,FALSE)</f>
        <v>9.4896374598317514</v>
      </c>
      <c r="D3" s="2">
        <f>('FL Characterization'!D$2-'FL Characterization'!D$3)*VLOOKUP($A3,'FL Ratio'!$A$2:$B$21,2,FALSE)</f>
        <v>10.020833213335489</v>
      </c>
      <c r="E3" s="2">
        <f>('FL Characterization'!E$2-'FL Characterization'!E$3)*VLOOKUP($A3,'FL Ratio'!$A$2:$B$21,2,FALSE)</f>
        <v>10.476335811407413</v>
      </c>
      <c r="F3" s="2">
        <f>('FL Characterization'!F$2-'FL Characterization'!F$3)*VLOOKUP($A3,'FL Ratio'!$A$2:$B$21,2,FALSE)</f>
        <v>10.595250206479289</v>
      </c>
      <c r="G3" s="2">
        <f>('FL Characterization'!G$2-'FL Characterization'!G$3)*VLOOKUP($A3,'FL Ratio'!$A$2:$B$21,2,FALSE)</f>
        <v>11.083224720342965</v>
      </c>
      <c r="H3" s="2">
        <f>('FL Characterization'!H$2-'FL Characterization'!H$3)*VLOOKUP($A3,'FL Ratio'!$A$2:$B$21,2,FALSE)</f>
        <v>11.026566825892527</v>
      </c>
      <c r="I3" s="2">
        <f>('FL Characterization'!I$2-'FL Characterization'!I$3)*VLOOKUP($A3,'FL Ratio'!$A$2:$B$21,2,FALSE)</f>
        <v>10.422678769864625</v>
      </c>
      <c r="J3" s="2">
        <f>('FL Characterization'!J$2-'FL Characterization'!J$3)*VLOOKUP($A3,'FL Ratio'!$A$2:$B$21,2,FALSE)</f>
        <v>9.4433705784346724</v>
      </c>
      <c r="K3" s="2">
        <f>('FL Characterization'!K$2-'FL Characterization'!K$3)*VLOOKUP($A3,'FL Ratio'!$A$2:$B$21,2,FALSE)</f>
        <v>13.867321991478644</v>
      </c>
      <c r="L3" s="2">
        <f>('FL Characterization'!L$2-'FL Characterization'!L$3)*VLOOKUP($A3,'FL Ratio'!$A$2:$B$21,2,FALSE)</f>
        <v>13.541998184094632</v>
      </c>
      <c r="M3" s="2">
        <f>('FL Characterization'!M$2-'FL Characterization'!M$3)*VLOOKUP($A3,'FL Ratio'!$A$2:$B$21,2,FALSE)</f>
        <v>12.469753130226206</v>
      </c>
      <c r="N3" s="2">
        <f>('FL Characterization'!N$2-'FL Characterization'!N$3)*VLOOKUP($A3,'FL Ratio'!$A$2:$B$21,2,FALSE)</f>
        <v>12.166756564252111</v>
      </c>
      <c r="O3" s="2">
        <f>('FL Characterization'!O$2-'FL Characterization'!O$3)*VLOOKUP($A3,'FL Ratio'!$A$2:$B$21,2,FALSE)</f>
        <v>12.216763314571413</v>
      </c>
      <c r="P3" s="2">
        <f>('FL Characterization'!P$2-'FL Characterization'!P$3)*VLOOKUP($A3,'FL Ratio'!$A$2:$B$21,2,FALSE)</f>
        <v>11.637979408614239</v>
      </c>
      <c r="Q3" s="2">
        <f>('FL Characterization'!Q$2-'FL Characterization'!Q$3)*VLOOKUP($A3,'FL Ratio'!$A$2:$B$21,2,FALSE)</f>
        <v>10.667942509003449</v>
      </c>
      <c r="R3" s="2">
        <f>('FL Characterization'!R$2-'FL Characterization'!R$3)*VLOOKUP($A3,'FL Ratio'!$A$2:$B$21,2,FALSE)</f>
        <v>9.5875906733994327</v>
      </c>
      <c r="S3" s="2">
        <f>('FL Characterization'!S$2-'FL Characterization'!S$3)*VLOOKUP($A3,'FL Ratio'!$A$2:$B$21,2,FALSE)</f>
        <v>9.2436570991030393</v>
      </c>
      <c r="T3" s="2">
        <f>('FL Characterization'!T$2-'FL Characterization'!T$3)*VLOOKUP($A3,'FL Ratio'!$A$2:$B$21,2,FALSE)</f>
        <v>5.8105246117765796</v>
      </c>
      <c r="U3" s="2">
        <f>('FL Characterization'!U$2-'FL Characterization'!U$3)*VLOOKUP($A3,'FL Ratio'!$A$2:$B$21,2,FALSE)</f>
        <v>6.2138258059101732</v>
      </c>
      <c r="V3" s="2">
        <f>('FL Characterization'!V$2-'FL Characterization'!V$3)*VLOOKUP($A3,'FL Ratio'!$A$2:$B$21,2,FALSE)</f>
        <v>6.7937070386768585</v>
      </c>
      <c r="W3" s="2">
        <f>('FL Characterization'!W$2-'FL Characterization'!W$3)*VLOOKUP($A3,'FL Ratio'!$A$2:$B$21,2,FALSE)</f>
        <v>6.9558202789641088</v>
      </c>
      <c r="X3" s="2">
        <f>('FL Characterization'!X$2-'FL Characterization'!X$3)*VLOOKUP($A3,'FL Ratio'!$A$2:$B$21,2,FALSE)</f>
        <v>7.2544499321248326</v>
      </c>
      <c r="Y3" s="2">
        <f>('FL Characterization'!Y$2-'FL Characterization'!Y$3)*VLOOKUP($A3,'FL Ratio'!$A$2:$B$21,2,FALSE)</f>
        <v>8.0075744342467008</v>
      </c>
    </row>
    <row r="4" spans="1:25" x14ac:dyDescent="0.3">
      <c r="A4">
        <v>3</v>
      </c>
      <c r="B4" s="2">
        <f>('FL Characterization'!B$2-'FL Characterization'!B$3)*VLOOKUP($A4,'FL Ratio'!$A$2:$B$21,2,FALSE)</f>
        <v>8.9669515877079213</v>
      </c>
      <c r="C4" s="2">
        <f>('FL Characterization'!C$2-'FL Characterization'!C$3)*VLOOKUP($A4,'FL Ratio'!$A$2:$B$21,2,FALSE)</f>
        <v>9.4896374598317514</v>
      </c>
      <c r="D4" s="2">
        <f>('FL Characterization'!D$2-'FL Characterization'!D$3)*VLOOKUP($A4,'FL Ratio'!$A$2:$B$21,2,FALSE)</f>
        <v>10.020833213335489</v>
      </c>
      <c r="E4" s="2">
        <f>('FL Characterization'!E$2-'FL Characterization'!E$3)*VLOOKUP($A4,'FL Ratio'!$A$2:$B$21,2,FALSE)</f>
        <v>10.476335811407413</v>
      </c>
      <c r="F4" s="2">
        <f>('FL Characterization'!F$2-'FL Characterization'!F$3)*VLOOKUP($A4,'FL Ratio'!$A$2:$B$21,2,FALSE)</f>
        <v>10.595250206479289</v>
      </c>
      <c r="G4" s="2">
        <f>('FL Characterization'!G$2-'FL Characterization'!G$3)*VLOOKUP($A4,'FL Ratio'!$A$2:$B$21,2,FALSE)</f>
        <v>11.083224720342965</v>
      </c>
      <c r="H4" s="2">
        <f>('FL Characterization'!H$2-'FL Characterization'!H$3)*VLOOKUP($A4,'FL Ratio'!$A$2:$B$21,2,FALSE)</f>
        <v>11.026566825892527</v>
      </c>
      <c r="I4" s="2">
        <f>('FL Characterization'!I$2-'FL Characterization'!I$3)*VLOOKUP($A4,'FL Ratio'!$A$2:$B$21,2,FALSE)</f>
        <v>10.422678769864625</v>
      </c>
      <c r="J4" s="2">
        <f>('FL Characterization'!J$2-'FL Characterization'!J$3)*VLOOKUP($A4,'FL Ratio'!$A$2:$B$21,2,FALSE)</f>
        <v>9.4433705784346724</v>
      </c>
      <c r="K4" s="2">
        <f>('FL Characterization'!K$2-'FL Characterization'!K$3)*VLOOKUP($A4,'FL Ratio'!$A$2:$B$21,2,FALSE)</f>
        <v>13.867321991478644</v>
      </c>
      <c r="L4" s="2">
        <f>('FL Characterization'!L$2-'FL Characterization'!L$3)*VLOOKUP($A4,'FL Ratio'!$A$2:$B$21,2,FALSE)</f>
        <v>13.541998184094632</v>
      </c>
      <c r="M4" s="2">
        <f>('FL Characterization'!M$2-'FL Characterization'!M$3)*VLOOKUP($A4,'FL Ratio'!$A$2:$B$21,2,FALSE)</f>
        <v>12.469753130226206</v>
      </c>
      <c r="N4" s="2">
        <f>('FL Characterization'!N$2-'FL Characterization'!N$3)*VLOOKUP($A4,'FL Ratio'!$A$2:$B$21,2,FALSE)</f>
        <v>12.166756564252111</v>
      </c>
      <c r="O4" s="2">
        <f>('FL Characterization'!O$2-'FL Characterization'!O$3)*VLOOKUP($A4,'FL Ratio'!$A$2:$B$21,2,FALSE)</f>
        <v>12.216763314571413</v>
      </c>
      <c r="P4" s="2">
        <f>('FL Characterization'!P$2-'FL Characterization'!P$3)*VLOOKUP($A4,'FL Ratio'!$A$2:$B$21,2,FALSE)</f>
        <v>11.637979408614239</v>
      </c>
      <c r="Q4" s="2">
        <f>('FL Characterization'!Q$2-'FL Characterization'!Q$3)*VLOOKUP($A4,'FL Ratio'!$A$2:$B$21,2,FALSE)</f>
        <v>10.667942509003449</v>
      </c>
      <c r="R4" s="2">
        <f>('FL Characterization'!R$2-'FL Characterization'!R$3)*VLOOKUP($A4,'FL Ratio'!$A$2:$B$21,2,FALSE)</f>
        <v>9.5875906733994327</v>
      </c>
      <c r="S4" s="2">
        <f>('FL Characterization'!S$2-'FL Characterization'!S$3)*VLOOKUP($A4,'FL Ratio'!$A$2:$B$21,2,FALSE)</f>
        <v>9.2436570991030393</v>
      </c>
      <c r="T4" s="2">
        <f>('FL Characterization'!T$2-'FL Characterization'!T$3)*VLOOKUP($A4,'FL Ratio'!$A$2:$B$21,2,FALSE)</f>
        <v>5.8105246117765796</v>
      </c>
      <c r="U4" s="2">
        <f>('FL Characterization'!U$2-'FL Characterization'!U$3)*VLOOKUP($A4,'FL Ratio'!$A$2:$B$21,2,FALSE)</f>
        <v>6.2138258059101732</v>
      </c>
      <c r="V4" s="2">
        <f>('FL Characterization'!V$2-'FL Characterization'!V$3)*VLOOKUP($A4,'FL Ratio'!$A$2:$B$21,2,FALSE)</f>
        <v>6.7937070386768585</v>
      </c>
      <c r="W4" s="2">
        <f>('FL Characterization'!W$2-'FL Characterization'!W$3)*VLOOKUP($A4,'FL Ratio'!$A$2:$B$21,2,FALSE)</f>
        <v>6.9558202789641088</v>
      </c>
      <c r="X4" s="2">
        <f>('FL Characterization'!X$2-'FL Characterization'!X$3)*VLOOKUP($A4,'FL Ratio'!$A$2:$B$21,2,FALSE)</f>
        <v>7.2544499321248326</v>
      </c>
      <c r="Y4" s="2">
        <f>('FL Characterization'!Y$2-'FL Characterization'!Y$3)*VLOOKUP($A4,'FL Ratio'!$A$2:$B$21,2,FALSE)</f>
        <v>8.0075744342467008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49E0F-6E82-40ED-BD4B-A154F29D17F6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0B206-735C-4169-9573-F70381DB2C7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9ED32-E37A-4C7F-9A3A-6C171EDA3DE5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AA333-26E9-417B-A58C-EE721377156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70B82-25CF-4E12-83AD-E927C94A30D0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F4843-2128-4444-8EC6-765145130A0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944F0-7F15-48D3-B0E1-41FD5A2D6DC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DABC2-C2BD-4099-8F87-452525C0E91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B240F-3F68-4E99-9835-98D43081D49C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3310E-3DB0-4C43-A82E-ED41E0D1FB34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BBA2-3995-4A96-B4C3-5711AF5AF9B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521A2-A9FA-46E1-AE16-7A197096CC8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A15AD-4FA9-4630-A4FA-A501FABA5628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06378-35BA-4FD0-A744-E752A6BC7C8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C14FD-8154-4080-9D07-055678893CA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47BD6-E866-483A-B517-30B00C56E19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34B83-BAC8-4413-8A3C-4A5C2F786B3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8F3CB-EC41-4B40-BF24-79BC6C576CF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A48FA-B634-45EF-B224-4D781DFA4529}">
  <dimension ref="A1:Y10"/>
  <sheetViews>
    <sheetView topLeftCell="G1" workbookViewId="0">
      <selection activeCell="R2" sqref="R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2025-06-17T08:31:44Z</dcterms:modified>
</cp:coreProperties>
</file>