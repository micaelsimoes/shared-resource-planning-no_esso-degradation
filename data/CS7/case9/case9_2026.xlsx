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9\"/>
    </mc:Choice>
  </mc:AlternateContent>
  <xr:revisionPtr revIDLastSave="0" documentId="13_ncr:1_{68AC49D0-F04A-45CD-A0FA-A0992A4DBD39}" xr6:coauthVersionLast="47" xr6:coauthVersionMax="47" xr10:uidLastSave="{00000000-0000-0000-0000-000000000000}"/>
  <bookViews>
    <workbookView xWindow="33225" yWindow="-9960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04" r:id="rId29"/>
    <sheet name="Pg, Winter, S5" sheetId="205" r:id="rId30"/>
    <sheet name="Pg, Winter, S6" sheetId="206" r:id="rId31"/>
    <sheet name="Pg, Winter, S7" sheetId="207" r:id="rId32"/>
    <sheet name="Pg, Winter, S8" sheetId="208" r:id="rId33"/>
    <sheet name="Pg, Winter, S9" sheetId="209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55" r:id="rId45"/>
    <sheet name="Pc, Spring, S2" sheetId="256" r:id="rId46"/>
    <sheet name="Pc, Spring, S3" sheetId="257" r:id="rId47"/>
    <sheet name="Pc, Spring, S4" sheetId="258" r:id="rId48"/>
    <sheet name="Pc, Spring, S5" sheetId="259" r:id="rId49"/>
    <sheet name="Pc, Spring, S6" sheetId="260" r:id="rId50"/>
    <sheet name="Pc, Spring, S7" sheetId="261" r:id="rId51"/>
    <sheet name="Pc, Spring, S8" sheetId="262" r:id="rId52"/>
    <sheet name="Pc, Spring, S9" sheetId="263" r:id="rId53"/>
    <sheet name="Qc, Spring, S1" sheetId="264" r:id="rId54"/>
    <sheet name="Qc, Spring, S2" sheetId="265" r:id="rId55"/>
    <sheet name="Qc, Spring, S3" sheetId="266" r:id="rId56"/>
    <sheet name="Qc, Spring, S4" sheetId="267" r:id="rId57"/>
    <sheet name="Qc, Spring, S5" sheetId="268" r:id="rId58"/>
    <sheet name="Qc, Spring, S6" sheetId="269" r:id="rId59"/>
    <sheet name="Qc, Spring, S7" sheetId="270" r:id="rId60"/>
    <sheet name="Qc, Spring, S8" sheetId="271" r:id="rId61"/>
    <sheet name="Qc, Spring, S9" sheetId="272" r:id="rId62"/>
    <sheet name="UpFlex, Spring" sheetId="273" r:id="rId63"/>
    <sheet name="DownFlex, Spring" sheetId="274" r:id="rId64"/>
    <sheet name="Pg, Spring, S1" sheetId="275" r:id="rId65"/>
    <sheet name="Pg, Spring, S2" sheetId="276" r:id="rId66"/>
    <sheet name="Pg, Spring, S3" sheetId="277" r:id="rId67"/>
    <sheet name="Pg, Spring, S4" sheetId="278" r:id="rId68"/>
    <sheet name="Pg, Spring, S5" sheetId="279" r:id="rId69"/>
    <sheet name="Pg, Spring, S6" sheetId="280" r:id="rId70"/>
    <sheet name="Pg, Spring, S7" sheetId="281" r:id="rId71"/>
    <sheet name="Pg, Spring, S8" sheetId="282" r:id="rId72"/>
    <sheet name="Pg, Spring, S9" sheetId="283" r:id="rId73"/>
    <sheet name="Qg, Spring, S1" sheetId="284" r:id="rId74"/>
    <sheet name="Qg, Spring, S2" sheetId="285" r:id="rId75"/>
    <sheet name="Qg, Spring, S3" sheetId="286" r:id="rId76"/>
    <sheet name="Qg, Spring, S4" sheetId="287" r:id="rId77"/>
    <sheet name="Qg, Spring, S5" sheetId="288" r:id="rId78"/>
    <sheet name="Qg, Spring, S6" sheetId="289" r:id="rId79"/>
    <sheet name="Qg, Spring, S7" sheetId="290" r:id="rId80"/>
    <sheet name="Qg, Spring, S8" sheetId="291" r:id="rId81"/>
    <sheet name="Qg, Spring, S9" sheetId="292" r:id="rId82"/>
    <sheet name="GenStatus, Spring" sheetId="293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36" r:id="rId104"/>
    <sheet name="Pg, Summer, S2" sheetId="237" r:id="rId105"/>
    <sheet name="Pg, Summer, S3" sheetId="238" r:id="rId106"/>
    <sheet name="Pg, Summer, S4" sheetId="239" r:id="rId107"/>
    <sheet name="Pg, Summer, S5" sheetId="240" r:id="rId108"/>
    <sheet name="Pg, Summer, S6" sheetId="241" r:id="rId109"/>
    <sheet name="Pg, Summer, S7" sheetId="242" r:id="rId110"/>
    <sheet name="Pg, Summer, S8" sheetId="243" r:id="rId111"/>
    <sheet name="Pg, Summer, S9" sheetId="244" r:id="rId112"/>
    <sheet name="Qg, Summer, S1" sheetId="245" r:id="rId113"/>
    <sheet name="Qg, Summer, S2" sheetId="246" r:id="rId114"/>
    <sheet name="Qg, Summer, S3" sheetId="247" r:id="rId115"/>
    <sheet name="Qg, Summer, S4" sheetId="248" r:id="rId116"/>
    <sheet name="Qg, Summer, S5" sheetId="249" r:id="rId117"/>
    <sheet name="Qg, Summer, S6" sheetId="250" r:id="rId118"/>
    <sheet name="Qg, Summer, S7" sheetId="251" r:id="rId119"/>
    <sheet name="Qg, Summer, S8" sheetId="252" r:id="rId120"/>
    <sheet name="Qg, Summer, S9" sheetId="253" r:id="rId121"/>
    <sheet name="GenStatus, Summer" sheetId="254" r:id="rId122"/>
    <sheet name="Pc, Autumn, S1" sheetId="294" r:id="rId123"/>
    <sheet name="Pc, Autumn, S2" sheetId="295" r:id="rId124"/>
    <sheet name="Pc, Autumn, S3" sheetId="296" r:id="rId125"/>
    <sheet name="Pc, Autumn, S4" sheetId="297" r:id="rId126"/>
    <sheet name="Pc, Autumn, S5" sheetId="298" r:id="rId127"/>
    <sheet name="Pc, Autumn, S6" sheetId="299" r:id="rId128"/>
    <sheet name="Pc, Autumn, S7" sheetId="300" r:id="rId129"/>
    <sheet name="Pc, Autumn, S8" sheetId="301" r:id="rId130"/>
    <sheet name="Pc, Autumn, S9" sheetId="302" r:id="rId131"/>
    <sheet name="Qc, Autumn, S1" sheetId="303" r:id="rId132"/>
    <sheet name="Qc, Autumn, S2" sheetId="304" r:id="rId133"/>
    <sheet name="Qc, Autumn, S3" sheetId="305" r:id="rId134"/>
    <sheet name="Qc, Autumn, S4" sheetId="306" r:id="rId135"/>
    <sheet name="Qc, Autumn, S5" sheetId="307" r:id="rId136"/>
    <sheet name="Qc, Autumn, S6" sheetId="308" r:id="rId137"/>
    <sheet name="Qc, Autumn, S7" sheetId="309" r:id="rId138"/>
    <sheet name="Qc, Autumn, S8" sheetId="310" r:id="rId139"/>
    <sheet name="Qc, Autumn, S9" sheetId="311" r:id="rId140"/>
    <sheet name="UpFlex, Autumn" sheetId="312" r:id="rId141"/>
    <sheet name="DownFlex, Autumn" sheetId="313" r:id="rId142"/>
    <sheet name="Pg, Autumn, S1" sheetId="314" r:id="rId143"/>
    <sheet name="Pg, Autumn, S2" sheetId="315" r:id="rId144"/>
    <sheet name="Pg, Autumn, S3" sheetId="316" r:id="rId145"/>
    <sheet name="Pg, Autumn, S4" sheetId="317" r:id="rId146"/>
    <sheet name="Pg, Autumn, S5" sheetId="318" r:id="rId147"/>
    <sheet name="Pg, Autumn, S6" sheetId="319" r:id="rId148"/>
    <sheet name="Pg, Autumn, S7" sheetId="320" r:id="rId149"/>
    <sheet name="Pg, Autumn, S8" sheetId="321" r:id="rId150"/>
    <sheet name="Pg, Autumn, S9" sheetId="322" r:id="rId151"/>
    <sheet name="Qg, Autumn, S1" sheetId="323" r:id="rId152"/>
    <sheet name="Qg, Autumn, S2" sheetId="324" r:id="rId153"/>
    <sheet name="Qg, Autumn, S3" sheetId="325" r:id="rId154"/>
    <sheet name="Qg, Autumn, S4" sheetId="326" r:id="rId155"/>
    <sheet name="Qg, Autumn, S5" sheetId="327" r:id="rId156"/>
    <sheet name="Qg, Autumn, S6" sheetId="328" r:id="rId157"/>
    <sheet name="Qg, Autumn, S7" sheetId="329" r:id="rId158"/>
    <sheet name="Qg, Autumn, S8" sheetId="330" r:id="rId159"/>
    <sheet name="Qg, Autumn, S9" sheetId="331" r:id="rId160"/>
    <sheet name="GenStatus, Autumn" sheetId="332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" i="322" l="1"/>
  <c r="X10" i="322"/>
  <c r="W10" i="322"/>
  <c r="V10" i="322"/>
  <c r="U10" i="322"/>
  <c r="T10" i="322"/>
  <c r="S10" i="322"/>
  <c r="R10" i="322"/>
  <c r="Q10" i="322"/>
  <c r="P10" i="322"/>
  <c r="O10" i="322"/>
  <c r="N10" i="322"/>
  <c r="M10" i="322"/>
  <c r="L10" i="322"/>
  <c r="K10" i="322"/>
  <c r="J10" i="322"/>
  <c r="I10" i="322"/>
  <c r="H10" i="322"/>
  <c r="G10" i="322"/>
  <c r="F10" i="322"/>
  <c r="E10" i="322"/>
  <c r="D10" i="322"/>
  <c r="C10" i="322"/>
  <c r="B10" i="322"/>
  <c r="Y9" i="322"/>
  <c r="X9" i="322"/>
  <c r="W9" i="322"/>
  <c r="V9" i="322"/>
  <c r="U9" i="322"/>
  <c r="T9" i="322"/>
  <c r="S9" i="322"/>
  <c r="R9" i="322"/>
  <c r="Q9" i="322"/>
  <c r="P9" i="322"/>
  <c r="O9" i="322"/>
  <c r="N9" i="322"/>
  <c r="M9" i="322"/>
  <c r="L9" i="322"/>
  <c r="K9" i="322"/>
  <c r="J9" i="322"/>
  <c r="I9" i="322"/>
  <c r="H9" i="322"/>
  <c r="G9" i="322"/>
  <c r="F9" i="322"/>
  <c r="E9" i="322"/>
  <c r="D9" i="322"/>
  <c r="C9" i="322"/>
  <c r="B9" i="322"/>
  <c r="Y8" i="322"/>
  <c r="X8" i="322"/>
  <c r="W8" i="322"/>
  <c r="V8" i="322"/>
  <c r="U8" i="322"/>
  <c r="T8" i="322"/>
  <c r="S8" i="322"/>
  <c r="R8" i="322"/>
  <c r="Q8" i="322"/>
  <c r="P8" i="322"/>
  <c r="O8" i="322"/>
  <c r="N8" i="322"/>
  <c r="M8" i="322"/>
  <c r="L8" i="322"/>
  <c r="K8" i="322"/>
  <c r="J8" i="322"/>
  <c r="I8" i="322"/>
  <c r="H8" i="322"/>
  <c r="G8" i="322"/>
  <c r="F8" i="322"/>
  <c r="E8" i="322"/>
  <c r="D8" i="322"/>
  <c r="C8" i="322"/>
  <c r="B8" i="322"/>
  <c r="Y7" i="322"/>
  <c r="X7" i="322"/>
  <c r="W7" i="322"/>
  <c r="V7" i="322"/>
  <c r="U7" i="322"/>
  <c r="T7" i="322"/>
  <c r="S7" i="322"/>
  <c r="R7" i="322"/>
  <c r="Q7" i="322"/>
  <c r="P7" i="322"/>
  <c r="O7" i="322"/>
  <c r="N7" i="322"/>
  <c r="M7" i="322"/>
  <c r="L7" i="322"/>
  <c r="K7" i="322"/>
  <c r="J7" i="322"/>
  <c r="I7" i="322"/>
  <c r="H7" i="322"/>
  <c r="G7" i="322"/>
  <c r="F7" i="322"/>
  <c r="E7" i="322"/>
  <c r="D7" i="322"/>
  <c r="C7" i="322"/>
  <c r="B7" i="322"/>
  <c r="Y6" i="322"/>
  <c r="X6" i="322"/>
  <c r="W6" i="322"/>
  <c r="V6" i="322"/>
  <c r="U6" i="322"/>
  <c r="T6" i="322"/>
  <c r="S6" i="322"/>
  <c r="R6" i="322"/>
  <c r="Q6" i="322"/>
  <c r="P6" i="322"/>
  <c r="O6" i="322"/>
  <c r="N6" i="322"/>
  <c r="M6" i="322"/>
  <c r="L6" i="322"/>
  <c r="K6" i="322"/>
  <c r="J6" i="322"/>
  <c r="I6" i="322"/>
  <c r="H6" i="322"/>
  <c r="G6" i="322"/>
  <c r="F6" i="322"/>
  <c r="E6" i="322"/>
  <c r="D6" i="322"/>
  <c r="C6" i="322"/>
  <c r="B6" i="322"/>
  <c r="Y5" i="322"/>
  <c r="X5" i="322"/>
  <c r="W5" i="322"/>
  <c r="V5" i="322"/>
  <c r="U5" i="322"/>
  <c r="T5" i="322"/>
  <c r="S5" i="322"/>
  <c r="R5" i="322"/>
  <c r="Q5" i="322"/>
  <c r="P5" i="322"/>
  <c r="O5" i="322"/>
  <c r="N5" i="322"/>
  <c r="M5" i="322"/>
  <c r="L5" i="322"/>
  <c r="K5" i="322"/>
  <c r="J5" i="322"/>
  <c r="I5" i="322"/>
  <c r="H5" i="322"/>
  <c r="G5" i="322"/>
  <c r="F5" i="322"/>
  <c r="E5" i="322"/>
  <c r="D5" i="322"/>
  <c r="C5" i="322"/>
  <c r="B5" i="322"/>
  <c r="Y10" i="321"/>
  <c r="X10" i="321"/>
  <c r="W10" i="321"/>
  <c r="V10" i="321"/>
  <c r="U10" i="321"/>
  <c r="T10" i="321"/>
  <c r="S10" i="321"/>
  <c r="R10" i="321"/>
  <c r="Q10" i="321"/>
  <c r="P10" i="321"/>
  <c r="O10" i="321"/>
  <c r="N10" i="321"/>
  <c r="M10" i="321"/>
  <c r="L10" i="321"/>
  <c r="K10" i="321"/>
  <c r="J10" i="321"/>
  <c r="I10" i="321"/>
  <c r="H10" i="321"/>
  <c r="G10" i="321"/>
  <c r="F10" i="321"/>
  <c r="E10" i="321"/>
  <c r="D10" i="321"/>
  <c r="C10" i="321"/>
  <c r="B10" i="321"/>
  <c r="Y9" i="321"/>
  <c r="X9" i="321"/>
  <c r="W9" i="321"/>
  <c r="V9" i="321"/>
  <c r="U9" i="321"/>
  <c r="T9" i="321"/>
  <c r="S9" i="321"/>
  <c r="R9" i="321"/>
  <c r="Q9" i="321"/>
  <c r="P9" i="321"/>
  <c r="O9" i="321"/>
  <c r="N9" i="321"/>
  <c r="M9" i="321"/>
  <c r="L9" i="321"/>
  <c r="K9" i="321"/>
  <c r="J9" i="321"/>
  <c r="I9" i="321"/>
  <c r="H9" i="321"/>
  <c r="G9" i="321"/>
  <c r="F9" i="321"/>
  <c r="E9" i="321"/>
  <c r="D9" i="321"/>
  <c r="C9" i="321"/>
  <c r="B9" i="321"/>
  <c r="Y8" i="321"/>
  <c r="X8" i="321"/>
  <c r="W8" i="321"/>
  <c r="V8" i="321"/>
  <c r="U8" i="321"/>
  <c r="T8" i="321"/>
  <c r="S8" i="321"/>
  <c r="R8" i="321"/>
  <c r="Q8" i="321"/>
  <c r="P8" i="321"/>
  <c r="O8" i="321"/>
  <c r="N8" i="321"/>
  <c r="M8" i="321"/>
  <c r="L8" i="321"/>
  <c r="K8" i="321"/>
  <c r="J8" i="321"/>
  <c r="I8" i="321"/>
  <c r="H8" i="321"/>
  <c r="G8" i="321"/>
  <c r="F8" i="321"/>
  <c r="E8" i="321"/>
  <c r="D8" i="321"/>
  <c r="C8" i="321"/>
  <c r="B8" i="321"/>
  <c r="Y7" i="321"/>
  <c r="X7" i="321"/>
  <c r="W7" i="321"/>
  <c r="V7" i="321"/>
  <c r="U7" i="321"/>
  <c r="T7" i="321"/>
  <c r="S7" i="321"/>
  <c r="R7" i="321"/>
  <c r="Q7" i="321"/>
  <c r="P7" i="321"/>
  <c r="O7" i="321"/>
  <c r="N7" i="321"/>
  <c r="M7" i="321"/>
  <c r="L7" i="321"/>
  <c r="K7" i="321"/>
  <c r="J7" i="321"/>
  <c r="I7" i="321"/>
  <c r="H7" i="321"/>
  <c r="G7" i="321"/>
  <c r="F7" i="321"/>
  <c r="E7" i="321"/>
  <c r="D7" i="321"/>
  <c r="C7" i="321"/>
  <c r="B7" i="321"/>
  <c r="Y6" i="321"/>
  <c r="X6" i="321"/>
  <c r="W6" i="321"/>
  <c r="V6" i="321"/>
  <c r="U6" i="321"/>
  <c r="T6" i="321"/>
  <c r="S6" i="321"/>
  <c r="R6" i="321"/>
  <c r="Q6" i="321"/>
  <c r="P6" i="321"/>
  <c r="O6" i="321"/>
  <c r="N6" i="321"/>
  <c r="M6" i="321"/>
  <c r="L6" i="321"/>
  <c r="K6" i="321"/>
  <c r="J6" i="321"/>
  <c r="I6" i="321"/>
  <c r="H6" i="321"/>
  <c r="G6" i="321"/>
  <c r="F6" i="321"/>
  <c r="E6" i="321"/>
  <c r="D6" i="321"/>
  <c r="C6" i="321"/>
  <c r="B6" i="321"/>
  <c r="Y5" i="321"/>
  <c r="X5" i="321"/>
  <c r="W5" i="321"/>
  <c r="V5" i="321"/>
  <c r="U5" i="321"/>
  <c r="T5" i="321"/>
  <c r="S5" i="321"/>
  <c r="R5" i="321"/>
  <c r="Q5" i="321"/>
  <c r="P5" i="321"/>
  <c r="O5" i="321"/>
  <c r="N5" i="321"/>
  <c r="M5" i="321"/>
  <c r="L5" i="321"/>
  <c r="K5" i="321"/>
  <c r="J5" i="321"/>
  <c r="I5" i="321"/>
  <c r="H5" i="321"/>
  <c r="G5" i="321"/>
  <c r="F5" i="321"/>
  <c r="E5" i="321"/>
  <c r="D5" i="321"/>
  <c r="C5" i="321"/>
  <c r="B5" i="321"/>
  <c r="Y10" i="320"/>
  <c r="X10" i="320"/>
  <c r="W10" i="320"/>
  <c r="V10" i="320"/>
  <c r="U10" i="320"/>
  <c r="T10" i="320"/>
  <c r="S10" i="320"/>
  <c r="R10" i="320"/>
  <c r="Q10" i="320"/>
  <c r="P10" i="320"/>
  <c r="O10" i="320"/>
  <c r="N10" i="320"/>
  <c r="M10" i="320"/>
  <c r="L10" i="320"/>
  <c r="K10" i="320"/>
  <c r="J10" i="320"/>
  <c r="I10" i="320"/>
  <c r="H10" i="320"/>
  <c r="G10" i="320"/>
  <c r="F10" i="320"/>
  <c r="E10" i="320"/>
  <c r="D10" i="320"/>
  <c r="C10" i="320"/>
  <c r="B10" i="320"/>
  <c r="Y9" i="320"/>
  <c r="X9" i="320"/>
  <c r="W9" i="320"/>
  <c r="V9" i="320"/>
  <c r="U9" i="320"/>
  <c r="T9" i="320"/>
  <c r="S9" i="320"/>
  <c r="R9" i="320"/>
  <c r="Q9" i="320"/>
  <c r="P9" i="320"/>
  <c r="O9" i="320"/>
  <c r="N9" i="320"/>
  <c r="M9" i="320"/>
  <c r="L9" i="320"/>
  <c r="K9" i="320"/>
  <c r="J9" i="320"/>
  <c r="I9" i="320"/>
  <c r="H9" i="320"/>
  <c r="G9" i="320"/>
  <c r="F9" i="320"/>
  <c r="E9" i="320"/>
  <c r="D9" i="320"/>
  <c r="C9" i="320"/>
  <c r="B9" i="320"/>
  <c r="Y8" i="320"/>
  <c r="X8" i="320"/>
  <c r="W8" i="320"/>
  <c r="V8" i="320"/>
  <c r="U8" i="320"/>
  <c r="T8" i="320"/>
  <c r="S8" i="320"/>
  <c r="R8" i="320"/>
  <c r="Q8" i="320"/>
  <c r="P8" i="320"/>
  <c r="O8" i="320"/>
  <c r="N8" i="320"/>
  <c r="M8" i="320"/>
  <c r="L8" i="320"/>
  <c r="K8" i="320"/>
  <c r="J8" i="320"/>
  <c r="I8" i="320"/>
  <c r="H8" i="320"/>
  <c r="G8" i="320"/>
  <c r="F8" i="320"/>
  <c r="E8" i="320"/>
  <c r="D8" i="320"/>
  <c r="C8" i="320"/>
  <c r="B8" i="320"/>
  <c r="Y7" i="320"/>
  <c r="X7" i="320"/>
  <c r="W7" i="320"/>
  <c r="V7" i="320"/>
  <c r="U7" i="320"/>
  <c r="T7" i="320"/>
  <c r="S7" i="320"/>
  <c r="R7" i="320"/>
  <c r="Q7" i="320"/>
  <c r="P7" i="320"/>
  <c r="O7" i="320"/>
  <c r="N7" i="320"/>
  <c r="M7" i="320"/>
  <c r="L7" i="320"/>
  <c r="K7" i="320"/>
  <c r="J7" i="320"/>
  <c r="I7" i="320"/>
  <c r="H7" i="320"/>
  <c r="G7" i="320"/>
  <c r="F7" i="320"/>
  <c r="E7" i="320"/>
  <c r="D7" i="320"/>
  <c r="C7" i="320"/>
  <c r="B7" i="320"/>
  <c r="Y6" i="320"/>
  <c r="X6" i="320"/>
  <c r="W6" i="320"/>
  <c r="V6" i="320"/>
  <c r="U6" i="320"/>
  <c r="T6" i="320"/>
  <c r="S6" i="320"/>
  <c r="R6" i="320"/>
  <c r="Q6" i="320"/>
  <c r="P6" i="320"/>
  <c r="O6" i="320"/>
  <c r="N6" i="320"/>
  <c r="M6" i="320"/>
  <c r="L6" i="320"/>
  <c r="K6" i="320"/>
  <c r="J6" i="320"/>
  <c r="I6" i="320"/>
  <c r="H6" i="320"/>
  <c r="G6" i="320"/>
  <c r="F6" i="320"/>
  <c r="E6" i="320"/>
  <c r="D6" i="320"/>
  <c r="C6" i="320"/>
  <c r="B6" i="320"/>
  <c r="Y5" i="320"/>
  <c r="X5" i="320"/>
  <c r="W5" i="320"/>
  <c r="V5" i="320"/>
  <c r="U5" i="320"/>
  <c r="T5" i="320"/>
  <c r="S5" i="320"/>
  <c r="R5" i="320"/>
  <c r="Q5" i="320"/>
  <c r="P5" i="320"/>
  <c r="O5" i="320"/>
  <c r="N5" i="320"/>
  <c r="M5" i="320"/>
  <c r="L5" i="320"/>
  <c r="K5" i="320"/>
  <c r="J5" i="320"/>
  <c r="I5" i="320"/>
  <c r="H5" i="320"/>
  <c r="G5" i="320"/>
  <c r="F5" i="320"/>
  <c r="E5" i="320"/>
  <c r="D5" i="320"/>
  <c r="C5" i="320"/>
  <c r="B5" i="320"/>
  <c r="Y10" i="319"/>
  <c r="X10" i="319"/>
  <c r="W10" i="319"/>
  <c r="V10" i="319"/>
  <c r="U10" i="319"/>
  <c r="T10" i="319"/>
  <c r="S10" i="319"/>
  <c r="R10" i="319"/>
  <c r="Q10" i="319"/>
  <c r="P10" i="319"/>
  <c r="O10" i="319"/>
  <c r="N10" i="319"/>
  <c r="M10" i="319"/>
  <c r="L10" i="319"/>
  <c r="K10" i="319"/>
  <c r="J10" i="319"/>
  <c r="I10" i="319"/>
  <c r="H10" i="319"/>
  <c r="G10" i="319"/>
  <c r="F10" i="319"/>
  <c r="E10" i="319"/>
  <c r="D10" i="319"/>
  <c r="C10" i="319"/>
  <c r="B10" i="319"/>
  <c r="Y9" i="319"/>
  <c r="X9" i="319"/>
  <c r="W9" i="319"/>
  <c r="V9" i="319"/>
  <c r="U9" i="319"/>
  <c r="T9" i="319"/>
  <c r="S9" i="319"/>
  <c r="R9" i="319"/>
  <c r="Q9" i="319"/>
  <c r="P9" i="319"/>
  <c r="O9" i="319"/>
  <c r="N9" i="319"/>
  <c r="M9" i="319"/>
  <c r="L9" i="319"/>
  <c r="K9" i="319"/>
  <c r="J9" i="319"/>
  <c r="I9" i="319"/>
  <c r="H9" i="319"/>
  <c r="G9" i="319"/>
  <c r="F9" i="319"/>
  <c r="E9" i="319"/>
  <c r="D9" i="319"/>
  <c r="C9" i="319"/>
  <c r="B9" i="319"/>
  <c r="Y8" i="319"/>
  <c r="X8" i="319"/>
  <c r="W8" i="319"/>
  <c r="V8" i="319"/>
  <c r="U8" i="319"/>
  <c r="T8" i="319"/>
  <c r="S8" i="319"/>
  <c r="R8" i="319"/>
  <c r="Q8" i="319"/>
  <c r="P8" i="319"/>
  <c r="O8" i="319"/>
  <c r="N8" i="319"/>
  <c r="M8" i="319"/>
  <c r="L8" i="319"/>
  <c r="K8" i="319"/>
  <c r="J8" i="319"/>
  <c r="I8" i="319"/>
  <c r="H8" i="319"/>
  <c r="G8" i="319"/>
  <c r="F8" i="319"/>
  <c r="E8" i="319"/>
  <c r="D8" i="319"/>
  <c r="C8" i="319"/>
  <c r="B8" i="319"/>
  <c r="Y7" i="319"/>
  <c r="X7" i="319"/>
  <c r="W7" i="319"/>
  <c r="V7" i="319"/>
  <c r="U7" i="319"/>
  <c r="T7" i="319"/>
  <c r="S7" i="319"/>
  <c r="R7" i="319"/>
  <c r="Q7" i="319"/>
  <c r="P7" i="319"/>
  <c r="O7" i="319"/>
  <c r="N7" i="319"/>
  <c r="M7" i="319"/>
  <c r="L7" i="319"/>
  <c r="K7" i="319"/>
  <c r="J7" i="319"/>
  <c r="I7" i="319"/>
  <c r="H7" i="319"/>
  <c r="G7" i="319"/>
  <c r="F7" i="319"/>
  <c r="E7" i="319"/>
  <c r="D7" i="319"/>
  <c r="C7" i="319"/>
  <c r="B7" i="319"/>
  <c r="Y6" i="319"/>
  <c r="X6" i="319"/>
  <c r="W6" i="319"/>
  <c r="V6" i="319"/>
  <c r="U6" i="319"/>
  <c r="T6" i="319"/>
  <c r="S6" i="319"/>
  <c r="R6" i="319"/>
  <c r="Q6" i="319"/>
  <c r="P6" i="319"/>
  <c r="O6" i="319"/>
  <c r="N6" i="319"/>
  <c r="M6" i="319"/>
  <c r="L6" i="319"/>
  <c r="K6" i="319"/>
  <c r="J6" i="319"/>
  <c r="I6" i="319"/>
  <c r="H6" i="319"/>
  <c r="G6" i="319"/>
  <c r="F6" i="319"/>
  <c r="E6" i="319"/>
  <c r="D6" i="319"/>
  <c r="C6" i="319"/>
  <c r="B6" i="319"/>
  <c r="Y5" i="319"/>
  <c r="X5" i="319"/>
  <c r="W5" i="319"/>
  <c r="V5" i="319"/>
  <c r="U5" i="319"/>
  <c r="T5" i="319"/>
  <c r="S5" i="319"/>
  <c r="R5" i="319"/>
  <c r="Q5" i="319"/>
  <c r="P5" i="319"/>
  <c r="O5" i="319"/>
  <c r="N5" i="319"/>
  <c r="M5" i="319"/>
  <c r="L5" i="319"/>
  <c r="K5" i="319"/>
  <c r="J5" i="319"/>
  <c r="I5" i="319"/>
  <c r="H5" i="319"/>
  <c r="G5" i="319"/>
  <c r="F5" i="319"/>
  <c r="E5" i="319"/>
  <c r="D5" i="319"/>
  <c r="C5" i="319"/>
  <c r="B5" i="319"/>
  <c r="Y10" i="318"/>
  <c r="X10" i="318"/>
  <c r="W10" i="318"/>
  <c r="V10" i="318"/>
  <c r="U10" i="318"/>
  <c r="T10" i="318"/>
  <c r="S10" i="318"/>
  <c r="R10" i="318"/>
  <c r="Q10" i="318"/>
  <c r="P10" i="318"/>
  <c r="O10" i="318"/>
  <c r="N10" i="318"/>
  <c r="M10" i="318"/>
  <c r="L10" i="318"/>
  <c r="K10" i="318"/>
  <c r="J10" i="318"/>
  <c r="I10" i="318"/>
  <c r="H10" i="318"/>
  <c r="G10" i="318"/>
  <c r="F10" i="318"/>
  <c r="E10" i="318"/>
  <c r="D10" i="318"/>
  <c r="C10" i="318"/>
  <c r="B10" i="318"/>
  <c r="Y9" i="318"/>
  <c r="X9" i="318"/>
  <c r="W9" i="318"/>
  <c r="V9" i="318"/>
  <c r="U9" i="318"/>
  <c r="T9" i="318"/>
  <c r="S9" i="318"/>
  <c r="R9" i="318"/>
  <c r="Q9" i="318"/>
  <c r="P9" i="318"/>
  <c r="O9" i="318"/>
  <c r="N9" i="318"/>
  <c r="M9" i="318"/>
  <c r="L9" i="318"/>
  <c r="K9" i="318"/>
  <c r="J9" i="318"/>
  <c r="I9" i="318"/>
  <c r="H9" i="318"/>
  <c r="G9" i="318"/>
  <c r="F9" i="318"/>
  <c r="E9" i="318"/>
  <c r="D9" i="318"/>
  <c r="C9" i="318"/>
  <c r="B9" i="318"/>
  <c r="Y8" i="318"/>
  <c r="X8" i="318"/>
  <c r="W8" i="318"/>
  <c r="V8" i="318"/>
  <c r="U8" i="318"/>
  <c r="T8" i="318"/>
  <c r="S8" i="318"/>
  <c r="R8" i="318"/>
  <c r="Q8" i="318"/>
  <c r="P8" i="318"/>
  <c r="O8" i="318"/>
  <c r="N8" i="318"/>
  <c r="M8" i="318"/>
  <c r="L8" i="318"/>
  <c r="K8" i="318"/>
  <c r="J8" i="318"/>
  <c r="I8" i="318"/>
  <c r="H8" i="318"/>
  <c r="G8" i="318"/>
  <c r="F8" i="318"/>
  <c r="E8" i="318"/>
  <c r="D8" i="318"/>
  <c r="C8" i="318"/>
  <c r="B8" i="318"/>
  <c r="Y7" i="318"/>
  <c r="X7" i="318"/>
  <c r="W7" i="318"/>
  <c r="V7" i="318"/>
  <c r="U7" i="318"/>
  <c r="T7" i="318"/>
  <c r="S7" i="318"/>
  <c r="R7" i="318"/>
  <c r="Q7" i="318"/>
  <c r="P7" i="318"/>
  <c r="O7" i="318"/>
  <c r="N7" i="318"/>
  <c r="M7" i="318"/>
  <c r="L7" i="318"/>
  <c r="K7" i="318"/>
  <c r="J7" i="318"/>
  <c r="I7" i="318"/>
  <c r="H7" i="318"/>
  <c r="G7" i="318"/>
  <c r="F7" i="318"/>
  <c r="E7" i="318"/>
  <c r="D7" i="318"/>
  <c r="C7" i="318"/>
  <c r="B7" i="318"/>
  <c r="Y6" i="318"/>
  <c r="X6" i="318"/>
  <c r="W6" i="318"/>
  <c r="V6" i="318"/>
  <c r="U6" i="318"/>
  <c r="T6" i="318"/>
  <c r="S6" i="318"/>
  <c r="R6" i="318"/>
  <c r="Q6" i="318"/>
  <c r="P6" i="318"/>
  <c r="O6" i="318"/>
  <c r="N6" i="318"/>
  <c r="M6" i="318"/>
  <c r="L6" i="318"/>
  <c r="K6" i="318"/>
  <c r="J6" i="318"/>
  <c r="I6" i="318"/>
  <c r="H6" i="318"/>
  <c r="G6" i="318"/>
  <c r="F6" i="318"/>
  <c r="E6" i="318"/>
  <c r="D6" i="318"/>
  <c r="C6" i="318"/>
  <c r="B6" i="318"/>
  <c r="Y5" i="318"/>
  <c r="X5" i="318"/>
  <c r="W5" i="318"/>
  <c r="V5" i="318"/>
  <c r="U5" i="318"/>
  <c r="T5" i="318"/>
  <c r="S5" i="318"/>
  <c r="R5" i="318"/>
  <c r="Q5" i="318"/>
  <c r="P5" i="318"/>
  <c r="O5" i="318"/>
  <c r="N5" i="318"/>
  <c r="M5" i="318"/>
  <c r="L5" i="318"/>
  <c r="K5" i="318"/>
  <c r="J5" i="318"/>
  <c r="I5" i="318"/>
  <c r="H5" i="318"/>
  <c r="G5" i="318"/>
  <c r="F5" i="318"/>
  <c r="E5" i="318"/>
  <c r="D5" i="318"/>
  <c r="C5" i="318"/>
  <c r="B5" i="318"/>
  <c r="Y10" i="317"/>
  <c r="X10" i="317"/>
  <c r="W10" i="317"/>
  <c r="V10" i="317"/>
  <c r="U10" i="317"/>
  <c r="T10" i="317"/>
  <c r="S10" i="317"/>
  <c r="R10" i="317"/>
  <c r="Q10" i="317"/>
  <c r="P10" i="317"/>
  <c r="O10" i="317"/>
  <c r="N10" i="317"/>
  <c r="M10" i="317"/>
  <c r="L10" i="317"/>
  <c r="K10" i="317"/>
  <c r="J10" i="317"/>
  <c r="I10" i="317"/>
  <c r="H10" i="317"/>
  <c r="G10" i="317"/>
  <c r="F10" i="317"/>
  <c r="E10" i="317"/>
  <c r="D10" i="317"/>
  <c r="C10" i="317"/>
  <c r="B10" i="317"/>
  <c r="Y9" i="317"/>
  <c r="X9" i="317"/>
  <c r="W9" i="317"/>
  <c r="V9" i="317"/>
  <c r="U9" i="317"/>
  <c r="T9" i="317"/>
  <c r="S9" i="317"/>
  <c r="R9" i="317"/>
  <c r="Q9" i="317"/>
  <c r="P9" i="317"/>
  <c r="O9" i="317"/>
  <c r="N9" i="317"/>
  <c r="M9" i="317"/>
  <c r="L9" i="317"/>
  <c r="K9" i="317"/>
  <c r="J9" i="317"/>
  <c r="I9" i="317"/>
  <c r="H9" i="317"/>
  <c r="G9" i="317"/>
  <c r="F9" i="317"/>
  <c r="E9" i="317"/>
  <c r="D9" i="317"/>
  <c r="C9" i="317"/>
  <c r="B9" i="317"/>
  <c r="Y8" i="317"/>
  <c r="X8" i="317"/>
  <c r="W8" i="317"/>
  <c r="V8" i="317"/>
  <c r="U8" i="317"/>
  <c r="T8" i="317"/>
  <c r="S8" i="317"/>
  <c r="R8" i="317"/>
  <c r="Q8" i="317"/>
  <c r="P8" i="317"/>
  <c r="O8" i="317"/>
  <c r="N8" i="317"/>
  <c r="M8" i="317"/>
  <c r="L8" i="317"/>
  <c r="K8" i="317"/>
  <c r="J8" i="317"/>
  <c r="I8" i="317"/>
  <c r="H8" i="317"/>
  <c r="G8" i="317"/>
  <c r="F8" i="317"/>
  <c r="E8" i="317"/>
  <c r="D8" i="317"/>
  <c r="C8" i="317"/>
  <c r="B8" i="317"/>
  <c r="Y7" i="317"/>
  <c r="X7" i="317"/>
  <c r="W7" i="317"/>
  <c r="V7" i="317"/>
  <c r="U7" i="317"/>
  <c r="T7" i="317"/>
  <c r="S7" i="317"/>
  <c r="R7" i="317"/>
  <c r="Q7" i="317"/>
  <c r="P7" i="317"/>
  <c r="O7" i="317"/>
  <c r="N7" i="317"/>
  <c r="M7" i="317"/>
  <c r="L7" i="317"/>
  <c r="K7" i="317"/>
  <c r="J7" i="317"/>
  <c r="I7" i="317"/>
  <c r="H7" i="317"/>
  <c r="G7" i="317"/>
  <c r="F7" i="317"/>
  <c r="E7" i="317"/>
  <c r="D7" i="317"/>
  <c r="C7" i="317"/>
  <c r="B7" i="317"/>
  <c r="Y6" i="317"/>
  <c r="X6" i="317"/>
  <c r="W6" i="317"/>
  <c r="V6" i="317"/>
  <c r="U6" i="317"/>
  <c r="T6" i="317"/>
  <c r="S6" i="317"/>
  <c r="R6" i="317"/>
  <c r="Q6" i="317"/>
  <c r="P6" i="317"/>
  <c r="O6" i="317"/>
  <c r="N6" i="317"/>
  <c r="M6" i="317"/>
  <c r="L6" i="317"/>
  <c r="K6" i="317"/>
  <c r="J6" i="317"/>
  <c r="I6" i="317"/>
  <c r="H6" i="317"/>
  <c r="G6" i="317"/>
  <c r="F6" i="317"/>
  <c r="E6" i="317"/>
  <c r="D6" i="317"/>
  <c r="C6" i="317"/>
  <c r="B6" i="317"/>
  <c r="Y5" i="317"/>
  <c r="X5" i="317"/>
  <c r="W5" i="317"/>
  <c r="V5" i="317"/>
  <c r="U5" i="317"/>
  <c r="T5" i="317"/>
  <c r="S5" i="317"/>
  <c r="R5" i="317"/>
  <c r="Q5" i="317"/>
  <c r="P5" i="317"/>
  <c r="O5" i="317"/>
  <c r="N5" i="317"/>
  <c r="M5" i="317"/>
  <c r="L5" i="317"/>
  <c r="K5" i="317"/>
  <c r="J5" i="317"/>
  <c r="I5" i="317"/>
  <c r="H5" i="317"/>
  <c r="G5" i="317"/>
  <c r="F5" i="317"/>
  <c r="E5" i="317"/>
  <c r="D5" i="317"/>
  <c r="C5" i="317"/>
  <c r="B5" i="317"/>
  <c r="Y10" i="316"/>
  <c r="X10" i="316"/>
  <c r="W10" i="316"/>
  <c r="V10" i="316"/>
  <c r="U10" i="316"/>
  <c r="T10" i="316"/>
  <c r="S10" i="316"/>
  <c r="R10" i="316"/>
  <c r="Q10" i="316"/>
  <c r="P10" i="316"/>
  <c r="O10" i="316"/>
  <c r="N10" i="316"/>
  <c r="M10" i="316"/>
  <c r="L10" i="316"/>
  <c r="K10" i="316"/>
  <c r="J10" i="316"/>
  <c r="I10" i="316"/>
  <c r="H10" i="316"/>
  <c r="G10" i="316"/>
  <c r="F10" i="316"/>
  <c r="E10" i="316"/>
  <c r="D10" i="316"/>
  <c r="C10" i="316"/>
  <c r="B10" i="316"/>
  <c r="Y9" i="316"/>
  <c r="X9" i="316"/>
  <c r="W9" i="316"/>
  <c r="V9" i="316"/>
  <c r="U9" i="316"/>
  <c r="T9" i="316"/>
  <c r="S9" i="316"/>
  <c r="R9" i="316"/>
  <c r="Q9" i="316"/>
  <c r="P9" i="316"/>
  <c r="O9" i="316"/>
  <c r="N9" i="316"/>
  <c r="M9" i="316"/>
  <c r="L9" i="316"/>
  <c r="K9" i="316"/>
  <c r="J9" i="316"/>
  <c r="I9" i="316"/>
  <c r="H9" i="316"/>
  <c r="G9" i="316"/>
  <c r="F9" i="316"/>
  <c r="E9" i="316"/>
  <c r="D9" i="316"/>
  <c r="C9" i="316"/>
  <c r="B9" i="316"/>
  <c r="Y8" i="316"/>
  <c r="X8" i="316"/>
  <c r="W8" i="316"/>
  <c r="V8" i="316"/>
  <c r="U8" i="316"/>
  <c r="T8" i="316"/>
  <c r="S8" i="316"/>
  <c r="R8" i="316"/>
  <c r="Q8" i="316"/>
  <c r="P8" i="316"/>
  <c r="O8" i="316"/>
  <c r="N8" i="316"/>
  <c r="M8" i="316"/>
  <c r="L8" i="316"/>
  <c r="K8" i="316"/>
  <c r="J8" i="316"/>
  <c r="I8" i="316"/>
  <c r="H8" i="316"/>
  <c r="G8" i="316"/>
  <c r="F8" i="316"/>
  <c r="E8" i="316"/>
  <c r="D8" i="316"/>
  <c r="C8" i="316"/>
  <c r="B8" i="316"/>
  <c r="Y7" i="316"/>
  <c r="X7" i="316"/>
  <c r="W7" i="316"/>
  <c r="V7" i="316"/>
  <c r="U7" i="316"/>
  <c r="T7" i="316"/>
  <c r="S7" i="316"/>
  <c r="R7" i="316"/>
  <c r="Q7" i="316"/>
  <c r="P7" i="316"/>
  <c r="O7" i="316"/>
  <c r="N7" i="316"/>
  <c r="M7" i="316"/>
  <c r="L7" i="316"/>
  <c r="K7" i="316"/>
  <c r="J7" i="316"/>
  <c r="I7" i="316"/>
  <c r="H7" i="316"/>
  <c r="G7" i="316"/>
  <c r="F7" i="316"/>
  <c r="E7" i="316"/>
  <c r="D7" i="316"/>
  <c r="C7" i="316"/>
  <c r="B7" i="316"/>
  <c r="Y6" i="316"/>
  <c r="X6" i="316"/>
  <c r="W6" i="316"/>
  <c r="V6" i="316"/>
  <c r="U6" i="316"/>
  <c r="T6" i="316"/>
  <c r="S6" i="316"/>
  <c r="R6" i="316"/>
  <c r="Q6" i="316"/>
  <c r="P6" i="316"/>
  <c r="O6" i="316"/>
  <c r="N6" i="316"/>
  <c r="M6" i="316"/>
  <c r="L6" i="316"/>
  <c r="K6" i="316"/>
  <c r="J6" i="316"/>
  <c r="I6" i="316"/>
  <c r="H6" i="316"/>
  <c r="G6" i="316"/>
  <c r="F6" i="316"/>
  <c r="E6" i="316"/>
  <c r="D6" i="316"/>
  <c r="C6" i="316"/>
  <c r="B6" i="316"/>
  <c r="Y5" i="316"/>
  <c r="X5" i="316"/>
  <c r="W5" i="316"/>
  <c r="V5" i="316"/>
  <c r="U5" i="316"/>
  <c r="T5" i="316"/>
  <c r="S5" i="316"/>
  <c r="R5" i="316"/>
  <c r="Q5" i="316"/>
  <c r="P5" i="316"/>
  <c r="O5" i="316"/>
  <c r="N5" i="316"/>
  <c r="M5" i="316"/>
  <c r="L5" i="316"/>
  <c r="K5" i="316"/>
  <c r="J5" i="316"/>
  <c r="I5" i="316"/>
  <c r="H5" i="316"/>
  <c r="G5" i="316"/>
  <c r="F5" i="316"/>
  <c r="E5" i="316"/>
  <c r="D5" i="316"/>
  <c r="C5" i="316"/>
  <c r="B5" i="316"/>
  <c r="Y10" i="315"/>
  <c r="X10" i="315"/>
  <c r="W10" i="315"/>
  <c r="V10" i="315"/>
  <c r="U10" i="315"/>
  <c r="T10" i="315"/>
  <c r="S10" i="315"/>
  <c r="R10" i="315"/>
  <c r="Q10" i="315"/>
  <c r="P10" i="315"/>
  <c r="O10" i="315"/>
  <c r="N10" i="315"/>
  <c r="M10" i="315"/>
  <c r="L10" i="315"/>
  <c r="K10" i="315"/>
  <c r="J10" i="315"/>
  <c r="I10" i="315"/>
  <c r="H10" i="315"/>
  <c r="G10" i="315"/>
  <c r="F10" i="315"/>
  <c r="E10" i="315"/>
  <c r="D10" i="315"/>
  <c r="C10" i="315"/>
  <c r="B10" i="315"/>
  <c r="Y9" i="315"/>
  <c r="X9" i="315"/>
  <c r="W9" i="315"/>
  <c r="V9" i="315"/>
  <c r="U9" i="315"/>
  <c r="T9" i="315"/>
  <c r="S9" i="315"/>
  <c r="R9" i="315"/>
  <c r="Q9" i="315"/>
  <c r="P9" i="315"/>
  <c r="O9" i="315"/>
  <c r="N9" i="315"/>
  <c r="M9" i="315"/>
  <c r="L9" i="315"/>
  <c r="K9" i="315"/>
  <c r="J9" i="315"/>
  <c r="I9" i="315"/>
  <c r="H9" i="315"/>
  <c r="G9" i="315"/>
  <c r="F9" i="315"/>
  <c r="E9" i="315"/>
  <c r="D9" i="315"/>
  <c r="C9" i="315"/>
  <c r="B9" i="315"/>
  <c r="Y8" i="315"/>
  <c r="X8" i="315"/>
  <c r="W8" i="315"/>
  <c r="V8" i="315"/>
  <c r="U8" i="315"/>
  <c r="T8" i="315"/>
  <c r="S8" i="315"/>
  <c r="R8" i="315"/>
  <c r="Q8" i="315"/>
  <c r="P8" i="315"/>
  <c r="O8" i="315"/>
  <c r="N8" i="315"/>
  <c r="M8" i="315"/>
  <c r="L8" i="315"/>
  <c r="K8" i="315"/>
  <c r="J8" i="315"/>
  <c r="I8" i="315"/>
  <c r="H8" i="315"/>
  <c r="G8" i="315"/>
  <c r="F8" i="315"/>
  <c r="E8" i="315"/>
  <c r="D8" i="315"/>
  <c r="C8" i="315"/>
  <c r="B8" i="315"/>
  <c r="Y7" i="315"/>
  <c r="X7" i="315"/>
  <c r="W7" i="315"/>
  <c r="V7" i="315"/>
  <c r="U7" i="315"/>
  <c r="T7" i="315"/>
  <c r="S7" i="315"/>
  <c r="R7" i="315"/>
  <c r="Q7" i="315"/>
  <c r="P7" i="315"/>
  <c r="O7" i="315"/>
  <c r="N7" i="315"/>
  <c r="M7" i="315"/>
  <c r="L7" i="315"/>
  <c r="K7" i="315"/>
  <c r="J7" i="315"/>
  <c r="I7" i="315"/>
  <c r="H7" i="315"/>
  <c r="G7" i="315"/>
  <c r="F7" i="315"/>
  <c r="E7" i="315"/>
  <c r="D7" i="315"/>
  <c r="C7" i="315"/>
  <c r="B7" i="315"/>
  <c r="Y6" i="315"/>
  <c r="X6" i="315"/>
  <c r="W6" i="315"/>
  <c r="V6" i="315"/>
  <c r="U6" i="315"/>
  <c r="T6" i="315"/>
  <c r="S6" i="315"/>
  <c r="R6" i="315"/>
  <c r="Q6" i="315"/>
  <c r="P6" i="315"/>
  <c r="O6" i="315"/>
  <c r="N6" i="315"/>
  <c r="M6" i="315"/>
  <c r="L6" i="315"/>
  <c r="K6" i="315"/>
  <c r="J6" i="315"/>
  <c r="I6" i="315"/>
  <c r="H6" i="315"/>
  <c r="G6" i="315"/>
  <c r="F6" i="315"/>
  <c r="E6" i="315"/>
  <c r="D6" i="315"/>
  <c r="C6" i="315"/>
  <c r="B6" i="315"/>
  <c r="Y5" i="315"/>
  <c r="X5" i="315"/>
  <c r="W5" i="315"/>
  <c r="V5" i="315"/>
  <c r="U5" i="315"/>
  <c r="T5" i="315"/>
  <c r="S5" i="315"/>
  <c r="R5" i="315"/>
  <c r="Q5" i="315"/>
  <c r="P5" i="315"/>
  <c r="O5" i="315"/>
  <c r="N5" i="315"/>
  <c r="M5" i="315"/>
  <c r="L5" i="315"/>
  <c r="K5" i="315"/>
  <c r="J5" i="315"/>
  <c r="I5" i="315"/>
  <c r="H5" i="315"/>
  <c r="G5" i="315"/>
  <c r="F5" i="315"/>
  <c r="E5" i="315"/>
  <c r="D5" i="315"/>
  <c r="C5" i="315"/>
  <c r="B5" i="315"/>
  <c r="Y10" i="314"/>
  <c r="X10" i="314"/>
  <c r="W10" i="314"/>
  <c r="V10" i="314"/>
  <c r="U10" i="314"/>
  <c r="T10" i="314"/>
  <c r="S10" i="314"/>
  <c r="R10" i="314"/>
  <c r="Q10" i="314"/>
  <c r="P10" i="314"/>
  <c r="O10" i="314"/>
  <c r="N10" i="314"/>
  <c r="M10" i="314"/>
  <c r="L10" i="314"/>
  <c r="K10" i="314"/>
  <c r="J10" i="314"/>
  <c r="I10" i="314"/>
  <c r="H10" i="314"/>
  <c r="G10" i="314"/>
  <c r="F10" i="314"/>
  <c r="E10" i="314"/>
  <c r="D10" i="314"/>
  <c r="C10" i="314"/>
  <c r="B10" i="314"/>
  <c r="Y9" i="314"/>
  <c r="X9" i="314"/>
  <c r="W9" i="314"/>
  <c r="V9" i="314"/>
  <c r="U9" i="314"/>
  <c r="T9" i="314"/>
  <c r="S9" i="314"/>
  <c r="R9" i="314"/>
  <c r="Q9" i="314"/>
  <c r="P9" i="314"/>
  <c r="O9" i="314"/>
  <c r="N9" i="314"/>
  <c r="M9" i="314"/>
  <c r="L9" i="314"/>
  <c r="K9" i="314"/>
  <c r="J9" i="314"/>
  <c r="I9" i="314"/>
  <c r="H9" i="314"/>
  <c r="G9" i="314"/>
  <c r="F9" i="314"/>
  <c r="E9" i="314"/>
  <c r="D9" i="314"/>
  <c r="C9" i="314"/>
  <c r="B9" i="314"/>
  <c r="Y8" i="314"/>
  <c r="X8" i="314"/>
  <c r="W8" i="314"/>
  <c r="V8" i="314"/>
  <c r="U8" i="314"/>
  <c r="T8" i="314"/>
  <c r="S8" i="314"/>
  <c r="R8" i="314"/>
  <c r="Q8" i="314"/>
  <c r="P8" i="314"/>
  <c r="O8" i="314"/>
  <c r="N8" i="314"/>
  <c r="M8" i="314"/>
  <c r="L8" i="314"/>
  <c r="K8" i="314"/>
  <c r="J8" i="314"/>
  <c r="I8" i="314"/>
  <c r="H8" i="314"/>
  <c r="G8" i="314"/>
  <c r="F8" i="314"/>
  <c r="E8" i="314"/>
  <c r="D8" i="314"/>
  <c r="C8" i="314"/>
  <c r="B8" i="314"/>
  <c r="Y7" i="314"/>
  <c r="X7" i="314"/>
  <c r="W7" i="314"/>
  <c r="V7" i="314"/>
  <c r="U7" i="314"/>
  <c r="T7" i="314"/>
  <c r="S7" i="314"/>
  <c r="R7" i="314"/>
  <c r="Q7" i="314"/>
  <c r="P7" i="314"/>
  <c r="O7" i="314"/>
  <c r="N7" i="314"/>
  <c r="M7" i="314"/>
  <c r="L7" i="314"/>
  <c r="K7" i="314"/>
  <c r="J7" i="314"/>
  <c r="I7" i="314"/>
  <c r="H7" i="314"/>
  <c r="G7" i="314"/>
  <c r="F7" i="314"/>
  <c r="E7" i="314"/>
  <c r="D7" i="314"/>
  <c r="C7" i="314"/>
  <c r="B7" i="314"/>
  <c r="Y6" i="314"/>
  <c r="X6" i="314"/>
  <c r="W6" i="314"/>
  <c r="V6" i="314"/>
  <c r="U6" i="314"/>
  <c r="T6" i="314"/>
  <c r="S6" i="314"/>
  <c r="R6" i="314"/>
  <c r="Q6" i="314"/>
  <c r="P6" i="314"/>
  <c r="O6" i="314"/>
  <c r="N6" i="314"/>
  <c r="M6" i="314"/>
  <c r="L6" i="314"/>
  <c r="K6" i="314"/>
  <c r="J6" i="314"/>
  <c r="I6" i="314"/>
  <c r="H6" i="314"/>
  <c r="G6" i="314"/>
  <c r="F6" i="314"/>
  <c r="E6" i="314"/>
  <c r="D6" i="314"/>
  <c r="C6" i="314"/>
  <c r="B6" i="314"/>
  <c r="Y5" i="314"/>
  <c r="X5" i="314"/>
  <c r="W5" i="314"/>
  <c r="V5" i="314"/>
  <c r="U5" i="314"/>
  <c r="T5" i="314"/>
  <c r="S5" i="314"/>
  <c r="R5" i="314"/>
  <c r="Q5" i="314"/>
  <c r="P5" i="314"/>
  <c r="O5" i="314"/>
  <c r="N5" i="314"/>
  <c r="M5" i="314"/>
  <c r="L5" i="314"/>
  <c r="K5" i="314"/>
  <c r="J5" i="314"/>
  <c r="I5" i="314"/>
  <c r="H5" i="314"/>
  <c r="G5" i="314"/>
  <c r="F5" i="314"/>
  <c r="E5" i="314"/>
  <c r="D5" i="314"/>
  <c r="C5" i="314"/>
  <c r="B5" i="314"/>
  <c r="Y10" i="283"/>
  <c r="X10" i="283"/>
  <c r="W10" i="283"/>
  <c r="V10" i="283"/>
  <c r="U10" i="283"/>
  <c r="T10" i="283"/>
  <c r="S10" i="283"/>
  <c r="R10" i="283"/>
  <c r="Q10" i="283"/>
  <c r="P10" i="283"/>
  <c r="O10" i="283"/>
  <c r="N10" i="283"/>
  <c r="M10" i="283"/>
  <c r="L10" i="283"/>
  <c r="K10" i="283"/>
  <c r="J10" i="283"/>
  <c r="I10" i="283"/>
  <c r="H10" i="283"/>
  <c r="G10" i="283"/>
  <c r="F10" i="283"/>
  <c r="E10" i="283"/>
  <c r="D10" i="283"/>
  <c r="C10" i="283"/>
  <c r="B10" i="283"/>
  <c r="Y9" i="283"/>
  <c r="X9" i="283"/>
  <c r="W9" i="283"/>
  <c r="V9" i="283"/>
  <c r="U9" i="283"/>
  <c r="T9" i="283"/>
  <c r="S9" i="283"/>
  <c r="R9" i="283"/>
  <c r="Q9" i="283"/>
  <c r="P9" i="283"/>
  <c r="O9" i="283"/>
  <c r="N9" i="283"/>
  <c r="M9" i="283"/>
  <c r="L9" i="283"/>
  <c r="K9" i="283"/>
  <c r="J9" i="283"/>
  <c r="I9" i="283"/>
  <c r="H9" i="283"/>
  <c r="G9" i="283"/>
  <c r="F9" i="283"/>
  <c r="E9" i="283"/>
  <c r="D9" i="283"/>
  <c r="C9" i="283"/>
  <c r="B9" i="283"/>
  <c r="Y8" i="283"/>
  <c r="X8" i="283"/>
  <c r="W8" i="283"/>
  <c r="V8" i="283"/>
  <c r="U8" i="283"/>
  <c r="T8" i="283"/>
  <c r="S8" i="283"/>
  <c r="R8" i="283"/>
  <c r="Q8" i="283"/>
  <c r="P8" i="283"/>
  <c r="O8" i="283"/>
  <c r="N8" i="283"/>
  <c r="M8" i="283"/>
  <c r="L8" i="283"/>
  <c r="K8" i="283"/>
  <c r="J8" i="283"/>
  <c r="I8" i="283"/>
  <c r="H8" i="283"/>
  <c r="G8" i="283"/>
  <c r="F8" i="283"/>
  <c r="E8" i="283"/>
  <c r="D8" i="283"/>
  <c r="C8" i="283"/>
  <c r="B8" i="283"/>
  <c r="Y7" i="283"/>
  <c r="X7" i="283"/>
  <c r="W7" i="283"/>
  <c r="V7" i="283"/>
  <c r="U7" i="283"/>
  <c r="T7" i="283"/>
  <c r="S7" i="283"/>
  <c r="R7" i="283"/>
  <c r="Q7" i="283"/>
  <c r="P7" i="283"/>
  <c r="O7" i="283"/>
  <c r="N7" i="283"/>
  <c r="M7" i="283"/>
  <c r="L7" i="283"/>
  <c r="K7" i="283"/>
  <c r="J7" i="283"/>
  <c r="I7" i="283"/>
  <c r="H7" i="283"/>
  <c r="G7" i="283"/>
  <c r="F7" i="283"/>
  <c r="E7" i="283"/>
  <c r="D7" i="283"/>
  <c r="C7" i="283"/>
  <c r="B7" i="283"/>
  <c r="Y6" i="283"/>
  <c r="X6" i="283"/>
  <c r="W6" i="283"/>
  <c r="V6" i="283"/>
  <c r="U6" i="283"/>
  <c r="T6" i="283"/>
  <c r="S6" i="283"/>
  <c r="R6" i="283"/>
  <c r="Q6" i="283"/>
  <c r="P6" i="283"/>
  <c r="O6" i="283"/>
  <c r="N6" i="283"/>
  <c r="M6" i="283"/>
  <c r="L6" i="283"/>
  <c r="K6" i="283"/>
  <c r="J6" i="283"/>
  <c r="I6" i="283"/>
  <c r="H6" i="283"/>
  <c r="G6" i="283"/>
  <c r="F6" i="283"/>
  <c r="E6" i="283"/>
  <c r="D6" i="283"/>
  <c r="C6" i="283"/>
  <c r="B6" i="283"/>
  <c r="Y5" i="283"/>
  <c r="X5" i="283"/>
  <c r="W5" i="283"/>
  <c r="V5" i="283"/>
  <c r="U5" i="283"/>
  <c r="T5" i="283"/>
  <c r="S5" i="283"/>
  <c r="R5" i="283"/>
  <c r="Q5" i="283"/>
  <c r="P5" i="283"/>
  <c r="O5" i="283"/>
  <c r="N5" i="283"/>
  <c r="M5" i="283"/>
  <c r="L5" i="283"/>
  <c r="K5" i="283"/>
  <c r="J5" i="283"/>
  <c r="I5" i="283"/>
  <c r="H5" i="283"/>
  <c r="G5" i="283"/>
  <c r="F5" i="283"/>
  <c r="E5" i="283"/>
  <c r="D5" i="283"/>
  <c r="C5" i="283"/>
  <c r="B5" i="283"/>
  <c r="Y10" i="282"/>
  <c r="X10" i="282"/>
  <c r="W10" i="282"/>
  <c r="V10" i="282"/>
  <c r="U10" i="282"/>
  <c r="T10" i="282"/>
  <c r="S10" i="282"/>
  <c r="R10" i="282"/>
  <c r="Q10" i="282"/>
  <c r="P10" i="282"/>
  <c r="O10" i="282"/>
  <c r="N10" i="282"/>
  <c r="M10" i="282"/>
  <c r="L10" i="282"/>
  <c r="K10" i="282"/>
  <c r="J10" i="282"/>
  <c r="I10" i="282"/>
  <c r="H10" i="282"/>
  <c r="G10" i="282"/>
  <c r="F10" i="282"/>
  <c r="E10" i="282"/>
  <c r="D10" i="282"/>
  <c r="C10" i="282"/>
  <c r="B10" i="282"/>
  <c r="Y9" i="282"/>
  <c r="X9" i="282"/>
  <c r="W9" i="282"/>
  <c r="V9" i="282"/>
  <c r="U9" i="282"/>
  <c r="T9" i="282"/>
  <c r="S9" i="282"/>
  <c r="R9" i="282"/>
  <c r="Q9" i="282"/>
  <c r="P9" i="282"/>
  <c r="O9" i="282"/>
  <c r="N9" i="282"/>
  <c r="M9" i="282"/>
  <c r="L9" i="282"/>
  <c r="K9" i="282"/>
  <c r="J9" i="282"/>
  <c r="I9" i="282"/>
  <c r="H9" i="282"/>
  <c r="G9" i="282"/>
  <c r="F9" i="282"/>
  <c r="E9" i="282"/>
  <c r="D9" i="282"/>
  <c r="C9" i="282"/>
  <c r="B9" i="282"/>
  <c r="Y8" i="282"/>
  <c r="X8" i="282"/>
  <c r="W8" i="282"/>
  <c r="V8" i="282"/>
  <c r="U8" i="282"/>
  <c r="T8" i="282"/>
  <c r="S8" i="282"/>
  <c r="R8" i="282"/>
  <c r="Q8" i="282"/>
  <c r="P8" i="282"/>
  <c r="O8" i="282"/>
  <c r="N8" i="282"/>
  <c r="M8" i="282"/>
  <c r="L8" i="282"/>
  <c r="K8" i="282"/>
  <c r="J8" i="282"/>
  <c r="I8" i="282"/>
  <c r="H8" i="282"/>
  <c r="G8" i="282"/>
  <c r="F8" i="282"/>
  <c r="E8" i="282"/>
  <c r="D8" i="282"/>
  <c r="C8" i="282"/>
  <c r="B8" i="282"/>
  <c r="Y7" i="282"/>
  <c r="X7" i="282"/>
  <c r="W7" i="282"/>
  <c r="V7" i="282"/>
  <c r="U7" i="282"/>
  <c r="T7" i="282"/>
  <c r="S7" i="282"/>
  <c r="R7" i="282"/>
  <c r="Q7" i="282"/>
  <c r="P7" i="282"/>
  <c r="O7" i="282"/>
  <c r="N7" i="282"/>
  <c r="M7" i="282"/>
  <c r="L7" i="282"/>
  <c r="K7" i="282"/>
  <c r="J7" i="282"/>
  <c r="I7" i="282"/>
  <c r="H7" i="282"/>
  <c r="G7" i="282"/>
  <c r="F7" i="282"/>
  <c r="E7" i="282"/>
  <c r="D7" i="282"/>
  <c r="C7" i="282"/>
  <c r="B7" i="282"/>
  <c r="Y6" i="282"/>
  <c r="X6" i="282"/>
  <c r="W6" i="282"/>
  <c r="V6" i="282"/>
  <c r="U6" i="282"/>
  <c r="T6" i="282"/>
  <c r="S6" i="282"/>
  <c r="R6" i="282"/>
  <c r="Q6" i="282"/>
  <c r="P6" i="282"/>
  <c r="O6" i="282"/>
  <c r="N6" i="282"/>
  <c r="M6" i="282"/>
  <c r="L6" i="282"/>
  <c r="K6" i="282"/>
  <c r="J6" i="282"/>
  <c r="I6" i="282"/>
  <c r="H6" i="282"/>
  <c r="G6" i="282"/>
  <c r="F6" i="282"/>
  <c r="E6" i="282"/>
  <c r="D6" i="282"/>
  <c r="C6" i="282"/>
  <c r="B6" i="282"/>
  <c r="Y5" i="282"/>
  <c r="X5" i="282"/>
  <c r="W5" i="282"/>
  <c r="V5" i="282"/>
  <c r="U5" i="282"/>
  <c r="T5" i="282"/>
  <c r="S5" i="282"/>
  <c r="R5" i="282"/>
  <c r="Q5" i="282"/>
  <c r="P5" i="282"/>
  <c r="O5" i="282"/>
  <c r="N5" i="282"/>
  <c r="M5" i="282"/>
  <c r="L5" i="282"/>
  <c r="K5" i="282"/>
  <c r="J5" i="282"/>
  <c r="I5" i="282"/>
  <c r="H5" i="282"/>
  <c r="G5" i="282"/>
  <c r="F5" i="282"/>
  <c r="E5" i="282"/>
  <c r="D5" i="282"/>
  <c r="C5" i="282"/>
  <c r="B5" i="282"/>
  <c r="Y10" i="281"/>
  <c r="X10" i="281"/>
  <c r="W10" i="281"/>
  <c r="V10" i="281"/>
  <c r="U10" i="281"/>
  <c r="T10" i="281"/>
  <c r="S10" i="281"/>
  <c r="R10" i="281"/>
  <c r="Q10" i="281"/>
  <c r="P10" i="281"/>
  <c r="O10" i="281"/>
  <c r="N10" i="281"/>
  <c r="M10" i="281"/>
  <c r="L10" i="281"/>
  <c r="K10" i="281"/>
  <c r="J10" i="281"/>
  <c r="I10" i="281"/>
  <c r="H10" i="281"/>
  <c r="G10" i="281"/>
  <c r="F10" i="281"/>
  <c r="E10" i="281"/>
  <c r="D10" i="281"/>
  <c r="C10" i="281"/>
  <c r="B10" i="281"/>
  <c r="Y9" i="281"/>
  <c r="X9" i="281"/>
  <c r="W9" i="281"/>
  <c r="V9" i="281"/>
  <c r="U9" i="281"/>
  <c r="T9" i="281"/>
  <c r="S9" i="281"/>
  <c r="R9" i="281"/>
  <c r="Q9" i="281"/>
  <c r="P9" i="281"/>
  <c r="O9" i="281"/>
  <c r="N9" i="281"/>
  <c r="M9" i="281"/>
  <c r="L9" i="281"/>
  <c r="K9" i="281"/>
  <c r="J9" i="281"/>
  <c r="I9" i="281"/>
  <c r="H9" i="281"/>
  <c r="G9" i="281"/>
  <c r="F9" i="281"/>
  <c r="E9" i="281"/>
  <c r="D9" i="281"/>
  <c r="C9" i="281"/>
  <c r="B9" i="281"/>
  <c r="Y8" i="281"/>
  <c r="X8" i="281"/>
  <c r="W8" i="281"/>
  <c r="V8" i="281"/>
  <c r="U8" i="281"/>
  <c r="T8" i="281"/>
  <c r="S8" i="281"/>
  <c r="R8" i="281"/>
  <c r="Q8" i="281"/>
  <c r="P8" i="281"/>
  <c r="O8" i="281"/>
  <c r="N8" i="281"/>
  <c r="M8" i="281"/>
  <c r="L8" i="281"/>
  <c r="K8" i="281"/>
  <c r="J8" i="281"/>
  <c r="I8" i="281"/>
  <c r="H8" i="281"/>
  <c r="G8" i="281"/>
  <c r="F8" i="281"/>
  <c r="E8" i="281"/>
  <c r="D8" i="281"/>
  <c r="C8" i="281"/>
  <c r="B8" i="281"/>
  <c r="Y7" i="281"/>
  <c r="X7" i="281"/>
  <c r="W7" i="281"/>
  <c r="V7" i="281"/>
  <c r="U7" i="281"/>
  <c r="T7" i="281"/>
  <c r="S7" i="281"/>
  <c r="R7" i="281"/>
  <c r="Q7" i="281"/>
  <c r="P7" i="281"/>
  <c r="O7" i="281"/>
  <c r="N7" i="281"/>
  <c r="M7" i="281"/>
  <c r="L7" i="281"/>
  <c r="K7" i="281"/>
  <c r="J7" i="281"/>
  <c r="I7" i="281"/>
  <c r="H7" i="281"/>
  <c r="G7" i="281"/>
  <c r="F7" i="281"/>
  <c r="E7" i="281"/>
  <c r="D7" i="281"/>
  <c r="C7" i="281"/>
  <c r="B7" i="281"/>
  <c r="Y6" i="281"/>
  <c r="X6" i="281"/>
  <c r="W6" i="281"/>
  <c r="V6" i="281"/>
  <c r="U6" i="281"/>
  <c r="T6" i="281"/>
  <c r="S6" i="281"/>
  <c r="R6" i="281"/>
  <c r="Q6" i="281"/>
  <c r="P6" i="281"/>
  <c r="O6" i="281"/>
  <c r="N6" i="281"/>
  <c r="M6" i="281"/>
  <c r="L6" i="281"/>
  <c r="K6" i="281"/>
  <c r="J6" i="281"/>
  <c r="I6" i="281"/>
  <c r="H6" i="281"/>
  <c r="G6" i="281"/>
  <c r="F6" i="281"/>
  <c r="E6" i="281"/>
  <c r="D6" i="281"/>
  <c r="C6" i="281"/>
  <c r="B6" i="281"/>
  <c r="Y5" i="281"/>
  <c r="X5" i="281"/>
  <c r="W5" i="281"/>
  <c r="V5" i="281"/>
  <c r="U5" i="281"/>
  <c r="T5" i="281"/>
  <c r="S5" i="281"/>
  <c r="R5" i="281"/>
  <c r="Q5" i="281"/>
  <c r="P5" i="281"/>
  <c r="O5" i="281"/>
  <c r="N5" i="281"/>
  <c r="M5" i="281"/>
  <c r="L5" i="281"/>
  <c r="K5" i="281"/>
  <c r="J5" i="281"/>
  <c r="I5" i="281"/>
  <c r="H5" i="281"/>
  <c r="G5" i="281"/>
  <c r="F5" i="281"/>
  <c r="E5" i="281"/>
  <c r="D5" i="281"/>
  <c r="C5" i="281"/>
  <c r="B5" i="281"/>
  <c r="Y10" i="280"/>
  <c r="X10" i="280"/>
  <c r="W10" i="280"/>
  <c r="V10" i="280"/>
  <c r="U10" i="280"/>
  <c r="T10" i="280"/>
  <c r="S10" i="280"/>
  <c r="R10" i="280"/>
  <c r="Q10" i="280"/>
  <c r="P10" i="280"/>
  <c r="O10" i="280"/>
  <c r="N10" i="280"/>
  <c r="M10" i="280"/>
  <c r="L10" i="280"/>
  <c r="K10" i="280"/>
  <c r="J10" i="280"/>
  <c r="I10" i="280"/>
  <c r="H10" i="280"/>
  <c r="G10" i="280"/>
  <c r="F10" i="280"/>
  <c r="E10" i="280"/>
  <c r="D10" i="280"/>
  <c r="C10" i="280"/>
  <c r="B10" i="280"/>
  <c r="Y9" i="280"/>
  <c r="X9" i="280"/>
  <c r="W9" i="280"/>
  <c r="V9" i="280"/>
  <c r="U9" i="280"/>
  <c r="T9" i="280"/>
  <c r="S9" i="280"/>
  <c r="R9" i="280"/>
  <c r="Q9" i="280"/>
  <c r="P9" i="280"/>
  <c r="O9" i="280"/>
  <c r="N9" i="280"/>
  <c r="M9" i="280"/>
  <c r="L9" i="280"/>
  <c r="K9" i="280"/>
  <c r="J9" i="280"/>
  <c r="I9" i="280"/>
  <c r="H9" i="280"/>
  <c r="G9" i="280"/>
  <c r="F9" i="280"/>
  <c r="E9" i="280"/>
  <c r="D9" i="280"/>
  <c r="C9" i="280"/>
  <c r="B9" i="280"/>
  <c r="Y8" i="280"/>
  <c r="X8" i="280"/>
  <c r="W8" i="280"/>
  <c r="V8" i="280"/>
  <c r="U8" i="280"/>
  <c r="T8" i="280"/>
  <c r="S8" i="280"/>
  <c r="R8" i="280"/>
  <c r="Q8" i="280"/>
  <c r="P8" i="280"/>
  <c r="O8" i="280"/>
  <c r="N8" i="280"/>
  <c r="M8" i="280"/>
  <c r="L8" i="280"/>
  <c r="K8" i="280"/>
  <c r="J8" i="280"/>
  <c r="I8" i="280"/>
  <c r="H8" i="280"/>
  <c r="G8" i="280"/>
  <c r="F8" i="280"/>
  <c r="E8" i="280"/>
  <c r="D8" i="280"/>
  <c r="C8" i="280"/>
  <c r="B8" i="280"/>
  <c r="Y7" i="280"/>
  <c r="X7" i="280"/>
  <c r="W7" i="280"/>
  <c r="V7" i="280"/>
  <c r="U7" i="280"/>
  <c r="T7" i="280"/>
  <c r="S7" i="280"/>
  <c r="R7" i="280"/>
  <c r="Q7" i="280"/>
  <c r="P7" i="280"/>
  <c r="O7" i="280"/>
  <c r="N7" i="280"/>
  <c r="M7" i="280"/>
  <c r="L7" i="280"/>
  <c r="K7" i="280"/>
  <c r="J7" i="280"/>
  <c r="I7" i="280"/>
  <c r="H7" i="280"/>
  <c r="G7" i="280"/>
  <c r="F7" i="280"/>
  <c r="E7" i="280"/>
  <c r="D7" i="280"/>
  <c r="C7" i="280"/>
  <c r="B7" i="280"/>
  <c r="Y6" i="280"/>
  <c r="X6" i="280"/>
  <c r="W6" i="280"/>
  <c r="V6" i="280"/>
  <c r="U6" i="280"/>
  <c r="T6" i="280"/>
  <c r="S6" i="280"/>
  <c r="R6" i="280"/>
  <c r="Q6" i="280"/>
  <c r="P6" i="280"/>
  <c r="O6" i="280"/>
  <c r="N6" i="280"/>
  <c r="M6" i="280"/>
  <c r="L6" i="280"/>
  <c r="K6" i="280"/>
  <c r="J6" i="280"/>
  <c r="I6" i="280"/>
  <c r="H6" i="280"/>
  <c r="G6" i="280"/>
  <c r="F6" i="280"/>
  <c r="E6" i="280"/>
  <c r="D6" i="280"/>
  <c r="C6" i="280"/>
  <c r="B6" i="280"/>
  <c r="Y5" i="280"/>
  <c r="X5" i="280"/>
  <c r="W5" i="280"/>
  <c r="V5" i="280"/>
  <c r="U5" i="280"/>
  <c r="T5" i="280"/>
  <c r="S5" i="280"/>
  <c r="R5" i="280"/>
  <c r="Q5" i="280"/>
  <c r="P5" i="280"/>
  <c r="O5" i="280"/>
  <c r="N5" i="280"/>
  <c r="M5" i="280"/>
  <c r="L5" i="280"/>
  <c r="K5" i="280"/>
  <c r="J5" i="280"/>
  <c r="I5" i="280"/>
  <c r="H5" i="280"/>
  <c r="G5" i="280"/>
  <c r="F5" i="280"/>
  <c r="E5" i="280"/>
  <c r="D5" i="280"/>
  <c r="C5" i="280"/>
  <c r="B5" i="280"/>
  <c r="Y10" i="279"/>
  <c r="X10" i="279"/>
  <c r="W10" i="279"/>
  <c r="V10" i="279"/>
  <c r="U10" i="279"/>
  <c r="T10" i="279"/>
  <c r="S10" i="279"/>
  <c r="R10" i="279"/>
  <c r="Q10" i="279"/>
  <c r="P10" i="279"/>
  <c r="O10" i="279"/>
  <c r="N10" i="279"/>
  <c r="M10" i="279"/>
  <c r="L10" i="279"/>
  <c r="K10" i="279"/>
  <c r="J10" i="279"/>
  <c r="I10" i="279"/>
  <c r="H10" i="279"/>
  <c r="G10" i="279"/>
  <c r="F10" i="279"/>
  <c r="E10" i="279"/>
  <c r="D10" i="279"/>
  <c r="C10" i="279"/>
  <c r="B10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D9" i="279"/>
  <c r="C9" i="279"/>
  <c r="B9" i="279"/>
  <c r="Y8" i="279"/>
  <c r="X8" i="279"/>
  <c r="W8" i="279"/>
  <c r="V8" i="279"/>
  <c r="U8" i="279"/>
  <c r="T8" i="279"/>
  <c r="S8" i="279"/>
  <c r="R8" i="279"/>
  <c r="Q8" i="279"/>
  <c r="P8" i="279"/>
  <c r="O8" i="279"/>
  <c r="N8" i="279"/>
  <c r="M8" i="279"/>
  <c r="L8" i="279"/>
  <c r="K8" i="279"/>
  <c r="J8" i="279"/>
  <c r="I8" i="279"/>
  <c r="H8" i="279"/>
  <c r="G8" i="279"/>
  <c r="F8" i="279"/>
  <c r="E8" i="279"/>
  <c r="D8" i="279"/>
  <c r="C8" i="279"/>
  <c r="B8" i="279"/>
  <c r="Y7" i="279"/>
  <c r="X7" i="279"/>
  <c r="W7" i="279"/>
  <c r="V7" i="279"/>
  <c r="U7" i="279"/>
  <c r="T7" i="279"/>
  <c r="S7" i="279"/>
  <c r="R7" i="279"/>
  <c r="Q7" i="279"/>
  <c r="P7" i="279"/>
  <c r="O7" i="279"/>
  <c r="N7" i="279"/>
  <c r="M7" i="279"/>
  <c r="L7" i="279"/>
  <c r="K7" i="279"/>
  <c r="J7" i="279"/>
  <c r="I7" i="279"/>
  <c r="H7" i="279"/>
  <c r="G7" i="279"/>
  <c r="F7" i="279"/>
  <c r="E7" i="279"/>
  <c r="D7" i="279"/>
  <c r="C7" i="279"/>
  <c r="B7" i="279"/>
  <c r="Y6" i="279"/>
  <c r="X6" i="279"/>
  <c r="W6" i="279"/>
  <c r="V6" i="279"/>
  <c r="U6" i="279"/>
  <c r="T6" i="279"/>
  <c r="S6" i="279"/>
  <c r="R6" i="279"/>
  <c r="Q6" i="279"/>
  <c r="P6" i="279"/>
  <c r="O6" i="279"/>
  <c r="N6" i="279"/>
  <c r="M6" i="279"/>
  <c r="L6" i="279"/>
  <c r="K6" i="279"/>
  <c r="J6" i="279"/>
  <c r="I6" i="279"/>
  <c r="H6" i="279"/>
  <c r="G6" i="279"/>
  <c r="F6" i="279"/>
  <c r="E6" i="279"/>
  <c r="D6" i="279"/>
  <c r="C6" i="279"/>
  <c r="B6" i="279"/>
  <c r="Y5" i="279"/>
  <c r="X5" i="279"/>
  <c r="W5" i="279"/>
  <c r="V5" i="279"/>
  <c r="U5" i="279"/>
  <c r="T5" i="279"/>
  <c r="S5" i="279"/>
  <c r="R5" i="279"/>
  <c r="Q5" i="279"/>
  <c r="P5" i="279"/>
  <c r="O5" i="279"/>
  <c r="N5" i="279"/>
  <c r="M5" i="279"/>
  <c r="L5" i="279"/>
  <c r="K5" i="279"/>
  <c r="J5" i="279"/>
  <c r="I5" i="279"/>
  <c r="H5" i="279"/>
  <c r="G5" i="279"/>
  <c r="F5" i="279"/>
  <c r="E5" i="279"/>
  <c r="D5" i="279"/>
  <c r="C5" i="279"/>
  <c r="B5" i="279"/>
  <c r="Y10" i="278"/>
  <c r="X10" i="278"/>
  <c r="W10" i="278"/>
  <c r="V10" i="278"/>
  <c r="U10" i="278"/>
  <c r="T10" i="278"/>
  <c r="S10" i="278"/>
  <c r="R10" i="278"/>
  <c r="Q10" i="278"/>
  <c r="P10" i="278"/>
  <c r="O10" i="278"/>
  <c r="N10" i="278"/>
  <c r="M10" i="278"/>
  <c r="L10" i="278"/>
  <c r="K10" i="278"/>
  <c r="J10" i="278"/>
  <c r="I10" i="278"/>
  <c r="H10" i="278"/>
  <c r="G10" i="278"/>
  <c r="F10" i="278"/>
  <c r="E10" i="278"/>
  <c r="D10" i="278"/>
  <c r="C10" i="278"/>
  <c r="B10" i="278"/>
  <c r="Y9" i="278"/>
  <c r="X9" i="278"/>
  <c r="W9" i="278"/>
  <c r="V9" i="278"/>
  <c r="U9" i="278"/>
  <c r="T9" i="278"/>
  <c r="S9" i="278"/>
  <c r="R9" i="278"/>
  <c r="Q9" i="278"/>
  <c r="P9" i="278"/>
  <c r="O9" i="278"/>
  <c r="N9" i="278"/>
  <c r="M9" i="278"/>
  <c r="L9" i="278"/>
  <c r="K9" i="278"/>
  <c r="J9" i="278"/>
  <c r="I9" i="278"/>
  <c r="H9" i="278"/>
  <c r="G9" i="278"/>
  <c r="F9" i="278"/>
  <c r="E9" i="278"/>
  <c r="D9" i="278"/>
  <c r="C9" i="278"/>
  <c r="B9" i="278"/>
  <c r="Y8" i="278"/>
  <c r="X8" i="278"/>
  <c r="W8" i="278"/>
  <c r="V8" i="278"/>
  <c r="U8" i="278"/>
  <c r="T8" i="278"/>
  <c r="S8" i="278"/>
  <c r="R8" i="278"/>
  <c r="Q8" i="278"/>
  <c r="P8" i="278"/>
  <c r="O8" i="278"/>
  <c r="N8" i="278"/>
  <c r="M8" i="278"/>
  <c r="L8" i="278"/>
  <c r="K8" i="278"/>
  <c r="J8" i="278"/>
  <c r="I8" i="278"/>
  <c r="H8" i="278"/>
  <c r="G8" i="278"/>
  <c r="F8" i="278"/>
  <c r="E8" i="278"/>
  <c r="D8" i="278"/>
  <c r="C8" i="278"/>
  <c r="B8" i="278"/>
  <c r="Y7" i="278"/>
  <c r="X7" i="278"/>
  <c r="W7" i="278"/>
  <c r="V7" i="278"/>
  <c r="U7" i="278"/>
  <c r="T7" i="278"/>
  <c r="S7" i="278"/>
  <c r="R7" i="278"/>
  <c r="Q7" i="278"/>
  <c r="P7" i="278"/>
  <c r="O7" i="278"/>
  <c r="N7" i="278"/>
  <c r="M7" i="278"/>
  <c r="L7" i="278"/>
  <c r="K7" i="278"/>
  <c r="J7" i="278"/>
  <c r="I7" i="278"/>
  <c r="H7" i="278"/>
  <c r="G7" i="278"/>
  <c r="F7" i="278"/>
  <c r="E7" i="278"/>
  <c r="D7" i="278"/>
  <c r="C7" i="278"/>
  <c r="B7" i="278"/>
  <c r="Y6" i="278"/>
  <c r="X6" i="278"/>
  <c r="W6" i="278"/>
  <c r="V6" i="278"/>
  <c r="U6" i="278"/>
  <c r="T6" i="278"/>
  <c r="S6" i="278"/>
  <c r="R6" i="278"/>
  <c r="Q6" i="278"/>
  <c r="P6" i="278"/>
  <c r="O6" i="278"/>
  <c r="N6" i="278"/>
  <c r="M6" i="278"/>
  <c r="L6" i="278"/>
  <c r="K6" i="278"/>
  <c r="J6" i="278"/>
  <c r="I6" i="278"/>
  <c r="H6" i="278"/>
  <c r="G6" i="278"/>
  <c r="F6" i="278"/>
  <c r="E6" i="278"/>
  <c r="D6" i="278"/>
  <c r="C6" i="278"/>
  <c r="B6" i="278"/>
  <c r="Y5" i="278"/>
  <c r="X5" i="278"/>
  <c r="W5" i="278"/>
  <c r="V5" i="278"/>
  <c r="U5" i="278"/>
  <c r="T5" i="278"/>
  <c r="S5" i="278"/>
  <c r="R5" i="278"/>
  <c r="Q5" i="278"/>
  <c r="P5" i="278"/>
  <c r="O5" i="278"/>
  <c r="N5" i="278"/>
  <c r="M5" i="278"/>
  <c r="L5" i="278"/>
  <c r="K5" i="278"/>
  <c r="J5" i="278"/>
  <c r="I5" i="278"/>
  <c r="H5" i="278"/>
  <c r="G5" i="278"/>
  <c r="F5" i="278"/>
  <c r="E5" i="278"/>
  <c r="D5" i="278"/>
  <c r="C5" i="278"/>
  <c r="B5" i="278"/>
  <c r="Y10" i="277"/>
  <c r="X10" i="277"/>
  <c r="W10" i="277"/>
  <c r="V10" i="277"/>
  <c r="U10" i="277"/>
  <c r="T10" i="277"/>
  <c r="S10" i="277"/>
  <c r="R10" i="277"/>
  <c r="Q10" i="277"/>
  <c r="P10" i="277"/>
  <c r="O10" i="277"/>
  <c r="N10" i="277"/>
  <c r="M10" i="277"/>
  <c r="L10" i="277"/>
  <c r="K10" i="277"/>
  <c r="J10" i="277"/>
  <c r="I10" i="277"/>
  <c r="H10" i="277"/>
  <c r="G10" i="277"/>
  <c r="F10" i="277"/>
  <c r="E10" i="277"/>
  <c r="D10" i="277"/>
  <c r="C10" i="277"/>
  <c r="B10" i="277"/>
  <c r="Y9" i="277"/>
  <c r="X9" i="277"/>
  <c r="W9" i="277"/>
  <c r="V9" i="277"/>
  <c r="U9" i="277"/>
  <c r="T9" i="277"/>
  <c r="S9" i="277"/>
  <c r="R9" i="277"/>
  <c r="Q9" i="277"/>
  <c r="P9" i="277"/>
  <c r="O9" i="277"/>
  <c r="N9" i="277"/>
  <c r="M9" i="277"/>
  <c r="L9" i="277"/>
  <c r="K9" i="277"/>
  <c r="J9" i="277"/>
  <c r="I9" i="277"/>
  <c r="H9" i="277"/>
  <c r="G9" i="277"/>
  <c r="F9" i="277"/>
  <c r="E9" i="277"/>
  <c r="D9" i="277"/>
  <c r="C9" i="277"/>
  <c r="B9" i="277"/>
  <c r="Y8" i="277"/>
  <c r="X8" i="277"/>
  <c r="W8" i="277"/>
  <c r="V8" i="277"/>
  <c r="U8" i="277"/>
  <c r="T8" i="277"/>
  <c r="S8" i="277"/>
  <c r="R8" i="277"/>
  <c r="Q8" i="277"/>
  <c r="P8" i="277"/>
  <c r="O8" i="277"/>
  <c r="N8" i="277"/>
  <c r="M8" i="277"/>
  <c r="L8" i="277"/>
  <c r="K8" i="277"/>
  <c r="J8" i="277"/>
  <c r="I8" i="277"/>
  <c r="H8" i="277"/>
  <c r="G8" i="277"/>
  <c r="F8" i="277"/>
  <c r="E8" i="277"/>
  <c r="D8" i="277"/>
  <c r="C8" i="277"/>
  <c r="B8" i="277"/>
  <c r="Y7" i="277"/>
  <c r="X7" i="277"/>
  <c r="W7" i="277"/>
  <c r="V7" i="277"/>
  <c r="U7" i="277"/>
  <c r="T7" i="277"/>
  <c r="S7" i="277"/>
  <c r="R7" i="277"/>
  <c r="Q7" i="277"/>
  <c r="P7" i="277"/>
  <c r="O7" i="277"/>
  <c r="N7" i="277"/>
  <c r="M7" i="277"/>
  <c r="L7" i="277"/>
  <c r="K7" i="277"/>
  <c r="J7" i="277"/>
  <c r="I7" i="277"/>
  <c r="H7" i="277"/>
  <c r="G7" i="277"/>
  <c r="F7" i="277"/>
  <c r="E7" i="277"/>
  <c r="D7" i="277"/>
  <c r="C7" i="277"/>
  <c r="B7" i="277"/>
  <c r="Y6" i="277"/>
  <c r="X6" i="277"/>
  <c r="W6" i="277"/>
  <c r="V6" i="277"/>
  <c r="U6" i="277"/>
  <c r="T6" i="277"/>
  <c r="S6" i="277"/>
  <c r="R6" i="277"/>
  <c r="Q6" i="277"/>
  <c r="P6" i="277"/>
  <c r="O6" i="277"/>
  <c r="N6" i="277"/>
  <c r="M6" i="277"/>
  <c r="L6" i="277"/>
  <c r="K6" i="277"/>
  <c r="J6" i="277"/>
  <c r="I6" i="277"/>
  <c r="H6" i="277"/>
  <c r="G6" i="277"/>
  <c r="F6" i="277"/>
  <c r="E6" i="277"/>
  <c r="D6" i="277"/>
  <c r="C6" i="277"/>
  <c r="B6" i="277"/>
  <c r="Y5" i="277"/>
  <c r="X5" i="277"/>
  <c r="W5" i="277"/>
  <c r="V5" i="277"/>
  <c r="U5" i="277"/>
  <c r="T5" i="277"/>
  <c r="S5" i="277"/>
  <c r="R5" i="277"/>
  <c r="Q5" i="277"/>
  <c r="P5" i="277"/>
  <c r="O5" i="277"/>
  <c r="N5" i="277"/>
  <c r="M5" i="277"/>
  <c r="L5" i="277"/>
  <c r="K5" i="277"/>
  <c r="J5" i="277"/>
  <c r="I5" i="277"/>
  <c r="H5" i="277"/>
  <c r="G5" i="277"/>
  <c r="F5" i="277"/>
  <c r="E5" i="277"/>
  <c r="D5" i="277"/>
  <c r="C5" i="277"/>
  <c r="B5" i="277"/>
  <c r="Y10" i="276"/>
  <c r="X10" i="276"/>
  <c r="W10" i="276"/>
  <c r="V10" i="276"/>
  <c r="U10" i="276"/>
  <c r="T10" i="276"/>
  <c r="S10" i="276"/>
  <c r="R10" i="276"/>
  <c r="Q10" i="276"/>
  <c r="P10" i="276"/>
  <c r="O10" i="276"/>
  <c r="N10" i="276"/>
  <c r="M10" i="276"/>
  <c r="L10" i="276"/>
  <c r="K10" i="276"/>
  <c r="J10" i="276"/>
  <c r="I10" i="276"/>
  <c r="H10" i="276"/>
  <c r="G10" i="276"/>
  <c r="F10" i="276"/>
  <c r="E10" i="276"/>
  <c r="D10" i="276"/>
  <c r="C10" i="276"/>
  <c r="B10" i="276"/>
  <c r="Y9" i="276"/>
  <c r="X9" i="276"/>
  <c r="W9" i="276"/>
  <c r="V9" i="276"/>
  <c r="U9" i="276"/>
  <c r="T9" i="276"/>
  <c r="S9" i="276"/>
  <c r="R9" i="276"/>
  <c r="Q9" i="276"/>
  <c r="P9" i="276"/>
  <c r="O9" i="276"/>
  <c r="N9" i="276"/>
  <c r="M9" i="276"/>
  <c r="L9" i="276"/>
  <c r="K9" i="276"/>
  <c r="J9" i="276"/>
  <c r="I9" i="276"/>
  <c r="H9" i="276"/>
  <c r="G9" i="276"/>
  <c r="F9" i="276"/>
  <c r="E9" i="276"/>
  <c r="D9" i="276"/>
  <c r="C9" i="276"/>
  <c r="B9" i="276"/>
  <c r="Y8" i="276"/>
  <c r="X8" i="276"/>
  <c r="W8" i="276"/>
  <c r="V8" i="276"/>
  <c r="U8" i="276"/>
  <c r="T8" i="276"/>
  <c r="S8" i="276"/>
  <c r="R8" i="276"/>
  <c r="Q8" i="276"/>
  <c r="P8" i="276"/>
  <c r="O8" i="276"/>
  <c r="N8" i="276"/>
  <c r="M8" i="276"/>
  <c r="L8" i="276"/>
  <c r="K8" i="276"/>
  <c r="J8" i="276"/>
  <c r="I8" i="276"/>
  <c r="H8" i="276"/>
  <c r="G8" i="276"/>
  <c r="F8" i="276"/>
  <c r="E8" i="276"/>
  <c r="D8" i="276"/>
  <c r="C8" i="276"/>
  <c r="B8" i="276"/>
  <c r="Y7" i="276"/>
  <c r="X7" i="276"/>
  <c r="W7" i="276"/>
  <c r="V7" i="276"/>
  <c r="U7" i="276"/>
  <c r="T7" i="276"/>
  <c r="S7" i="276"/>
  <c r="R7" i="276"/>
  <c r="Q7" i="276"/>
  <c r="P7" i="276"/>
  <c r="O7" i="276"/>
  <c r="N7" i="276"/>
  <c r="M7" i="276"/>
  <c r="L7" i="276"/>
  <c r="K7" i="276"/>
  <c r="J7" i="276"/>
  <c r="I7" i="276"/>
  <c r="H7" i="276"/>
  <c r="G7" i="276"/>
  <c r="F7" i="276"/>
  <c r="E7" i="276"/>
  <c r="D7" i="276"/>
  <c r="C7" i="276"/>
  <c r="B7" i="276"/>
  <c r="Y6" i="276"/>
  <c r="X6" i="276"/>
  <c r="W6" i="276"/>
  <c r="V6" i="276"/>
  <c r="U6" i="276"/>
  <c r="T6" i="276"/>
  <c r="S6" i="276"/>
  <c r="R6" i="276"/>
  <c r="Q6" i="276"/>
  <c r="P6" i="276"/>
  <c r="O6" i="276"/>
  <c r="N6" i="276"/>
  <c r="M6" i="276"/>
  <c r="L6" i="276"/>
  <c r="K6" i="276"/>
  <c r="J6" i="276"/>
  <c r="I6" i="276"/>
  <c r="H6" i="276"/>
  <c r="G6" i="276"/>
  <c r="F6" i="276"/>
  <c r="E6" i="276"/>
  <c r="D6" i="276"/>
  <c r="C6" i="276"/>
  <c r="B6" i="276"/>
  <c r="Y5" i="276"/>
  <c r="X5" i="276"/>
  <c r="W5" i="276"/>
  <c r="V5" i="276"/>
  <c r="U5" i="276"/>
  <c r="T5" i="276"/>
  <c r="S5" i="276"/>
  <c r="R5" i="276"/>
  <c r="Q5" i="276"/>
  <c r="P5" i="276"/>
  <c r="O5" i="276"/>
  <c r="N5" i="276"/>
  <c r="M5" i="276"/>
  <c r="L5" i="276"/>
  <c r="K5" i="276"/>
  <c r="J5" i="276"/>
  <c r="I5" i="276"/>
  <c r="H5" i="276"/>
  <c r="G5" i="276"/>
  <c r="F5" i="276"/>
  <c r="E5" i="276"/>
  <c r="D5" i="276"/>
  <c r="C5" i="276"/>
  <c r="B5" i="276"/>
  <c r="Y10" i="275"/>
  <c r="X10" i="275"/>
  <c r="W10" i="275"/>
  <c r="V10" i="275"/>
  <c r="U10" i="275"/>
  <c r="T10" i="275"/>
  <c r="S10" i="275"/>
  <c r="R10" i="275"/>
  <c r="Q10" i="275"/>
  <c r="P10" i="275"/>
  <c r="O10" i="275"/>
  <c r="N10" i="275"/>
  <c r="M10" i="275"/>
  <c r="L10" i="275"/>
  <c r="K10" i="275"/>
  <c r="J10" i="275"/>
  <c r="I10" i="275"/>
  <c r="H10" i="275"/>
  <c r="G10" i="275"/>
  <c r="F10" i="275"/>
  <c r="E10" i="275"/>
  <c r="D10" i="275"/>
  <c r="C10" i="275"/>
  <c r="B10" i="275"/>
  <c r="Y9" i="275"/>
  <c r="X9" i="275"/>
  <c r="W9" i="275"/>
  <c r="V9" i="275"/>
  <c r="U9" i="275"/>
  <c r="T9" i="275"/>
  <c r="S9" i="275"/>
  <c r="R9" i="275"/>
  <c r="Q9" i="275"/>
  <c r="P9" i="275"/>
  <c r="O9" i="275"/>
  <c r="N9" i="275"/>
  <c r="M9" i="275"/>
  <c r="L9" i="275"/>
  <c r="K9" i="275"/>
  <c r="J9" i="275"/>
  <c r="I9" i="275"/>
  <c r="H9" i="275"/>
  <c r="G9" i="275"/>
  <c r="F9" i="275"/>
  <c r="E9" i="275"/>
  <c r="D9" i="275"/>
  <c r="C9" i="275"/>
  <c r="B9" i="275"/>
  <c r="Y8" i="275"/>
  <c r="X8" i="275"/>
  <c r="W8" i="275"/>
  <c r="V8" i="275"/>
  <c r="U8" i="275"/>
  <c r="T8" i="275"/>
  <c r="S8" i="275"/>
  <c r="R8" i="275"/>
  <c r="Q8" i="275"/>
  <c r="P8" i="275"/>
  <c r="O8" i="275"/>
  <c r="N8" i="275"/>
  <c r="M8" i="275"/>
  <c r="L8" i="275"/>
  <c r="K8" i="275"/>
  <c r="J8" i="275"/>
  <c r="I8" i="275"/>
  <c r="H8" i="275"/>
  <c r="G8" i="275"/>
  <c r="F8" i="275"/>
  <c r="E8" i="275"/>
  <c r="D8" i="275"/>
  <c r="C8" i="275"/>
  <c r="B8" i="275"/>
  <c r="Y7" i="275"/>
  <c r="X7" i="275"/>
  <c r="W7" i="275"/>
  <c r="V7" i="275"/>
  <c r="U7" i="275"/>
  <c r="T7" i="275"/>
  <c r="S7" i="275"/>
  <c r="R7" i="275"/>
  <c r="Q7" i="275"/>
  <c r="P7" i="275"/>
  <c r="O7" i="275"/>
  <c r="N7" i="275"/>
  <c r="M7" i="275"/>
  <c r="L7" i="275"/>
  <c r="K7" i="275"/>
  <c r="J7" i="275"/>
  <c r="I7" i="275"/>
  <c r="H7" i="275"/>
  <c r="G7" i="275"/>
  <c r="F7" i="275"/>
  <c r="E7" i="275"/>
  <c r="D7" i="275"/>
  <c r="C7" i="275"/>
  <c r="B7" i="275"/>
  <c r="Y6" i="275"/>
  <c r="X6" i="275"/>
  <c r="W6" i="275"/>
  <c r="V6" i="275"/>
  <c r="U6" i="275"/>
  <c r="T6" i="275"/>
  <c r="S6" i="275"/>
  <c r="R6" i="275"/>
  <c r="Q6" i="275"/>
  <c r="P6" i="275"/>
  <c r="O6" i="275"/>
  <c r="N6" i="275"/>
  <c r="M6" i="275"/>
  <c r="L6" i="275"/>
  <c r="K6" i="275"/>
  <c r="J6" i="275"/>
  <c r="I6" i="275"/>
  <c r="H6" i="275"/>
  <c r="G6" i="275"/>
  <c r="F6" i="275"/>
  <c r="E6" i="275"/>
  <c r="D6" i="275"/>
  <c r="C6" i="275"/>
  <c r="B6" i="275"/>
  <c r="Y5" i="275"/>
  <c r="X5" i="275"/>
  <c r="W5" i="275"/>
  <c r="V5" i="275"/>
  <c r="U5" i="275"/>
  <c r="T5" i="275"/>
  <c r="S5" i="275"/>
  <c r="R5" i="275"/>
  <c r="Q5" i="275"/>
  <c r="P5" i="275"/>
  <c r="O5" i="275"/>
  <c r="N5" i="275"/>
  <c r="M5" i="275"/>
  <c r="L5" i="275"/>
  <c r="K5" i="275"/>
  <c r="J5" i="275"/>
  <c r="I5" i="275"/>
  <c r="H5" i="275"/>
  <c r="G5" i="275"/>
  <c r="F5" i="275"/>
  <c r="E5" i="275"/>
  <c r="D5" i="275"/>
  <c r="C5" i="275"/>
  <c r="B5" i="275"/>
  <c r="D1" i="1"/>
  <c r="E1" i="1"/>
  <c r="F1" i="1"/>
  <c r="G1" i="1"/>
  <c r="H1" i="1"/>
  <c r="I1" i="1"/>
  <c r="J1" i="1"/>
  <c r="K1" i="1"/>
  <c r="C1" i="1"/>
  <c r="B7" i="1" l="1"/>
  <c r="B6" i="1" l="1"/>
  <c r="B5" i="1"/>
  <c r="Y10" i="244"/>
  <c r="X10" i="244"/>
  <c r="W10" i="244"/>
  <c r="V10" i="244"/>
  <c r="U10" i="244"/>
  <c r="T10" i="244"/>
  <c r="S10" i="244"/>
  <c r="R10" i="244"/>
  <c r="Q10" i="244"/>
  <c r="P10" i="244"/>
  <c r="O10" i="244"/>
  <c r="N10" i="244"/>
  <c r="M10" i="244"/>
  <c r="L10" i="244"/>
  <c r="K10" i="244"/>
  <c r="J10" i="244"/>
  <c r="I10" i="244"/>
  <c r="H10" i="244"/>
  <c r="G10" i="244"/>
  <c r="F10" i="244"/>
  <c r="E10" i="244"/>
  <c r="D10" i="244"/>
  <c r="C10" i="244"/>
  <c r="B10" i="244"/>
  <c r="Y9" i="244"/>
  <c r="X9" i="244"/>
  <c r="W9" i="244"/>
  <c r="V9" i="244"/>
  <c r="U9" i="244"/>
  <c r="T9" i="244"/>
  <c r="S9" i="244"/>
  <c r="R9" i="244"/>
  <c r="Q9" i="244"/>
  <c r="P9" i="244"/>
  <c r="O9" i="244"/>
  <c r="N9" i="244"/>
  <c r="M9" i="244"/>
  <c r="L9" i="244"/>
  <c r="K9" i="244"/>
  <c r="J9" i="244"/>
  <c r="I9" i="244"/>
  <c r="H9" i="244"/>
  <c r="G9" i="244"/>
  <c r="F9" i="244"/>
  <c r="E9" i="244"/>
  <c r="D9" i="244"/>
  <c r="C9" i="244"/>
  <c r="B9" i="244"/>
  <c r="Y8" i="244"/>
  <c r="X8" i="244"/>
  <c r="W8" i="244"/>
  <c r="V8" i="244"/>
  <c r="U8" i="244"/>
  <c r="T8" i="244"/>
  <c r="S8" i="244"/>
  <c r="R8" i="244"/>
  <c r="Q8" i="244"/>
  <c r="P8" i="244"/>
  <c r="O8" i="244"/>
  <c r="N8" i="244"/>
  <c r="M8" i="244"/>
  <c r="L8" i="244"/>
  <c r="K8" i="244"/>
  <c r="J8" i="244"/>
  <c r="I8" i="244"/>
  <c r="H8" i="244"/>
  <c r="G8" i="244"/>
  <c r="F8" i="244"/>
  <c r="E8" i="244"/>
  <c r="D8" i="244"/>
  <c r="C8" i="244"/>
  <c r="B8" i="244"/>
  <c r="Y7" i="244"/>
  <c r="X7" i="244"/>
  <c r="W7" i="244"/>
  <c r="V7" i="244"/>
  <c r="U7" i="244"/>
  <c r="T7" i="244"/>
  <c r="S7" i="244"/>
  <c r="R7" i="244"/>
  <c r="Q7" i="244"/>
  <c r="P7" i="244"/>
  <c r="O7" i="244"/>
  <c r="N7" i="244"/>
  <c r="M7" i="244"/>
  <c r="L7" i="244"/>
  <c r="K7" i="244"/>
  <c r="J7" i="244"/>
  <c r="I7" i="244"/>
  <c r="H7" i="244"/>
  <c r="G7" i="244"/>
  <c r="F7" i="244"/>
  <c r="E7" i="244"/>
  <c r="D7" i="244"/>
  <c r="C7" i="244"/>
  <c r="B7" i="244"/>
  <c r="Y6" i="244"/>
  <c r="X6" i="244"/>
  <c r="W6" i="244"/>
  <c r="V6" i="244"/>
  <c r="U6" i="244"/>
  <c r="T6" i="244"/>
  <c r="S6" i="244"/>
  <c r="R6" i="244"/>
  <c r="Q6" i="244"/>
  <c r="P6" i="244"/>
  <c r="O6" i="244"/>
  <c r="N6" i="244"/>
  <c r="M6" i="244"/>
  <c r="L6" i="244"/>
  <c r="K6" i="244"/>
  <c r="J6" i="244"/>
  <c r="I6" i="244"/>
  <c r="H6" i="244"/>
  <c r="G6" i="244"/>
  <c r="F6" i="244"/>
  <c r="E6" i="244"/>
  <c r="D6" i="244"/>
  <c r="C6" i="244"/>
  <c r="B6" i="244"/>
  <c r="Y5" i="244"/>
  <c r="X5" i="244"/>
  <c r="W5" i="244"/>
  <c r="V5" i="244"/>
  <c r="U5" i="244"/>
  <c r="T5" i="244"/>
  <c r="S5" i="244"/>
  <c r="R5" i="244"/>
  <c r="Q5" i="244"/>
  <c r="P5" i="244"/>
  <c r="O5" i="244"/>
  <c r="N5" i="244"/>
  <c r="M5" i="244"/>
  <c r="L5" i="244"/>
  <c r="K5" i="244"/>
  <c r="J5" i="244"/>
  <c r="I5" i="244"/>
  <c r="H5" i="244"/>
  <c r="G5" i="244"/>
  <c r="F5" i="244"/>
  <c r="E5" i="244"/>
  <c r="D5" i="244"/>
  <c r="C5" i="244"/>
  <c r="B5" i="244"/>
  <c r="Y10" i="243"/>
  <c r="X10" i="243"/>
  <c r="W10" i="243"/>
  <c r="V10" i="243"/>
  <c r="U10" i="243"/>
  <c r="T10" i="243"/>
  <c r="S10" i="243"/>
  <c r="R10" i="243"/>
  <c r="Q10" i="243"/>
  <c r="P10" i="243"/>
  <c r="O10" i="243"/>
  <c r="N10" i="243"/>
  <c r="M10" i="243"/>
  <c r="L10" i="243"/>
  <c r="K10" i="243"/>
  <c r="J10" i="243"/>
  <c r="I10" i="243"/>
  <c r="H10" i="243"/>
  <c r="G10" i="243"/>
  <c r="F10" i="243"/>
  <c r="E10" i="243"/>
  <c r="D10" i="243"/>
  <c r="C10" i="243"/>
  <c r="B10" i="243"/>
  <c r="Y9" i="243"/>
  <c r="X9" i="243"/>
  <c r="W9" i="243"/>
  <c r="V9" i="243"/>
  <c r="U9" i="243"/>
  <c r="T9" i="243"/>
  <c r="S9" i="243"/>
  <c r="R9" i="243"/>
  <c r="Q9" i="243"/>
  <c r="P9" i="243"/>
  <c r="O9" i="243"/>
  <c r="N9" i="243"/>
  <c r="M9" i="243"/>
  <c r="L9" i="243"/>
  <c r="K9" i="243"/>
  <c r="J9" i="243"/>
  <c r="I9" i="243"/>
  <c r="H9" i="243"/>
  <c r="G9" i="243"/>
  <c r="F9" i="243"/>
  <c r="E9" i="243"/>
  <c r="D9" i="243"/>
  <c r="C9" i="243"/>
  <c r="B9" i="243"/>
  <c r="Y8" i="243"/>
  <c r="X8" i="243"/>
  <c r="W8" i="243"/>
  <c r="V8" i="243"/>
  <c r="U8" i="243"/>
  <c r="T8" i="243"/>
  <c r="S8" i="243"/>
  <c r="R8" i="243"/>
  <c r="Q8" i="243"/>
  <c r="P8" i="243"/>
  <c r="O8" i="243"/>
  <c r="N8" i="243"/>
  <c r="M8" i="243"/>
  <c r="L8" i="243"/>
  <c r="K8" i="243"/>
  <c r="J8" i="243"/>
  <c r="I8" i="243"/>
  <c r="H8" i="243"/>
  <c r="G8" i="243"/>
  <c r="F8" i="243"/>
  <c r="E8" i="243"/>
  <c r="D8" i="243"/>
  <c r="C8" i="243"/>
  <c r="B8" i="243"/>
  <c r="Y7" i="243"/>
  <c r="X7" i="243"/>
  <c r="W7" i="243"/>
  <c r="V7" i="243"/>
  <c r="U7" i="243"/>
  <c r="T7" i="243"/>
  <c r="S7" i="243"/>
  <c r="R7" i="243"/>
  <c r="Q7" i="243"/>
  <c r="P7" i="243"/>
  <c r="O7" i="243"/>
  <c r="N7" i="243"/>
  <c r="M7" i="243"/>
  <c r="L7" i="243"/>
  <c r="K7" i="243"/>
  <c r="J7" i="243"/>
  <c r="I7" i="243"/>
  <c r="H7" i="243"/>
  <c r="G7" i="243"/>
  <c r="F7" i="243"/>
  <c r="E7" i="243"/>
  <c r="D7" i="243"/>
  <c r="C7" i="243"/>
  <c r="B7" i="243"/>
  <c r="Y6" i="243"/>
  <c r="X6" i="243"/>
  <c r="W6" i="243"/>
  <c r="V6" i="243"/>
  <c r="U6" i="243"/>
  <c r="T6" i="243"/>
  <c r="S6" i="243"/>
  <c r="R6" i="243"/>
  <c r="Q6" i="243"/>
  <c r="P6" i="243"/>
  <c r="O6" i="243"/>
  <c r="N6" i="243"/>
  <c r="M6" i="243"/>
  <c r="L6" i="243"/>
  <c r="K6" i="243"/>
  <c r="J6" i="243"/>
  <c r="I6" i="243"/>
  <c r="H6" i="243"/>
  <c r="G6" i="243"/>
  <c r="F6" i="243"/>
  <c r="E6" i="243"/>
  <c r="D6" i="243"/>
  <c r="C6" i="243"/>
  <c r="B6" i="243"/>
  <c r="Y5" i="243"/>
  <c r="X5" i="243"/>
  <c r="W5" i="243"/>
  <c r="V5" i="243"/>
  <c r="U5" i="243"/>
  <c r="T5" i="243"/>
  <c r="S5" i="243"/>
  <c r="R5" i="243"/>
  <c r="Q5" i="243"/>
  <c r="P5" i="243"/>
  <c r="O5" i="243"/>
  <c r="N5" i="243"/>
  <c r="M5" i="243"/>
  <c r="L5" i="243"/>
  <c r="K5" i="243"/>
  <c r="J5" i="243"/>
  <c r="I5" i="243"/>
  <c r="H5" i="243"/>
  <c r="G5" i="243"/>
  <c r="F5" i="243"/>
  <c r="E5" i="243"/>
  <c r="D5" i="243"/>
  <c r="C5" i="243"/>
  <c r="B5" i="243"/>
  <c r="Y10" i="242"/>
  <c r="X10" i="242"/>
  <c r="W10" i="242"/>
  <c r="V10" i="242"/>
  <c r="U10" i="242"/>
  <c r="T10" i="242"/>
  <c r="S10" i="242"/>
  <c r="R10" i="242"/>
  <c r="Q10" i="242"/>
  <c r="P10" i="242"/>
  <c r="O10" i="242"/>
  <c r="N10" i="242"/>
  <c r="M10" i="242"/>
  <c r="L10" i="242"/>
  <c r="K10" i="242"/>
  <c r="J10" i="242"/>
  <c r="I10" i="242"/>
  <c r="H10" i="242"/>
  <c r="G10" i="242"/>
  <c r="F10" i="242"/>
  <c r="E10" i="242"/>
  <c r="D10" i="242"/>
  <c r="C10" i="242"/>
  <c r="B10" i="242"/>
  <c r="Y9" i="242"/>
  <c r="X9" i="242"/>
  <c r="W9" i="242"/>
  <c r="V9" i="242"/>
  <c r="U9" i="242"/>
  <c r="T9" i="242"/>
  <c r="S9" i="242"/>
  <c r="R9" i="242"/>
  <c r="Q9" i="242"/>
  <c r="P9" i="242"/>
  <c r="O9" i="242"/>
  <c r="N9" i="242"/>
  <c r="M9" i="242"/>
  <c r="L9" i="242"/>
  <c r="K9" i="242"/>
  <c r="J9" i="242"/>
  <c r="I9" i="242"/>
  <c r="H9" i="242"/>
  <c r="G9" i="242"/>
  <c r="F9" i="242"/>
  <c r="E9" i="242"/>
  <c r="D9" i="242"/>
  <c r="C9" i="242"/>
  <c r="B9" i="242"/>
  <c r="Y8" i="242"/>
  <c r="X8" i="242"/>
  <c r="W8" i="242"/>
  <c r="V8" i="242"/>
  <c r="U8" i="242"/>
  <c r="T8" i="242"/>
  <c r="S8" i="242"/>
  <c r="R8" i="242"/>
  <c r="Q8" i="242"/>
  <c r="P8" i="242"/>
  <c r="O8" i="242"/>
  <c r="N8" i="242"/>
  <c r="M8" i="242"/>
  <c r="L8" i="242"/>
  <c r="K8" i="242"/>
  <c r="J8" i="242"/>
  <c r="I8" i="242"/>
  <c r="H8" i="242"/>
  <c r="G8" i="242"/>
  <c r="F8" i="242"/>
  <c r="E8" i="242"/>
  <c r="D8" i="242"/>
  <c r="C8" i="242"/>
  <c r="B8" i="242"/>
  <c r="Y7" i="242"/>
  <c r="X7" i="242"/>
  <c r="W7" i="242"/>
  <c r="V7" i="242"/>
  <c r="U7" i="242"/>
  <c r="T7" i="242"/>
  <c r="S7" i="242"/>
  <c r="R7" i="242"/>
  <c r="Q7" i="242"/>
  <c r="P7" i="242"/>
  <c r="O7" i="242"/>
  <c r="N7" i="242"/>
  <c r="M7" i="242"/>
  <c r="L7" i="242"/>
  <c r="K7" i="242"/>
  <c r="J7" i="242"/>
  <c r="I7" i="242"/>
  <c r="H7" i="242"/>
  <c r="G7" i="242"/>
  <c r="F7" i="242"/>
  <c r="E7" i="242"/>
  <c r="D7" i="242"/>
  <c r="C7" i="242"/>
  <c r="B7" i="242"/>
  <c r="Y6" i="242"/>
  <c r="X6" i="242"/>
  <c r="W6" i="242"/>
  <c r="V6" i="242"/>
  <c r="U6" i="242"/>
  <c r="T6" i="242"/>
  <c r="S6" i="242"/>
  <c r="R6" i="242"/>
  <c r="Q6" i="242"/>
  <c r="P6" i="242"/>
  <c r="O6" i="242"/>
  <c r="N6" i="242"/>
  <c r="M6" i="242"/>
  <c r="L6" i="242"/>
  <c r="K6" i="242"/>
  <c r="J6" i="242"/>
  <c r="I6" i="242"/>
  <c r="H6" i="242"/>
  <c r="G6" i="242"/>
  <c r="F6" i="242"/>
  <c r="E6" i="242"/>
  <c r="D6" i="242"/>
  <c r="C6" i="242"/>
  <c r="B6" i="242"/>
  <c r="Y5" i="242"/>
  <c r="X5" i="242"/>
  <c r="W5" i="242"/>
  <c r="V5" i="242"/>
  <c r="U5" i="242"/>
  <c r="T5" i="242"/>
  <c r="S5" i="242"/>
  <c r="R5" i="242"/>
  <c r="Q5" i="242"/>
  <c r="P5" i="242"/>
  <c r="O5" i="242"/>
  <c r="N5" i="242"/>
  <c r="M5" i="242"/>
  <c r="L5" i="242"/>
  <c r="K5" i="242"/>
  <c r="J5" i="242"/>
  <c r="I5" i="242"/>
  <c r="H5" i="242"/>
  <c r="G5" i="242"/>
  <c r="F5" i="242"/>
  <c r="E5" i="242"/>
  <c r="D5" i="242"/>
  <c r="C5" i="242"/>
  <c r="B5" i="242"/>
  <c r="Y10" i="241"/>
  <c r="X10" i="241"/>
  <c r="W10" i="241"/>
  <c r="V10" i="241"/>
  <c r="U10" i="241"/>
  <c r="T10" i="241"/>
  <c r="S10" i="241"/>
  <c r="R10" i="241"/>
  <c r="Q10" i="241"/>
  <c r="P10" i="241"/>
  <c r="O10" i="241"/>
  <c r="N10" i="241"/>
  <c r="M10" i="241"/>
  <c r="L10" i="241"/>
  <c r="K10" i="241"/>
  <c r="J10" i="241"/>
  <c r="I10" i="241"/>
  <c r="H10" i="241"/>
  <c r="G10" i="241"/>
  <c r="F10" i="241"/>
  <c r="E10" i="241"/>
  <c r="D10" i="241"/>
  <c r="C10" i="241"/>
  <c r="B10" i="241"/>
  <c r="Y9" i="241"/>
  <c r="X9" i="241"/>
  <c r="W9" i="241"/>
  <c r="V9" i="241"/>
  <c r="U9" i="241"/>
  <c r="T9" i="241"/>
  <c r="S9" i="241"/>
  <c r="R9" i="241"/>
  <c r="Q9" i="241"/>
  <c r="P9" i="241"/>
  <c r="O9" i="241"/>
  <c r="N9" i="241"/>
  <c r="M9" i="241"/>
  <c r="L9" i="241"/>
  <c r="K9" i="241"/>
  <c r="J9" i="241"/>
  <c r="I9" i="241"/>
  <c r="H9" i="241"/>
  <c r="G9" i="241"/>
  <c r="F9" i="241"/>
  <c r="E9" i="241"/>
  <c r="D9" i="241"/>
  <c r="C9" i="241"/>
  <c r="B9" i="241"/>
  <c r="Y8" i="241"/>
  <c r="X8" i="241"/>
  <c r="W8" i="241"/>
  <c r="V8" i="241"/>
  <c r="U8" i="241"/>
  <c r="T8" i="241"/>
  <c r="S8" i="241"/>
  <c r="R8" i="241"/>
  <c r="Q8" i="241"/>
  <c r="P8" i="241"/>
  <c r="O8" i="241"/>
  <c r="N8" i="241"/>
  <c r="M8" i="241"/>
  <c r="L8" i="241"/>
  <c r="K8" i="241"/>
  <c r="J8" i="241"/>
  <c r="I8" i="241"/>
  <c r="H8" i="241"/>
  <c r="G8" i="241"/>
  <c r="F8" i="241"/>
  <c r="E8" i="241"/>
  <c r="D8" i="241"/>
  <c r="C8" i="241"/>
  <c r="B8" i="241"/>
  <c r="Y7" i="241"/>
  <c r="X7" i="241"/>
  <c r="W7" i="241"/>
  <c r="V7" i="241"/>
  <c r="U7" i="241"/>
  <c r="T7" i="241"/>
  <c r="S7" i="241"/>
  <c r="R7" i="241"/>
  <c r="Q7" i="241"/>
  <c r="P7" i="241"/>
  <c r="O7" i="241"/>
  <c r="N7" i="241"/>
  <c r="M7" i="241"/>
  <c r="L7" i="241"/>
  <c r="K7" i="241"/>
  <c r="J7" i="241"/>
  <c r="I7" i="241"/>
  <c r="H7" i="241"/>
  <c r="G7" i="241"/>
  <c r="F7" i="241"/>
  <c r="E7" i="241"/>
  <c r="D7" i="241"/>
  <c r="C7" i="241"/>
  <c r="B7" i="241"/>
  <c r="Y6" i="241"/>
  <c r="X6" i="241"/>
  <c r="W6" i="241"/>
  <c r="V6" i="241"/>
  <c r="U6" i="241"/>
  <c r="T6" i="241"/>
  <c r="S6" i="241"/>
  <c r="R6" i="241"/>
  <c r="Q6" i="241"/>
  <c r="P6" i="241"/>
  <c r="O6" i="241"/>
  <c r="N6" i="241"/>
  <c r="M6" i="241"/>
  <c r="L6" i="241"/>
  <c r="K6" i="241"/>
  <c r="J6" i="241"/>
  <c r="I6" i="241"/>
  <c r="H6" i="241"/>
  <c r="G6" i="241"/>
  <c r="F6" i="241"/>
  <c r="E6" i="241"/>
  <c r="D6" i="241"/>
  <c r="C6" i="241"/>
  <c r="B6" i="241"/>
  <c r="Y5" i="241"/>
  <c r="X5" i="241"/>
  <c r="W5" i="241"/>
  <c r="V5" i="241"/>
  <c r="U5" i="241"/>
  <c r="T5" i="241"/>
  <c r="S5" i="241"/>
  <c r="R5" i="241"/>
  <c r="Q5" i="241"/>
  <c r="P5" i="241"/>
  <c r="O5" i="241"/>
  <c r="N5" i="241"/>
  <c r="M5" i="241"/>
  <c r="L5" i="241"/>
  <c r="K5" i="241"/>
  <c r="J5" i="241"/>
  <c r="I5" i="241"/>
  <c r="H5" i="241"/>
  <c r="G5" i="241"/>
  <c r="F5" i="241"/>
  <c r="E5" i="241"/>
  <c r="D5" i="241"/>
  <c r="C5" i="241"/>
  <c r="B5" i="241"/>
  <c r="Y10" i="240"/>
  <c r="X10" i="240"/>
  <c r="W10" i="240"/>
  <c r="V10" i="240"/>
  <c r="U10" i="240"/>
  <c r="T10" i="240"/>
  <c r="S10" i="240"/>
  <c r="R10" i="240"/>
  <c r="Q10" i="240"/>
  <c r="P10" i="240"/>
  <c r="O10" i="240"/>
  <c r="N10" i="240"/>
  <c r="M10" i="240"/>
  <c r="L10" i="240"/>
  <c r="K10" i="240"/>
  <c r="J10" i="240"/>
  <c r="I10" i="240"/>
  <c r="H10" i="240"/>
  <c r="G10" i="240"/>
  <c r="F10" i="240"/>
  <c r="E10" i="240"/>
  <c r="D10" i="240"/>
  <c r="C10" i="240"/>
  <c r="B10" i="240"/>
  <c r="Y9" i="240"/>
  <c r="X9" i="240"/>
  <c r="W9" i="240"/>
  <c r="V9" i="240"/>
  <c r="U9" i="240"/>
  <c r="T9" i="240"/>
  <c r="S9" i="240"/>
  <c r="R9" i="240"/>
  <c r="Q9" i="240"/>
  <c r="P9" i="240"/>
  <c r="O9" i="240"/>
  <c r="N9" i="240"/>
  <c r="M9" i="240"/>
  <c r="L9" i="240"/>
  <c r="K9" i="240"/>
  <c r="J9" i="240"/>
  <c r="I9" i="240"/>
  <c r="H9" i="240"/>
  <c r="G9" i="240"/>
  <c r="F9" i="240"/>
  <c r="E9" i="240"/>
  <c r="D9" i="240"/>
  <c r="C9" i="240"/>
  <c r="B9" i="240"/>
  <c r="Y8" i="240"/>
  <c r="X8" i="240"/>
  <c r="W8" i="240"/>
  <c r="V8" i="240"/>
  <c r="U8" i="240"/>
  <c r="T8" i="240"/>
  <c r="S8" i="240"/>
  <c r="R8" i="240"/>
  <c r="Q8" i="240"/>
  <c r="P8" i="240"/>
  <c r="O8" i="240"/>
  <c r="N8" i="240"/>
  <c r="M8" i="240"/>
  <c r="L8" i="240"/>
  <c r="K8" i="240"/>
  <c r="J8" i="240"/>
  <c r="I8" i="240"/>
  <c r="H8" i="240"/>
  <c r="G8" i="240"/>
  <c r="F8" i="240"/>
  <c r="E8" i="240"/>
  <c r="D8" i="240"/>
  <c r="C8" i="240"/>
  <c r="B8" i="240"/>
  <c r="Y7" i="240"/>
  <c r="X7" i="240"/>
  <c r="W7" i="240"/>
  <c r="V7" i="240"/>
  <c r="U7" i="240"/>
  <c r="T7" i="240"/>
  <c r="S7" i="240"/>
  <c r="R7" i="240"/>
  <c r="Q7" i="240"/>
  <c r="P7" i="240"/>
  <c r="O7" i="240"/>
  <c r="N7" i="240"/>
  <c r="M7" i="240"/>
  <c r="L7" i="240"/>
  <c r="K7" i="240"/>
  <c r="J7" i="240"/>
  <c r="I7" i="240"/>
  <c r="H7" i="240"/>
  <c r="G7" i="240"/>
  <c r="F7" i="240"/>
  <c r="E7" i="240"/>
  <c r="D7" i="240"/>
  <c r="C7" i="240"/>
  <c r="B7" i="240"/>
  <c r="Y6" i="240"/>
  <c r="X6" i="240"/>
  <c r="W6" i="240"/>
  <c r="V6" i="240"/>
  <c r="U6" i="240"/>
  <c r="T6" i="240"/>
  <c r="S6" i="240"/>
  <c r="R6" i="240"/>
  <c r="Q6" i="240"/>
  <c r="P6" i="240"/>
  <c r="O6" i="240"/>
  <c r="N6" i="240"/>
  <c r="M6" i="240"/>
  <c r="L6" i="240"/>
  <c r="K6" i="240"/>
  <c r="J6" i="240"/>
  <c r="I6" i="240"/>
  <c r="H6" i="240"/>
  <c r="G6" i="240"/>
  <c r="F6" i="240"/>
  <c r="E6" i="240"/>
  <c r="D6" i="240"/>
  <c r="C6" i="240"/>
  <c r="B6" i="240"/>
  <c r="Y5" i="240"/>
  <c r="X5" i="240"/>
  <c r="W5" i="240"/>
  <c r="V5" i="240"/>
  <c r="U5" i="240"/>
  <c r="T5" i="240"/>
  <c r="S5" i="240"/>
  <c r="R5" i="240"/>
  <c r="Q5" i="240"/>
  <c r="P5" i="240"/>
  <c r="O5" i="240"/>
  <c r="N5" i="240"/>
  <c r="M5" i="240"/>
  <c r="L5" i="240"/>
  <c r="K5" i="240"/>
  <c r="J5" i="240"/>
  <c r="I5" i="240"/>
  <c r="H5" i="240"/>
  <c r="G5" i="240"/>
  <c r="F5" i="240"/>
  <c r="E5" i="240"/>
  <c r="D5" i="240"/>
  <c r="C5" i="240"/>
  <c r="B5" i="240"/>
  <c r="Y10" i="239"/>
  <c r="X10" i="239"/>
  <c r="W10" i="239"/>
  <c r="V10" i="239"/>
  <c r="U10" i="239"/>
  <c r="T10" i="239"/>
  <c r="S10" i="239"/>
  <c r="R10" i="239"/>
  <c r="Q10" i="239"/>
  <c r="P10" i="239"/>
  <c r="O10" i="239"/>
  <c r="N10" i="239"/>
  <c r="M10" i="239"/>
  <c r="L10" i="239"/>
  <c r="K10" i="239"/>
  <c r="J10" i="239"/>
  <c r="I10" i="239"/>
  <c r="H10" i="239"/>
  <c r="G10" i="239"/>
  <c r="F10" i="239"/>
  <c r="E10" i="239"/>
  <c r="D10" i="239"/>
  <c r="C10" i="239"/>
  <c r="B10" i="239"/>
  <c r="Y9" i="239"/>
  <c r="X9" i="239"/>
  <c r="W9" i="239"/>
  <c r="V9" i="239"/>
  <c r="U9" i="239"/>
  <c r="T9" i="239"/>
  <c r="S9" i="239"/>
  <c r="R9" i="239"/>
  <c r="Q9" i="239"/>
  <c r="P9" i="239"/>
  <c r="O9" i="239"/>
  <c r="N9" i="239"/>
  <c r="M9" i="239"/>
  <c r="L9" i="239"/>
  <c r="K9" i="239"/>
  <c r="J9" i="239"/>
  <c r="I9" i="239"/>
  <c r="H9" i="239"/>
  <c r="G9" i="239"/>
  <c r="F9" i="239"/>
  <c r="E9" i="239"/>
  <c r="D9" i="239"/>
  <c r="C9" i="239"/>
  <c r="B9" i="239"/>
  <c r="Y8" i="239"/>
  <c r="X8" i="239"/>
  <c r="W8" i="239"/>
  <c r="V8" i="239"/>
  <c r="U8" i="239"/>
  <c r="T8" i="239"/>
  <c r="S8" i="239"/>
  <c r="R8" i="239"/>
  <c r="Q8" i="239"/>
  <c r="P8" i="239"/>
  <c r="O8" i="239"/>
  <c r="N8" i="239"/>
  <c r="M8" i="239"/>
  <c r="L8" i="239"/>
  <c r="K8" i="239"/>
  <c r="J8" i="239"/>
  <c r="I8" i="239"/>
  <c r="H8" i="239"/>
  <c r="G8" i="239"/>
  <c r="F8" i="239"/>
  <c r="E8" i="239"/>
  <c r="D8" i="239"/>
  <c r="C8" i="239"/>
  <c r="B8" i="239"/>
  <c r="Y7" i="239"/>
  <c r="X7" i="239"/>
  <c r="W7" i="239"/>
  <c r="V7" i="239"/>
  <c r="U7" i="239"/>
  <c r="T7" i="239"/>
  <c r="S7" i="239"/>
  <c r="R7" i="239"/>
  <c r="Q7" i="239"/>
  <c r="P7" i="239"/>
  <c r="O7" i="239"/>
  <c r="N7" i="239"/>
  <c r="M7" i="239"/>
  <c r="L7" i="239"/>
  <c r="K7" i="239"/>
  <c r="J7" i="239"/>
  <c r="I7" i="239"/>
  <c r="H7" i="239"/>
  <c r="G7" i="239"/>
  <c r="F7" i="239"/>
  <c r="E7" i="239"/>
  <c r="D7" i="239"/>
  <c r="C7" i="239"/>
  <c r="B7" i="239"/>
  <c r="Y6" i="239"/>
  <c r="X6" i="239"/>
  <c r="W6" i="239"/>
  <c r="V6" i="239"/>
  <c r="U6" i="239"/>
  <c r="T6" i="239"/>
  <c r="S6" i="239"/>
  <c r="R6" i="239"/>
  <c r="Q6" i="239"/>
  <c r="P6" i="239"/>
  <c r="O6" i="239"/>
  <c r="N6" i="239"/>
  <c r="M6" i="239"/>
  <c r="L6" i="239"/>
  <c r="K6" i="239"/>
  <c r="J6" i="239"/>
  <c r="I6" i="239"/>
  <c r="H6" i="239"/>
  <c r="G6" i="239"/>
  <c r="F6" i="239"/>
  <c r="E6" i="239"/>
  <c r="D6" i="239"/>
  <c r="C6" i="239"/>
  <c r="B6" i="239"/>
  <c r="Y5" i="239"/>
  <c r="X5" i="239"/>
  <c r="W5" i="239"/>
  <c r="V5" i="239"/>
  <c r="U5" i="239"/>
  <c r="T5" i="239"/>
  <c r="S5" i="239"/>
  <c r="R5" i="239"/>
  <c r="Q5" i="239"/>
  <c r="P5" i="239"/>
  <c r="O5" i="239"/>
  <c r="N5" i="239"/>
  <c r="M5" i="239"/>
  <c r="L5" i="239"/>
  <c r="K5" i="239"/>
  <c r="J5" i="239"/>
  <c r="I5" i="239"/>
  <c r="H5" i="239"/>
  <c r="G5" i="239"/>
  <c r="F5" i="239"/>
  <c r="E5" i="239"/>
  <c r="D5" i="239"/>
  <c r="C5" i="239"/>
  <c r="B5" i="239"/>
  <c r="Y10" i="238"/>
  <c r="X10" i="238"/>
  <c r="W10" i="238"/>
  <c r="V10" i="238"/>
  <c r="U10" i="238"/>
  <c r="T10" i="238"/>
  <c r="S10" i="238"/>
  <c r="R10" i="238"/>
  <c r="Q10" i="238"/>
  <c r="P10" i="238"/>
  <c r="O10" i="238"/>
  <c r="N10" i="238"/>
  <c r="M10" i="238"/>
  <c r="L10" i="238"/>
  <c r="K10" i="238"/>
  <c r="J10" i="238"/>
  <c r="I10" i="238"/>
  <c r="H10" i="238"/>
  <c r="G10" i="238"/>
  <c r="F10" i="238"/>
  <c r="E10" i="238"/>
  <c r="D10" i="238"/>
  <c r="C10" i="238"/>
  <c r="B10" i="238"/>
  <c r="Y9" i="238"/>
  <c r="X9" i="238"/>
  <c r="W9" i="238"/>
  <c r="V9" i="238"/>
  <c r="U9" i="238"/>
  <c r="T9" i="238"/>
  <c r="S9" i="238"/>
  <c r="R9" i="238"/>
  <c r="Q9" i="238"/>
  <c r="P9" i="238"/>
  <c r="O9" i="238"/>
  <c r="N9" i="238"/>
  <c r="M9" i="238"/>
  <c r="L9" i="238"/>
  <c r="K9" i="238"/>
  <c r="J9" i="238"/>
  <c r="I9" i="238"/>
  <c r="H9" i="238"/>
  <c r="G9" i="238"/>
  <c r="F9" i="238"/>
  <c r="E9" i="238"/>
  <c r="D9" i="238"/>
  <c r="C9" i="238"/>
  <c r="B9" i="238"/>
  <c r="Y8" i="238"/>
  <c r="X8" i="238"/>
  <c r="W8" i="238"/>
  <c r="V8" i="238"/>
  <c r="U8" i="238"/>
  <c r="T8" i="238"/>
  <c r="S8" i="238"/>
  <c r="R8" i="238"/>
  <c r="Q8" i="238"/>
  <c r="P8" i="238"/>
  <c r="O8" i="238"/>
  <c r="N8" i="238"/>
  <c r="M8" i="238"/>
  <c r="L8" i="238"/>
  <c r="K8" i="238"/>
  <c r="J8" i="238"/>
  <c r="I8" i="238"/>
  <c r="H8" i="238"/>
  <c r="G8" i="238"/>
  <c r="F8" i="238"/>
  <c r="E8" i="238"/>
  <c r="D8" i="238"/>
  <c r="C8" i="238"/>
  <c r="B8" i="238"/>
  <c r="Y7" i="238"/>
  <c r="X7" i="238"/>
  <c r="W7" i="238"/>
  <c r="V7" i="238"/>
  <c r="U7" i="238"/>
  <c r="T7" i="238"/>
  <c r="S7" i="238"/>
  <c r="R7" i="238"/>
  <c r="Q7" i="238"/>
  <c r="P7" i="238"/>
  <c r="O7" i="238"/>
  <c r="N7" i="238"/>
  <c r="M7" i="238"/>
  <c r="L7" i="238"/>
  <c r="K7" i="238"/>
  <c r="J7" i="238"/>
  <c r="I7" i="238"/>
  <c r="H7" i="238"/>
  <c r="G7" i="238"/>
  <c r="F7" i="238"/>
  <c r="E7" i="238"/>
  <c r="D7" i="238"/>
  <c r="C7" i="238"/>
  <c r="B7" i="238"/>
  <c r="Y6" i="238"/>
  <c r="X6" i="238"/>
  <c r="W6" i="238"/>
  <c r="V6" i="238"/>
  <c r="U6" i="238"/>
  <c r="T6" i="238"/>
  <c r="S6" i="238"/>
  <c r="R6" i="238"/>
  <c r="Q6" i="238"/>
  <c r="P6" i="238"/>
  <c r="O6" i="238"/>
  <c r="N6" i="238"/>
  <c r="M6" i="238"/>
  <c r="L6" i="238"/>
  <c r="K6" i="238"/>
  <c r="J6" i="238"/>
  <c r="I6" i="238"/>
  <c r="H6" i="238"/>
  <c r="G6" i="238"/>
  <c r="F6" i="238"/>
  <c r="E6" i="238"/>
  <c r="D6" i="238"/>
  <c r="C6" i="238"/>
  <c r="B6" i="238"/>
  <c r="Y5" i="238"/>
  <c r="X5" i="238"/>
  <c r="W5" i="238"/>
  <c r="V5" i="238"/>
  <c r="U5" i="238"/>
  <c r="T5" i="238"/>
  <c r="S5" i="238"/>
  <c r="R5" i="238"/>
  <c r="Q5" i="238"/>
  <c r="P5" i="238"/>
  <c r="O5" i="238"/>
  <c r="N5" i="238"/>
  <c r="M5" i="238"/>
  <c r="L5" i="238"/>
  <c r="K5" i="238"/>
  <c r="J5" i="238"/>
  <c r="I5" i="238"/>
  <c r="H5" i="238"/>
  <c r="G5" i="238"/>
  <c r="F5" i="238"/>
  <c r="E5" i="238"/>
  <c r="D5" i="238"/>
  <c r="C5" i="238"/>
  <c r="B5" i="238"/>
  <c r="Y10" i="237"/>
  <c r="X10" i="237"/>
  <c r="W10" i="237"/>
  <c r="V10" i="237"/>
  <c r="U10" i="237"/>
  <c r="T10" i="237"/>
  <c r="S10" i="237"/>
  <c r="R10" i="237"/>
  <c r="Q10" i="237"/>
  <c r="P10" i="237"/>
  <c r="O10" i="237"/>
  <c r="N10" i="237"/>
  <c r="M10" i="237"/>
  <c r="L10" i="237"/>
  <c r="K10" i="237"/>
  <c r="J10" i="237"/>
  <c r="I10" i="237"/>
  <c r="H10" i="237"/>
  <c r="G10" i="237"/>
  <c r="F10" i="237"/>
  <c r="E10" i="237"/>
  <c r="D10" i="237"/>
  <c r="C10" i="237"/>
  <c r="B10" i="237"/>
  <c r="Y9" i="237"/>
  <c r="X9" i="237"/>
  <c r="W9" i="237"/>
  <c r="V9" i="237"/>
  <c r="U9" i="237"/>
  <c r="T9" i="237"/>
  <c r="S9" i="237"/>
  <c r="R9" i="237"/>
  <c r="Q9" i="237"/>
  <c r="P9" i="237"/>
  <c r="O9" i="237"/>
  <c r="N9" i="237"/>
  <c r="M9" i="237"/>
  <c r="L9" i="237"/>
  <c r="K9" i="237"/>
  <c r="J9" i="237"/>
  <c r="I9" i="237"/>
  <c r="H9" i="237"/>
  <c r="G9" i="237"/>
  <c r="F9" i="237"/>
  <c r="E9" i="237"/>
  <c r="D9" i="237"/>
  <c r="C9" i="237"/>
  <c r="B9" i="237"/>
  <c r="Y8" i="237"/>
  <c r="X8" i="237"/>
  <c r="W8" i="237"/>
  <c r="V8" i="237"/>
  <c r="U8" i="237"/>
  <c r="T8" i="237"/>
  <c r="S8" i="237"/>
  <c r="R8" i="237"/>
  <c r="Q8" i="237"/>
  <c r="P8" i="237"/>
  <c r="O8" i="237"/>
  <c r="N8" i="237"/>
  <c r="M8" i="237"/>
  <c r="L8" i="237"/>
  <c r="K8" i="237"/>
  <c r="J8" i="237"/>
  <c r="I8" i="237"/>
  <c r="H8" i="237"/>
  <c r="G8" i="237"/>
  <c r="F8" i="237"/>
  <c r="E8" i="237"/>
  <c r="D8" i="237"/>
  <c r="C8" i="237"/>
  <c r="B8" i="237"/>
  <c r="Y7" i="237"/>
  <c r="X7" i="237"/>
  <c r="W7" i="237"/>
  <c r="V7" i="237"/>
  <c r="U7" i="237"/>
  <c r="T7" i="237"/>
  <c r="S7" i="237"/>
  <c r="R7" i="237"/>
  <c r="Q7" i="237"/>
  <c r="P7" i="237"/>
  <c r="O7" i="237"/>
  <c r="N7" i="237"/>
  <c r="M7" i="237"/>
  <c r="L7" i="237"/>
  <c r="K7" i="237"/>
  <c r="J7" i="237"/>
  <c r="I7" i="237"/>
  <c r="H7" i="237"/>
  <c r="G7" i="237"/>
  <c r="F7" i="237"/>
  <c r="E7" i="237"/>
  <c r="D7" i="237"/>
  <c r="C7" i="237"/>
  <c r="B7" i="237"/>
  <c r="Y6" i="237"/>
  <c r="X6" i="237"/>
  <c r="W6" i="237"/>
  <c r="V6" i="237"/>
  <c r="U6" i="237"/>
  <c r="T6" i="237"/>
  <c r="S6" i="237"/>
  <c r="R6" i="237"/>
  <c r="Q6" i="237"/>
  <c r="P6" i="237"/>
  <c r="O6" i="237"/>
  <c r="N6" i="237"/>
  <c r="M6" i="237"/>
  <c r="L6" i="237"/>
  <c r="K6" i="237"/>
  <c r="J6" i="237"/>
  <c r="I6" i="237"/>
  <c r="H6" i="237"/>
  <c r="G6" i="237"/>
  <c r="F6" i="237"/>
  <c r="E6" i="237"/>
  <c r="D6" i="237"/>
  <c r="C6" i="237"/>
  <c r="B6" i="237"/>
  <c r="Y5" i="237"/>
  <c r="X5" i="237"/>
  <c r="W5" i="237"/>
  <c r="V5" i="237"/>
  <c r="U5" i="237"/>
  <c r="T5" i="237"/>
  <c r="S5" i="237"/>
  <c r="R5" i="237"/>
  <c r="Q5" i="237"/>
  <c r="P5" i="237"/>
  <c r="O5" i="237"/>
  <c r="N5" i="237"/>
  <c r="M5" i="237"/>
  <c r="L5" i="237"/>
  <c r="K5" i="237"/>
  <c r="J5" i="237"/>
  <c r="I5" i="237"/>
  <c r="H5" i="237"/>
  <c r="G5" i="237"/>
  <c r="F5" i="237"/>
  <c r="E5" i="237"/>
  <c r="D5" i="237"/>
  <c r="C5" i="237"/>
  <c r="B5" i="237"/>
  <c r="Y10" i="236"/>
  <c r="X10" i="236"/>
  <c r="W10" i="236"/>
  <c r="V10" i="236"/>
  <c r="U10" i="236"/>
  <c r="T10" i="236"/>
  <c r="S10" i="236"/>
  <c r="R10" i="236"/>
  <c r="Q10" i="236"/>
  <c r="P10" i="236"/>
  <c r="O10" i="236"/>
  <c r="N10" i="236"/>
  <c r="M10" i="236"/>
  <c r="L10" i="236"/>
  <c r="K10" i="236"/>
  <c r="J10" i="236"/>
  <c r="I10" i="236"/>
  <c r="H10" i="236"/>
  <c r="G10" i="236"/>
  <c r="F10" i="236"/>
  <c r="E10" i="236"/>
  <c r="D10" i="236"/>
  <c r="C10" i="236"/>
  <c r="B10" i="236"/>
  <c r="Y9" i="236"/>
  <c r="X9" i="236"/>
  <c r="W9" i="236"/>
  <c r="V9" i="236"/>
  <c r="U9" i="236"/>
  <c r="T9" i="236"/>
  <c r="S9" i="236"/>
  <c r="R9" i="236"/>
  <c r="Q9" i="236"/>
  <c r="P9" i="236"/>
  <c r="O9" i="236"/>
  <c r="N9" i="236"/>
  <c r="M9" i="236"/>
  <c r="L9" i="236"/>
  <c r="K9" i="236"/>
  <c r="J9" i="236"/>
  <c r="I9" i="236"/>
  <c r="H9" i="236"/>
  <c r="G9" i="236"/>
  <c r="F9" i="236"/>
  <c r="E9" i="236"/>
  <c r="D9" i="236"/>
  <c r="C9" i="236"/>
  <c r="B9" i="236"/>
  <c r="Y8" i="236"/>
  <c r="X8" i="236"/>
  <c r="W8" i="236"/>
  <c r="V8" i="236"/>
  <c r="U8" i="236"/>
  <c r="T8" i="236"/>
  <c r="S8" i="236"/>
  <c r="R8" i="236"/>
  <c r="Q8" i="236"/>
  <c r="P8" i="236"/>
  <c r="O8" i="236"/>
  <c r="N8" i="236"/>
  <c r="M8" i="236"/>
  <c r="L8" i="236"/>
  <c r="K8" i="236"/>
  <c r="J8" i="236"/>
  <c r="I8" i="236"/>
  <c r="H8" i="236"/>
  <c r="G8" i="236"/>
  <c r="F8" i="236"/>
  <c r="E8" i="236"/>
  <c r="D8" i="236"/>
  <c r="C8" i="236"/>
  <c r="B8" i="236"/>
  <c r="Y7" i="236"/>
  <c r="X7" i="236"/>
  <c r="W7" i="236"/>
  <c r="V7" i="236"/>
  <c r="U7" i="236"/>
  <c r="T7" i="236"/>
  <c r="S7" i="236"/>
  <c r="R7" i="236"/>
  <c r="Q7" i="236"/>
  <c r="P7" i="236"/>
  <c r="O7" i="236"/>
  <c r="N7" i="236"/>
  <c r="M7" i="236"/>
  <c r="L7" i="236"/>
  <c r="K7" i="236"/>
  <c r="J7" i="236"/>
  <c r="I7" i="236"/>
  <c r="H7" i="236"/>
  <c r="G7" i="236"/>
  <c r="F7" i="236"/>
  <c r="E7" i="236"/>
  <c r="D7" i="236"/>
  <c r="C7" i="236"/>
  <c r="B7" i="236"/>
  <c r="Y6" i="236"/>
  <c r="X6" i="236"/>
  <c r="W6" i="236"/>
  <c r="V6" i="236"/>
  <c r="U6" i="236"/>
  <c r="T6" i="236"/>
  <c r="S6" i="236"/>
  <c r="R6" i="236"/>
  <c r="Q6" i="236"/>
  <c r="P6" i="236"/>
  <c r="O6" i="236"/>
  <c r="N6" i="236"/>
  <c r="M6" i="236"/>
  <c r="L6" i="236"/>
  <c r="K6" i="236"/>
  <c r="J6" i="236"/>
  <c r="I6" i="236"/>
  <c r="H6" i="236"/>
  <c r="G6" i="236"/>
  <c r="F6" i="236"/>
  <c r="E6" i="236"/>
  <c r="D6" i="236"/>
  <c r="C6" i="236"/>
  <c r="B6" i="236"/>
  <c r="Y5" i="236"/>
  <c r="X5" i="236"/>
  <c r="W5" i="236"/>
  <c r="V5" i="236"/>
  <c r="U5" i="236"/>
  <c r="T5" i="236"/>
  <c r="S5" i="236"/>
  <c r="R5" i="236"/>
  <c r="Q5" i="236"/>
  <c r="P5" i="236"/>
  <c r="O5" i="236"/>
  <c r="N5" i="236"/>
  <c r="M5" i="236"/>
  <c r="L5" i="236"/>
  <c r="K5" i="236"/>
  <c r="J5" i="236"/>
  <c r="I5" i="236"/>
  <c r="H5" i="236"/>
  <c r="G5" i="236"/>
  <c r="F5" i="236"/>
  <c r="E5" i="236"/>
  <c r="D5" i="236"/>
  <c r="C5" i="236"/>
  <c r="B5" i="236"/>
  <c r="Y10" i="209"/>
  <c r="X10" i="209"/>
  <c r="W10" i="209"/>
  <c r="V10" i="209"/>
  <c r="U10" i="209"/>
  <c r="T10" i="209"/>
  <c r="S10" i="209"/>
  <c r="R10" i="209"/>
  <c r="Q10" i="209"/>
  <c r="P10" i="209"/>
  <c r="O10" i="209"/>
  <c r="N10" i="209"/>
  <c r="M10" i="209"/>
  <c r="L10" i="209"/>
  <c r="K10" i="209"/>
  <c r="J10" i="209"/>
  <c r="I10" i="209"/>
  <c r="H10" i="209"/>
  <c r="G10" i="209"/>
  <c r="F10" i="209"/>
  <c r="E10" i="209"/>
  <c r="D10" i="209"/>
  <c r="C10" i="209"/>
  <c r="B10" i="209"/>
  <c r="Y9" i="209"/>
  <c r="X9" i="209"/>
  <c r="W9" i="209"/>
  <c r="V9" i="209"/>
  <c r="U9" i="209"/>
  <c r="T9" i="209"/>
  <c r="S9" i="209"/>
  <c r="R9" i="209"/>
  <c r="Q9" i="209"/>
  <c r="P9" i="209"/>
  <c r="O9" i="209"/>
  <c r="N9" i="209"/>
  <c r="M9" i="209"/>
  <c r="L9" i="209"/>
  <c r="K9" i="209"/>
  <c r="J9" i="209"/>
  <c r="I9" i="209"/>
  <c r="H9" i="209"/>
  <c r="G9" i="209"/>
  <c r="F9" i="209"/>
  <c r="E9" i="209"/>
  <c r="D9" i="209"/>
  <c r="C9" i="209"/>
  <c r="B9" i="209"/>
  <c r="Y8" i="209"/>
  <c r="X8" i="209"/>
  <c r="W8" i="209"/>
  <c r="V8" i="209"/>
  <c r="U8" i="209"/>
  <c r="T8" i="209"/>
  <c r="S8" i="209"/>
  <c r="R8" i="209"/>
  <c r="Q8" i="209"/>
  <c r="P8" i="209"/>
  <c r="O8" i="209"/>
  <c r="N8" i="209"/>
  <c r="M8" i="209"/>
  <c r="L8" i="209"/>
  <c r="K8" i="209"/>
  <c r="J8" i="209"/>
  <c r="I8" i="209"/>
  <c r="H8" i="209"/>
  <c r="G8" i="209"/>
  <c r="F8" i="209"/>
  <c r="E8" i="209"/>
  <c r="D8" i="209"/>
  <c r="C8" i="209"/>
  <c r="B8" i="209"/>
  <c r="Y7" i="209"/>
  <c r="X7" i="209"/>
  <c r="W7" i="209"/>
  <c r="V7" i="209"/>
  <c r="U7" i="209"/>
  <c r="T7" i="209"/>
  <c r="S7" i="209"/>
  <c r="R7" i="209"/>
  <c r="Q7" i="209"/>
  <c r="P7" i="209"/>
  <c r="O7" i="209"/>
  <c r="N7" i="209"/>
  <c r="M7" i="209"/>
  <c r="L7" i="209"/>
  <c r="K7" i="209"/>
  <c r="J7" i="209"/>
  <c r="I7" i="209"/>
  <c r="H7" i="209"/>
  <c r="G7" i="209"/>
  <c r="F7" i="209"/>
  <c r="E7" i="209"/>
  <c r="D7" i="209"/>
  <c r="C7" i="209"/>
  <c r="B7" i="209"/>
  <c r="Y6" i="209"/>
  <c r="X6" i="209"/>
  <c r="W6" i="209"/>
  <c r="V6" i="209"/>
  <c r="U6" i="209"/>
  <c r="T6" i="209"/>
  <c r="S6" i="209"/>
  <c r="R6" i="209"/>
  <c r="Q6" i="209"/>
  <c r="P6" i="209"/>
  <c r="O6" i="209"/>
  <c r="N6" i="209"/>
  <c r="M6" i="209"/>
  <c r="L6" i="209"/>
  <c r="K6" i="209"/>
  <c r="J6" i="209"/>
  <c r="I6" i="209"/>
  <c r="H6" i="209"/>
  <c r="G6" i="209"/>
  <c r="F6" i="209"/>
  <c r="E6" i="209"/>
  <c r="D6" i="209"/>
  <c r="C6" i="209"/>
  <c r="B6" i="209"/>
  <c r="Y5" i="209"/>
  <c r="X5" i="209"/>
  <c r="W5" i="209"/>
  <c r="V5" i="209"/>
  <c r="U5" i="209"/>
  <c r="T5" i="209"/>
  <c r="S5" i="209"/>
  <c r="R5" i="209"/>
  <c r="Q5" i="209"/>
  <c r="P5" i="209"/>
  <c r="O5" i="209"/>
  <c r="N5" i="209"/>
  <c r="M5" i="209"/>
  <c r="L5" i="209"/>
  <c r="K5" i="209"/>
  <c r="J5" i="209"/>
  <c r="I5" i="209"/>
  <c r="H5" i="209"/>
  <c r="G5" i="209"/>
  <c r="F5" i="209"/>
  <c r="E5" i="209"/>
  <c r="D5" i="209"/>
  <c r="C5" i="209"/>
  <c r="B5" i="209"/>
  <c r="Y10" i="208"/>
  <c r="X10" i="208"/>
  <c r="W10" i="208"/>
  <c r="V10" i="208"/>
  <c r="U10" i="208"/>
  <c r="T10" i="208"/>
  <c r="S10" i="208"/>
  <c r="R10" i="208"/>
  <c r="Q10" i="208"/>
  <c r="P10" i="208"/>
  <c r="O10" i="208"/>
  <c r="N10" i="208"/>
  <c r="M10" i="208"/>
  <c r="L10" i="208"/>
  <c r="K10" i="208"/>
  <c r="J10" i="208"/>
  <c r="I10" i="208"/>
  <c r="H10" i="208"/>
  <c r="G10" i="208"/>
  <c r="F10" i="208"/>
  <c r="E10" i="208"/>
  <c r="D10" i="208"/>
  <c r="C10" i="208"/>
  <c r="B10" i="208"/>
  <c r="Y9" i="208"/>
  <c r="X9" i="208"/>
  <c r="W9" i="208"/>
  <c r="V9" i="208"/>
  <c r="U9" i="208"/>
  <c r="T9" i="208"/>
  <c r="S9" i="208"/>
  <c r="R9" i="208"/>
  <c r="Q9" i="208"/>
  <c r="P9" i="208"/>
  <c r="O9" i="208"/>
  <c r="N9" i="208"/>
  <c r="M9" i="208"/>
  <c r="L9" i="208"/>
  <c r="K9" i="208"/>
  <c r="J9" i="208"/>
  <c r="I9" i="208"/>
  <c r="H9" i="208"/>
  <c r="G9" i="208"/>
  <c r="F9" i="208"/>
  <c r="E9" i="208"/>
  <c r="D9" i="208"/>
  <c r="C9" i="208"/>
  <c r="B9" i="208"/>
  <c r="Y8" i="208"/>
  <c r="X8" i="208"/>
  <c r="W8" i="208"/>
  <c r="V8" i="208"/>
  <c r="U8" i="208"/>
  <c r="T8" i="208"/>
  <c r="S8" i="208"/>
  <c r="R8" i="208"/>
  <c r="Q8" i="208"/>
  <c r="P8" i="208"/>
  <c r="O8" i="208"/>
  <c r="N8" i="208"/>
  <c r="M8" i="208"/>
  <c r="L8" i="208"/>
  <c r="K8" i="208"/>
  <c r="J8" i="208"/>
  <c r="I8" i="208"/>
  <c r="H8" i="208"/>
  <c r="G8" i="208"/>
  <c r="F8" i="208"/>
  <c r="E8" i="208"/>
  <c r="D8" i="208"/>
  <c r="C8" i="208"/>
  <c r="B8" i="208"/>
  <c r="Y7" i="208"/>
  <c r="X7" i="208"/>
  <c r="W7" i="208"/>
  <c r="V7" i="208"/>
  <c r="U7" i="208"/>
  <c r="T7" i="208"/>
  <c r="S7" i="208"/>
  <c r="R7" i="208"/>
  <c r="Q7" i="208"/>
  <c r="P7" i="208"/>
  <c r="O7" i="208"/>
  <c r="N7" i="208"/>
  <c r="M7" i="208"/>
  <c r="L7" i="208"/>
  <c r="K7" i="208"/>
  <c r="J7" i="208"/>
  <c r="I7" i="208"/>
  <c r="H7" i="208"/>
  <c r="G7" i="208"/>
  <c r="F7" i="208"/>
  <c r="E7" i="208"/>
  <c r="D7" i="208"/>
  <c r="C7" i="208"/>
  <c r="B7" i="208"/>
  <c r="Y6" i="208"/>
  <c r="X6" i="208"/>
  <c r="W6" i="208"/>
  <c r="V6" i="208"/>
  <c r="U6" i="208"/>
  <c r="T6" i="208"/>
  <c r="S6" i="208"/>
  <c r="R6" i="208"/>
  <c r="Q6" i="208"/>
  <c r="P6" i="208"/>
  <c r="O6" i="208"/>
  <c r="N6" i="208"/>
  <c r="M6" i="208"/>
  <c r="L6" i="208"/>
  <c r="K6" i="208"/>
  <c r="J6" i="208"/>
  <c r="I6" i="208"/>
  <c r="H6" i="208"/>
  <c r="G6" i="208"/>
  <c r="F6" i="208"/>
  <c r="E6" i="208"/>
  <c r="D6" i="208"/>
  <c r="C6" i="208"/>
  <c r="B6" i="208"/>
  <c r="Y5" i="208"/>
  <c r="X5" i="208"/>
  <c r="W5" i="208"/>
  <c r="V5" i="208"/>
  <c r="U5" i="208"/>
  <c r="T5" i="208"/>
  <c r="S5" i="208"/>
  <c r="R5" i="208"/>
  <c r="Q5" i="208"/>
  <c r="P5" i="208"/>
  <c r="O5" i="208"/>
  <c r="N5" i="208"/>
  <c r="M5" i="208"/>
  <c r="L5" i="208"/>
  <c r="K5" i="208"/>
  <c r="J5" i="208"/>
  <c r="I5" i="208"/>
  <c r="H5" i="208"/>
  <c r="G5" i="208"/>
  <c r="F5" i="208"/>
  <c r="E5" i="208"/>
  <c r="D5" i="208"/>
  <c r="C5" i="208"/>
  <c r="B5" i="208"/>
  <c r="Y10" i="207"/>
  <c r="X10" i="207"/>
  <c r="W10" i="207"/>
  <c r="V10" i="207"/>
  <c r="U10" i="207"/>
  <c r="T10" i="207"/>
  <c r="S10" i="207"/>
  <c r="R10" i="207"/>
  <c r="Q10" i="207"/>
  <c r="P10" i="207"/>
  <c r="O10" i="207"/>
  <c r="N10" i="207"/>
  <c r="M10" i="207"/>
  <c r="L10" i="207"/>
  <c r="K10" i="207"/>
  <c r="J10" i="207"/>
  <c r="I10" i="207"/>
  <c r="H10" i="207"/>
  <c r="G10" i="207"/>
  <c r="F10" i="207"/>
  <c r="E10" i="207"/>
  <c r="D10" i="207"/>
  <c r="C10" i="207"/>
  <c r="B10" i="207"/>
  <c r="Y9" i="207"/>
  <c r="X9" i="207"/>
  <c r="W9" i="207"/>
  <c r="V9" i="207"/>
  <c r="U9" i="207"/>
  <c r="T9" i="207"/>
  <c r="S9" i="207"/>
  <c r="R9" i="207"/>
  <c r="Q9" i="207"/>
  <c r="P9" i="207"/>
  <c r="O9" i="207"/>
  <c r="N9" i="207"/>
  <c r="M9" i="207"/>
  <c r="L9" i="207"/>
  <c r="K9" i="207"/>
  <c r="J9" i="207"/>
  <c r="I9" i="207"/>
  <c r="H9" i="207"/>
  <c r="G9" i="207"/>
  <c r="F9" i="207"/>
  <c r="E9" i="207"/>
  <c r="D9" i="207"/>
  <c r="C9" i="207"/>
  <c r="B9" i="207"/>
  <c r="Y8" i="207"/>
  <c r="X8" i="207"/>
  <c r="W8" i="207"/>
  <c r="V8" i="207"/>
  <c r="U8" i="207"/>
  <c r="T8" i="207"/>
  <c r="S8" i="207"/>
  <c r="R8" i="207"/>
  <c r="Q8" i="207"/>
  <c r="P8" i="207"/>
  <c r="O8" i="207"/>
  <c r="N8" i="207"/>
  <c r="M8" i="207"/>
  <c r="L8" i="207"/>
  <c r="K8" i="207"/>
  <c r="J8" i="207"/>
  <c r="I8" i="207"/>
  <c r="H8" i="207"/>
  <c r="G8" i="207"/>
  <c r="F8" i="207"/>
  <c r="E8" i="207"/>
  <c r="D8" i="207"/>
  <c r="C8" i="207"/>
  <c r="B8" i="207"/>
  <c r="Y7" i="207"/>
  <c r="X7" i="207"/>
  <c r="W7" i="207"/>
  <c r="V7" i="207"/>
  <c r="U7" i="207"/>
  <c r="T7" i="207"/>
  <c r="S7" i="207"/>
  <c r="R7" i="207"/>
  <c r="Q7" i="207"/>
  <c r="P7" i="207"/>
  <c r="O7" i="207"/>
  <c r="N7" i="207"/>
  <c r="M7" i="207"/>
  <c r="L7" i="207"/>
  <c r="K7" i="207"/>
  <c r="J7" i="207"/>
  <c r="I7" i="207"/>
  <c r="H7" i="207"/>
  <c r="G7" i="207"/>
  <c r="F7" i="207"/>
  <c r="E7" i="207"/>
  <c r="D7" i="207"/>
  <c r="C7" i="207"/>
  <c r="B7" i="207"/>
  <c r="Y6" i="207"/>
  <c r="X6" i="207"/>
  <c r="W6" i="207"/>
  <c r="V6" i="207"/>
  <c r="U6" i="207"/>
  <c r="T6" i="207"/>
  <c r="S6" i="207"/>
  <c r="R6" i="207"/>
  <c r="Q6" i="207"/>
  <c r="P6" i="207"/>
  <c r="O6" i="207"/>
  <c r="N6" i="207"/>
  <c r="M6" i="207"/>
  <c r="L6" i="207"/>
  <c r="K6" i="207"/>
  <c r="J6" i="207"/>
  <c r="I6" i="207"/>
  <c r="H6" i="207"/>
  <c r="G6" i="207"/>
  <c r="F6" i="207"/>
  <c r="E6" i="207"/>
  <c r="D6" i="207"/>
  <c r="C6" i="207"/>
  <c r="B6" i="207"/>
  <c r="Y5" i="207"/>
  <c r="X5" i="207"/>
  <c r="W5" i="207"/>
  <c r="V5" i="207"/>
  <c r="U5" i="207"/>
  <c r="T5" i="207"/>
  <c r="S5" i="207"/>
  <c r="R5" i="207"/>
  <c r="Q5" i="207"/>
  <c r="P5" i="207"/>
  <c r="O5" i="207"/>
  <c r="N5" i="207"/>
  <c r="M5" i="207"/>
  <c r="L5" i="207"/>
  <c r="K5" i="207"/>
  <c r="J5" i="207"/>
  <c r="I5" i="207"/>
  <c r="H5" i="207"/>
  <c r="G5" i="207"/>
  <c r="F5" i="207"/>
  <c r="E5" i="207"/>
  <c r="D5" i="207"/>
  <c r="C5" i="207"/>
  <c r="B5" i="207"/>
  <c r="Y10" i="206"/>
  <c r="X10" i="206"/>
  <c r="W10" i="206"/>
  <c r="V10" i="206"/>
  <c r="U10" i="206"/>
  <c r="T10" i="206"/>
  <c r="S10" i="206"/>
  <c r="R10" i="206"/>
  <c r="Q10" i="206"/>
  <c r="P10" i="206"/>
  <c r="O10" i="206"/>
  <c r="N10" i="206"/>
  <c r="M10" i="206"/>
  <c r="L10" i="206"/>
  <c r="K10" i="206"/>
  <c r="J10" i="206"/>
  <c r="I10" i="206"/>
  <c r="H10" i="206"/>
  <c r="G10" i="206"/>
  <c r="F10" i="206"/>
  <c r="E10" i="206"/>
  <c r="D10" i="206"/>
  <c r="C10" i="206"/>
  <c r="B10" i="206"/>
  <c r="Y9" i="206"/>
  <c r="X9" i="206"/>
  <c r="W9" i="206"/>
  <c r="V9" i="206"/>
  <c r="U9" i="206"/>
  <c r="T9" i="206"/>
  <c r="S9" i="206"/>
  <c r="R9" i="206"/>
  <c r="Q9" i="206"/>
  <c r="P9" i="206"/>
  <c r="O9" i="206"/>
  <c r="N9" i="206"/>
  <c r="M9" i="206"/>
  <c r="L9" i="206"/>
  <c r="K9" i="206"/>
  <c r="J9" i="206"/>
  <c r="I9" i="206"/>
  <c r="H9" i="206"/>
  <c r="G9" i="206"/>
  <c r="F9" i="206"/>
  <c r="E9" i="206"/>
  <c r="D9" i="206"/>
  <c r="C9" i="206"/>
  <c r="B9" i="206"/>
  <c r="Y8" i="206"/>
  <c r="X8" i="206"/>
  <c r="W8" i="206"/>
  <c r="V8" i="206"/>
  <c r="U8" i="206"/>
  <c r="T8" i="206"/>
  <c r="S8" i="206"/>
  <c r="R8" i="206"/>
  <c r="Q8" i="206"/>
  <c r="P8" i="206"/>
  <c r="O8" i="206"/>
  <c r="N8" i="206"/>
  <c r="M8" i="206"/>
  <c r="L8" i="206"/>
  <c r="K8" i="206"/>
  <c r="J8" i="206"/>
  <c r="I8" i="206"/>
  <c r="H8" i="206"/>
  <c r="G8" i="206"/>
  <c r="F8" i="206"/>
  <c r="E8" i="206"/>
  <c r="D8" i="206"/>
  <c r="C8" i="206"/>
  <c r="B8" i="206"/>
  <c r="Y7" i="206"/>
  <c r="X7" i="206"/>
  <c r="W7" i="206"/>
  <c r="V7" i="206"/>
  <c r="U7" i="206"/>
  <c r="T7" i="206"/>
  <c r="S7" i="206"/>
  <c r="R7" i="206"/>
  <c r="Q7" i="206"/>
  <c r="P7" i="206"/>
  <c r="O7" i="206"/>
  <c r="N7" i="206"/>
  <c r="M7" i="206"/>
  <c r="L7" i="206"/>
  <c r="K7" i="206"/>
  <c r="J7" i="206"/>
  <c r="I7" i="206"/>
  <c r="H7" i="206"/>
  <c r="G7" i="206"/>
  <c r="F7" i="206"/>
  <c r="E7" i="206"/>
  <c r="D7" i="206"/>
  <c r="C7" i="206"/>
  <c r="B7" i="206"/>
  <c r="Y6" i="206"/>
  <c r="X6" i="206"/>
  <c r="W6" i="206"/>
  <c r="V6" i="206"/>
  <c r="U6" i="206"/>
  <c r="T6" i="206"/>
  <c r="S6" i="206"/>
  <c r="R6" i="206"/>
  <c r="Q6" i="206"/>
  <c r="P6" i="206"/>
  <c r="O6" i="206"/>
  <c r="N6" i="206"/>
  <c r="M6" i="206"/>
  <c r="L6" i="206"/>
  <c r="K6" i="206"/>
  <c r="J6" i="206"/>
  <c r="I6" i="206"/>
  <c r="H6" i="206"/>
  <c r="G6" i="206"/>
  <c r="F6" i="206"/>
  <c r="E6" i="206"/>
  <c r="D6" i="206"/>
  <c r="C6" i="206"/>
  <c r="B6" i="206"/>
  <c r="Y5" i="206"/>
  <c r="X5" i="206"/>
  <c r="W5" i="206"/>
  <c r="V5" i="206"/>
  <c r="U5" i="206"/>
  <c r="T5" i="206"/>
  <c r="S5" i="206"/>
  <c r="R5" i="206"/>
  <c r="Q5" i="206"/>
  <c r="P5" i="206"/>
  <c r="O5" i="206"/>
  <c r="N5" i="206"/>
  <c r="M5" i="206"/>
  <c r="L5" i="206"/>
  <c r="K5" i="206"/>
  <c r="J5" i="206"/>
  <c r="I5" i="206"/>
  <c r="H5" i="206"/>
  <c r="G5" i="206"/>
  <c r="F5" i="206"/>
  <c r="E5" i="206"/>
  <c r="D5" i="206"/>
  <c r="C5" i="206"/>
  <c r="B5" i="206"/>
  <c r="Y10" i="205"/>
  <c r="X10" i="205"/>
  <c r="W10" i="205"/>
  <c r="V10" i="205"/>
  <c r="U10" i="205"/>
  <c r="T10" i="205"/>
  <c r="S10" i="205"/>
  <c r="R10" i="205"/>
  <c r="Q10" i="205"/>
  <c r="P10" i="205"/>
  <c r="O10" i="205"/>
  <c r="N10" i="205"/>
  <c r="M10" i="205"/>
  <c r="L10" i="205"/>
  <c r="K10" i="205"/>
  <c r="J10" i="205"/>
  <c r="I10" i="205"/>
  <c r="H10" i="205"/>
  <c r="G10" i="205"/>
  <c r="F10" i="205"/>
  <c r="E10" i="205"/>
  <c r="D10" i="205"/>
  <c r="C10" i="205"/>
  <c r="B10" i="205"/>
  <c r="Y9" i="205"/>
  <c r="X9" i="205"/>
  <c r="W9" i="205"/>
  <c r="V9" i="205"/>
  <c r="U9" i="205"/>
  <c r="T9" i="205"/>
  <c r="S9" i="205"/>
  <c r="R9" i="205"/>
  <c r="Q9" i="205"/>
  <c r="P9" i="205"/>
  <c r="O9" i="205"/>
  <c r="N9" i="205"/>
  <c r="M9" i="205"/>
  <c r="L9" i="205"/>
  <c r="K9" i="205"/>
  <c r="J9" i="205"/>
  <c r="I9" i="205"/>
  <c r="H9" i="205"/>
  <c r="G9" i="205"/>
  <c r="F9" i="205"/>
  <c r="E9" i="205"/>
  <c r="D9" i="205"/>
  <c r="C9" i="205"/>
  <c r="B9" i="205"/>
  <c r="Y8" i="205"/>
  <c r="X8" i="205"/>
  <c r="W8" i="205"/>
  <c r="V8" i="205"/>
  <c r="U8" i="205"/>
  <c r="T8" i="205"/>
  <c r="S8" i="205"/>
  <c r="R8" i="205"/>
  <c r="Q8" i="205"/>
  <c r="P8" i="205"/>
  <c r="O8" i="205"/>
  <c r="N8" i="205"/>
  <c r="M8" i="205"/>
  <c r="L8" i="205"/>
  <c r="K8" i="205"/>
  <c r="J8" i="205"/>
  <c r="I8" i="205"/>
  <c r="H8" i="205"/>
  <c r="G8" i="205"/>
  <c r="F8" i="205"/>
  <c r="E8" i="205"/>
  <c r="D8" i="205"/>
  <c r="C8" i="205"/>
  <c r="B8" i="205"/>
  <c r="Y7" i="205"/>
  <c r="X7" i="205"/>
  <c r="W7" i="205"/>
  <c r="V7" i="205"/>
  <c r="U7" i="205"/>
  <c r="T7" i="205"/>
  <c r="S7" i="205"/>
  <c r="R7" i="205"/>
  <c r="Q7" i="205"/>
  <c r="P7" i="205"/>
  <c r="O7" i="205"/>
  <c r="N7" i="205"/>
  <c r="M7" i="205"/>
  <c r="L7" i="205"/>
  <c r="K7" i="205"/>
  <c r="J7" i="205"/>
  <c r="I7" i="205"/>
  <c r="H7" i="205"/>
  <c r="G7" i="205"/>
  <c r="F7" i="205"/>
  <c r="E7" i="205"/>
  <c r="D7" i="205"/>
  <c r="C7" i="205"/>
  <c r="B7" i="205"/>
  <c r="Y6" i="205"/>
  <c r="X6" i="205"/>
  <c r="W6" i="205"/>
  <c r="V6" i="205"/>
  <c r="U6" i="205"/>
  <c r="T6" i="205"/>
  <c r="S6" i="205"/>
  <c r="R6" i="205"/>
  <c r="Q6" i="205"/>
  <c r="P6" i="205"/>
  <c r="O6" i="205"/>
  <c r="N6" i="205"/>
  <c r="M6" i="205"/>
  <c r="L6" i="205"/>
  <c r="K6" i="205"/>
  <c r="J6" i="205"/>
  <c r="I6" i="205"/>
  <c r="H6" i="205"/>
  <c r="G6" i="205"/>
  <c r="F6" i="205"/>
  <c r="E6" i="205"/>
  <c r="D6" i="205"/>
  <c r="C6" i="205"/>
  <c r="B6" i="205"/>
  <c r="Y5" i="205"/>
  <c r="X5" i="205"/>
  <c r="W5" i="205"/>
  <c r="V5" i="205"/>
  <c r="U5" i="205"/>
  <c r="T5" i="205"/>
  <c r="S5" i="205"/>
  <c r="R5" i="205"/>
  <c r="Q5" i="205"/>
  <c r="P5" i="205"/>
  <c r="O5" i="205"/>
  <c r="N5" i="205"/>
  <c r="M5" i="205"/>
  <c r="L5" i="205"/>
  <c r="K5" i="205"/>
  <c r="J5" i="205"/>
  <c r="I5" i="205"/>
  <c r="H5" i="205"/>
  <c r="G5" i="205"/>
  <c r="F5" i="205"/>
  <c r="E5" i="205"/>
  <c r="D5" i="205"/>
  <c r="C5" i="205"/>
  <c r="B5" i="205"/>
  <c r="Y10" i="204"/>
  <c r="X10" i="204"/>
  <c r="W10" i="204"/>
  <c r="V10" i="204"/>
  <c r="U10" i="204"/>
  <c r="T10" i="204"/>
  <c r="S10" i="204"/>
  <c r="R10" i="204"/>
  <c r="Q10" i="204"/>
  <c r="P10" i="204"/>
  <c r="O10" i="204"/>
  <c r="N10" i="204"/>
  <c r="M10" i="204"/>
  <c r="L10" i="204"/>
  <c r="K10" i="204"/>
  <c r="J10" i="204"/>
  <c r="I10" i="204"/>
  <c r="H10" i="204"/>
  <c r="G10" i="204"/>
  <c r="F10" i="204"/>
  <c r="E10" i="204"/>
  <c r="D10" i="204"/>
  <c r="C10" i="204"/>
  <c r="B10" i="204"/>
  <c r="Y9" i="204"/>
  <c r="X9" i="204"/>
  <c r="W9" i="204"/>
  <c r="V9" i="204"/>
  <c r="U9" i="204"/>
  <c r="T9" i="204"/>
  <c r="S9" i="204"/>
  <c r="R9" i="204"/>
  <c r="Q9" i="204"/>
  <c r="P9" i="204"/>
  <c r="O9" i="204"/>
  <c r="N9" i="204"/>
  <c r="M9" i="204"/>
  <c r="L9" i="204"/>
  <c r="K9" i="204"/>
  <c r="J9" i="204"/>
  <c r="I9" i="204"/>
  <c r="H9" i="204"/>
  <c r="G9" i="204"/>
  <c r="F9" i="204"/>
  <c r="E9" i="204"/>
  <c r="D9" i="204"/>
  <c r="C9" i="204"/>
  <c r="B9" i="204"/>
  <c r="Y8" i="204"/>
  <c r="X8" i="204"/>
  <c r="W8" i="204"/>
  <c r="V8" i="204"/>
  <c r="U8" i="204"/>
  <c r="T8" i="204"/>
  <c r="S8" i="204"/>
  <c r="R8" i="204"/>
  <c r="Q8" i="204"/>
  <c r="P8" i="204"/>
  <c r="O8" i="204"/>
  <c r="N8" i="204"/>
  <c r="M8" i="204"/>
  <c r="L8" i="204"/>
  <c r="K8" i="204"/>
  <c r="J8" i="204"/>
  <c r="I8" i="204"/>
  <c r="H8" i="204"/>
  <c r="G8" i="204"/>
  <c r="F8" i="204"/>
  <c r="E8" i="204"/>
  <c r="D8" i="204"/>
  <c r="C8" i="204"/>
  <c r="B8" i="204"/>
  <c r="Y7" i="204"/>
  <c r="X7" i="204"/>
  <c r="W7" i="204"/>
  <c r="V7" i="204"/>
  <c r="U7" i="204"/>
  <c r="T7" i="204"/>
  <c r="S7" i="204"/>
  <c r="R7" i="204"/>
  <c r="Q7" i="204"/>
  <c r="P7" i="204"/>
  <c r="O7" i="204"/>
  <c r="N7" i="204"/>
  <c r="M7" i="204"/>
  <c r="L7" i="204"/>
  <c r="K7" i="204"/>
  <c r="J7" i="204"/>
  <c r="I7" i="204"/>
  <c r="H7" i="204"/>
  <c r="G7" i="204"/>
  <c r="F7" i="204"/>
  <c r="E7" i="204"/>
  <c r="D7" i="204"/>
  <c r="C7" i="204"/>
  <c r="B7" i="204"/>
  <c r="Y6" i="204"/>
  <c r="X6" i="204"/>
  <c r="W6" i="204"/>
  <c r="V6" i="204"/>
  <c r="U6" i="204"/>
  <c r="T6" i="204"/>
  <c r="S6" i="204"/>
  <c r="R6" i="204"/>
  <c r="Q6" i="204"/>
  <c r="P6" i="204"/>
  <c r="O6" i="204"/>
  <c r="N6" i="204"/>
  <c r="M6" i="204"/>
  <c r="L6" i="204"/>
  <c r="K6" i="204"/>
  <c r="J6" i="204"/>
  <c r="I6" i="204"/>
  <c r="H6" i="204"/>
  <c r="G6" i="204"/>
  <c r="F6" i="204"/>
  <c r="E6" i="204"/>
  <c r="D6" i="204"/>
  <c r="C6" i="204"/>
  <c r="B6" i="204"/>
  <c r="Y5" i="204"/>
  <c r="X5" i="204"/>
  <c r="W5" i="204"/>
  <c r="V5" i="204"/>
  <c r="U5" i="204"/>
  <c r="T5" i="204"/>
  <c r="S5" i="204"/>
  <c r="R5" i="204"/>
  <c r="Q5" i="204"/>
  <c r="P5" i="204"/>
  <c r="O5" i="204"/>
  <c r="N5" i="204"/>
  <c r="M5" i="204"/>
  <c r="L5" i="204"/>
  <c r="K5" i="204"/>
  <c r="J5" i="204"/>
  <c r="I5" i="204"/>
  <c r="H5" i="204"/>
  <c r="G5" i="204"/>
  <c r="F5" i="204"/>
  <c r="E5" i="204"/>
  <c r="D5" i="204"/>
  <c r="C5" i="204"/>
  <c r="B5" i="204"/>
  <c r="C5" i="189"/>
  <c r="D5" i="189"/>
  <c r="E5" i="189"/>
  <c r="F5" i="189"/>
  <c r="G5" i="189"/>
  <c r="H5" i="189"/>
  <c r="I5" i="189"/>
  <c r="J5" i="189"/>
  <c r="K5" i="189"/>
  <c r="L5" i="189"/>
  <c r="M5" i="189"/>
  <c r="N5" i="189"/>
  <c r="O5" i="189"/>
  <c r="P5" i="189"/>
  <c r="Q5" i="189"/>
  <c r="R5" i="189"/>
  <c r="S5" i="189"/>
  <c r="T5" i="189"/>
  <c r="U5" i="189"/>
  <c r="V5" i="189"/>
  <c r="W5" i="189"/>
  <c r="X5" i="189"/>
  <c r="Y5" i="189"/>
  <c r="C6" i="189"/>
  <c r="D6" i="189"/>
  <c r="E6" i="189"/>
  <c r="F6" i="189"/>
  <c r="G6" i="189"/>
  <c r="H6" i="189"/>
  <c r="I6" i="189"/>
  <c r="J6" i="189"/>
  <c r="K6" i="189"/>
  <c r="L6" i="189"/>
  <c r="M6" i="189"/>
  <c r="N6" i="189"/>
  <c r="O6" i="189"/>
  <c r="P6" i="189"/>
  <c r="Q6" i="189"/>
  <c r="R6" i="189"/>
  <c r="S6" i="189"/>
  <c r="T6" i="189"/>
  <c r="U6" i="189"/>
  <c r="V6" i="189"/>
  <c r="W6" i="189"/>
  <c r="X6" i="189"/>
  <c r="Y6" i="189"/>
  <c r="C7" i="189"/>
  <c r="D7" i="189"/>
  <c r="E7" i="189"/>
  <c r="F7" i="189"/>
  <c r="G7" i="189"/>
  <c r="H7" i="189"/>
  <c r="I7" i="189"/>
  <c r="J7" i="189"/>
  <c r="K7" i="189"/>
  <c r="L7" i="189"/>
  <c r="M7" i="189"/>
  <c r="N7" i="189"/>
  <c r="O7" i="189"/>
  <c r="P7" i="189"/>
  <c r="Q7" i="189"/>
  <c r="R7" i="189"/>
  <c r="S7" i="189"/>
  <c r="T7" i="189"/>
  <c r="U7" i="189"/>
  <c r="V7" i="189"/>
  <c r="W7" i="189"/>
  <c r="X7" i="189"/>
  <c r="Y7" i="189"/>
  <c r="C8" i="189"/>
  <c r="D8" i="189"/>
  <c r="E8" i="189"/>
  <c r="F8" i="189"/>
  <c r="G8" i="189"/>
  <c r="H8" i="189"/>
  <c r="I8" i="189"/>
  <c r="J8" i="189"/>
  <c r="K8" i="189"/>
  <c r="L8" i="189"/>
  <c r="M8" i="189"/>
  <c r="N8" i="189"/>
  <c r="O8" i="189"/>
  <c r="P8" i="189"/>
  <c r="Q8" i="189"/>
  <c r="R8" i="189"/>
  <c r="S8" i="189"/>
  <c r="T8" i="189"/>
  <c r="U8" i="189"/>
  <c r="V8" i="189"/>
  <c r="W8" i="189"/>
  <c r="X8" i="189"/>
  <c r="Y8" i="189"/>
  <c r="C9" i="189"/>
  <c r="D9" i="189"/>
  <c r="E9" i="189"/>
  <c r="F9" i="189"/>
  <c r="G9" i="189"/>
  <c r="H9" i="189"/>
  <c r="I9" i="189"/>
  <c r="J9" i="189"/>
  <c r="K9" i="189"/>
  <c r="L9" i="189"/>
  <c r="M9" i="189"/>
  <c r="N9" i="189"/>
  <c r="O9" i="189"/>
  <c r="P9" i="189"/>
  <c r="Q9" i="189"/>
  <c r="R9" i="189"/>
  <c r="S9" i="189"/>
  <c r="T9" i="189"/>
  <c r="U9" i="189"/>
  <c r="V9" i="189"/>
  <c r="W9" i="189"/>
  <c r="X9" i="189"/>
  <c r="Y9" i="189"/>
  <c r="C10" i="189"/>
  <c r="D10" i="189"/>
  <c r="E10" i="189"/>
  <c r="F10" i="189"/>
  <c r="G10" i="189"/>
  <c r="H10" i="189"/>
  <c r="I10" i="189"/>
  <c r="J10" i="189"/>
  <c r="K10" i="189"/>
  <c r="L10" i="189"/>
  <c r="M10" i="189"/>
  <c r="N10" i="189"/>
  <c r="O10" i="189"/>
  <c r="P10" i="189"/>
  <c r="Q10" i="189"/>
  <c r="R10" i="189"/>
  <c r="S10" i="189"/>
  <c r="T10" i="189"/>
  <c r="U10" i="189"/>
  <c r="V10" i="189"/>
  <c r="W10" i="189"/>
  <c r="X10" i="189"/>
  <c r="Y10" i="189"/>
  <c r="B9" i="189"/>
  <c r="B10" i="189"/>
  <c r="B8" i="189"/>
  <c r="B6" i="189"/>
  <c r="B7" i="189"/>
  <c r="B5" i="189"/>
  <c r="C5" i="188"/>
  <c r="D5" i="188"/>
  <c r="E5" i="188"/>
  <c r="F5" i="188"/>
  <c r="G5" i="188"/>
  <c r="H5" i="188"/>
  <c r="I5" i="188"/>
  <c r="J5" i="188"/>
  <c r="K5" i="188"/>
  <c r="L5" i="188"/>
  <c r="M5" i="188"/>
  <c r="N5" i="188"/>
  <c r="O5" i="188"/>
  <c r="P5" i="188"/>
  <c r="Q5" i="188"/>
  <c r="R5" i="188"/>
  <c r="S5" i="188"/>
  <c r="T5" i="188"/>
  <c r="U5" i="188"/>
  <c r="V5" i="188"/>
  <c r="W5" i="188"/>
  <c r="X5" i="188"/>
  <c r="Y5" i="188"/>
  <c r="C6" i="188"/>
  <c r="D6" i="188"/>
  <c r="E6" i="188"/>
  <c r="F6" i="188"/>
  <c r="G6" i="188"/>
  <c r="H6" i="188"/>
  <c r="I6" i="188"/>
  <c r="J6" i="188"/>
  <c r="K6" i="188"/>
  <c r="L6" i="188"/>
  <c r="M6" i="188"/>
  <c r="N6" i="188"/>
  <c r="O6" i="188"/>
  <c r="P6" i="188"/>
  <c r="Q6" i="188"/>
  <c r="R6" i="188"/>
  <c r="S6" i="188"/>
  <c r="T6" i="188"/>
  <c r="U6" i="188"/>
  <c r="V6" i="188"/>
  <c r="W6" i="188"/>
  <c r="X6" i="188"/>
  <c r="Y6" i="188"/>
  <c r="C7" i="188"/>
  <c r="D7" i="188"/>
  <c r="E7" i="188"/>
  <c r="F7" i="188"/>
  <c r="G7" i="188"/>
  <c r="H7" i="188"/>
  <c r="I7" i="188"/>
  <c r="J7" i="188"/>
  <c r="K7" i="188"/>
  <c r="L7" i="188"/>
  <c r="M7" i="188"/>
  <c r="N7" i="188"/>
  <c r="O7" i="188"/>
  <c r="P7" i="188"/>
  <c r="Q7" i="188"/>
  <c r="R7" i="188"/>
  <c r="S7" i="188"/>
  <c r="T7" i="188"/>
  <c r="U7" i="188"/>
  <c r="V7" i="188"/>
  <c r="W7" i="188"/>
  <c r="X7" i="188"/>
  <c r="Y7" i="188"/>
  <c r="C8" i="188"/>
  <c r="D8" i="188"/>
  <c r="E8" i="188"/>
  <c r="F8" i="188"/>
  <c r="G8" i="188"/>
  <c r="H8" i="188"/>
  <c r="I8" i="188"/>
  <c r="J8" i="188"/>
  <c r="K8" i="188"/>
  <c r="L8" i="188"/>
  <c r="M8" i="188"/>
  <c r="N8" i="188"/>
  <c r="O8" i="188"/>
  <c r="P8" i="188"/>
  <c r="Q8" i="188"/>
  <c r="R8" i="188"/>
  <c r="S8" i="188"/>
  <c r="T8" i="188"/>
  <c r="U8" i="188"/>
  <c r="V8" i="188"/>
  <c r="W8" i="188"/>
  <c r="X8" i="188"/>
  <c r="Y8" i="188"/>
  <c r="C9" i="188"/>
  <c r="D9" i="188"/>
  <c r="E9" i="188"/>
  <c r="F9" i="188"/>
  <c r="G9" i="188"/>
  <c r="H9" i="188"/>
  <c r="I9" i="188"/>
  <c r="J9" i="188"/>
  <c r="K9" i="188"/>
  <c r="L9" i="188"/>
  <c r="M9" i="188"/>
  <c r="N9" i="188"/>
  <c r="O9" i="188"/>
  <c r="P9" i="188"/>
  <c r="Q9" i="188"/>
  <c r="R9" i="188"/>
  <c r="S9" i="188"/>
  <c r="T9" i="188"/>
  <c r="U9" i="188"/>
  <c r="V9" i="188"/>
  <c r="W9" i="188"/>
  <c r="X9" i="188"/>
  <c r="Y9" i="188"/>
  <c r="C10" i="188"/>
  <c r="D10" i="188"/>
  <c r="E10" i="188"/>
  <c r="F10" i="188"/>
  <c r="G10" i="188"/>
  <c r="H10" i="188"/>
  <c r="I10" i="188"/>
  <c r="J10" i="188"/>
  <c r="K10" i="188"/>
  <c r="L10" i="188"/>
  <c r="M10" i="188"/>
  <c r="N10" i="188"/>
  <c r="O10" i="188"/>
  <c r="P10" i="188"/>
  <c r="Q10" i="188"/>
  <c r="R10" i="188"/>
  <c r="S10" i="188"/>
  <c r="T10" i="188"/>
  <c r="U10" i="188"/>
  <c r="V10" i="188"/>
  <c r="W10" i="188"/>
  <c r="X10" i="188"/>
  <c r="Y10" i="188"/>
  <c r="B9" i="188"/>
  <c r="B10" i="188"/>
  <c r="B8" i="188"/>
  <c r="B6" i="188"/>
  <c r="B7" i="188"/>
  <c r="B5" i="188"/>
  <c r="C8" i="71"/>
  <c r="D8" i="71"/>
  <c r="E8" i="71"/>
  <c r="F8" i="71"/>
  <c r="G8" i="71"/>
  <c r="H8" i="71"/>
  <c r="I8" i="71"/>
  <c r="J8" i="71"/>
  <c r="K8" i="71"/>
  <c r="L8" i="71"/>
  <c r="M8" i="71"/>
  <c r="N8" i="71"/>
  <c r="O8" i="71"/>
  <c r="P8" i="71"/>
  <c r="Q8" i="71"/>
  <c r="R8" i="71"/>
  <c r="S8" i="71"/>
  <c r="T8" i="71"/>
  <c r="U8" i="71"/>
  <c r="V8" i="71"/>
  <c r="W8" i="71"/>
  <c r="X8" i="71"/>
  <c r="Y8" i="71"/>
  <c r="C9" i="71"/>
  <c r="D9" i="71"/>
  <c r="E9" i="71"/>
  <c r="F9" i="71"/>
  <c r="G9" i="71"/>
  <c r="H9" i="71"/>
  <c r="I9" i="71"/>
  <c r="J9" i="71"/>
  <c r="K9" i="71"/>
  <c r="L9" i="71"/>
  <c r="M9" i="71"/>
  <c r="N9" i="71"/>
  <c r="O9" i="71"/>
  <c r="P9" i="71"/>
  <c r="Q9" i="71"/>
  <c r="R9" i="71"/>
  <c r="S9" i="71"/>
  <c r="T9" i="71"/>
  <c r="U9" i="71"/>
  <c r="V9" i="71"/>
  <c r="W9" i="71"/>
  <c r="X9" i="71"/>
  <c r="Y9" i="71"/>
  <c r="C10" i="71"/>
  <c r="D10" i="71"/>
  <c r="E10" i="71"/>
  <c r="F10" i="71"/>
  <c r="G10" i="71"/>
  <c r="H10" i="71"/>
  <c r="I10" i="71"/>
  <c r="J10" i="71"/>
  <c r="K10" i="71"/>
  <c r="L10" i="71"/>
  <c r="M10" i="71"/>
  <c r="N10" i="71"/>
  <c r="O10" i="71"/>
  <c r="P10" i="71"/>
  <c r="Q10" i="71"/>
  <c r="R10" i="71"/>
  <c r="S10" i="71"/>
  <c r="T10" i="71"/>
  <c r="U10" i="71"/>
  <c r="V10" i="71"/>
  <c r="W10" i="71"/>
  <c r="X10" i="71"/>
  <c r="Y10" i="71"/>
  <c r="B9" i="71"/>
  <c r="B10" i="71"/>
  <c r="B8" i="71"/>
  <c r="C5" i="71"/>
  <c r="D5" i="71"/>
  <c r="E5" i="71"/>
  <c r="F5" i="71"/>
  <c r="G5" i="71"/>
  <c r="H5" i="71"/>
  <c r="I5" i="71"/>
  <c r="J5" i="71"/>
  <c r="K5" i="71"/>
  <c r="L5" i="71"/>
  <c r="M5" i="71"/>
  <c r="N5" i="71"/>
  <c r="O5" i="71"/>
  <c r="P5" i="71"/>
  <c r="Q5" i="71"/>
  <c r="R5" i="71"/>
  <c r="S5" i="71"/>
  <c r="T5" i="71"/>
  <c r="U5" i="71"/>
  <c r="V5" i="71"/>
  <c r="W5" i="71"/>
  <c r="X5" i="71"/>
  <c r="Y5" i="71"/>
  <c r="C6" i="71"/>
  <c r="D6" i="71"/>
  <c r="E6" i="71"/>
  <c r="F6" i="71"/>
  <c r="G6" i="71"/>
  <c r="H6" i="71"/>
  <c r="I6" i="71"/>
  <c r="J6" i="71"/>
  <c r="K6" i="71"/>
  <c r="L6" i="71"/>
  <c r="M6" i="71"/>
  <c r="N6" i="71"/>
  <c r="O6" i="71"/>
  <c r="P6" i="71"/>
  <c r="Q6" i="71"/>
  <c r="R6" i="71"/>
  <c r="S6" i="71"/>
  <c r="T6" i="71"/>
  <c r="U6" i="71"/>
  <c r="V6" i="71"/>
  <c r="W6" i="71"/>
  <c r="X6" i="71"/>
  <c r="Y6" i="71"/>
  <c r="C7" i="71"/>
  <c r="D7" i="71"/>
  <c r="E7" i="71"/>
  <c r="F7" i="71"/>
  <c r="G7" i="71"/>
  <c r="H7" i="71"/>
  <c r="I7" i="71"/>
  <c r="J7" i="71"/>
  <c r="K7" i="71"/>
  <c r="L7" i="71"/>
  <c r="M7" i="71"/>
  <c r="N7" i="71"/>
  <c r="O7" i="71"/>
  <c r="P7" i="71"/>
  <c r="Q7" i="71"/>
  <c r="R7" i="71"/>
  <c r="S7" i="71"/>
  <c r="T7" i="71"/>
  <c r="U7" i="71"/>
  <c r="V7" i="71"/>
  <c r="W7" i="71"/>
  <c r="X7" i="71"/>
  <c r="Y7" i="71"/>
  <c r="B6" i="71"/>
  <c r="B7" i="71"/>
  <c r="B5" i="71"/>
  <c r="Y4" i="305" l="1"/>
  <c r="I4" i="305"/>
  <c r="Q3" i="305"/>
  <c r="Y2" i="305"/>
  <c r="I2" i="305"/>
  <c r="Q4" i="304"/>
  <c r="Y3" i="304"/>
  <c r="I3" i="304"/>
  <c r="Q2" i="304"/>
  <c r="Y4" i="303"/>
  <c r="I4" i="303"/>
  <c r="Q3" i="303"/>
  <c r="Y2" i="303"/>
  <c r="I2" i="303"/>
  <c r="X4" i="305"/>
  <c r="H4" i="305"/>
  <c r="P3" i="305"/>
  <c r="X2" i="305"/>
  <c r="H2" i="305"/>
  <c r="P4" i="304"/>
  <c r="X3" i="304"/>
  <c r="H3" i="304"/>
  <c r="P2" i="304"/>
  <c r="X4" i="303"/>
  <c r="H4" i="303"/>
  <c r="P3" i="303"/>
  <c r="X2" i="303"/>
  <c r="H2" i="303"/>
  <c r="W4" i="305"/>
  <c r="G4" i="305"/>
  <c r="O3" i="305"/>
  <c r="W2" i="305"/>
  <c r="G2" i="305"/>
  <c r="O4" i="304"/>
  <c r="W3" i="304"/>
  <c r="G3" i="304"/>
  <c r="O2" i="304"/>
  <c r="W4" i="303"/>
  <c r="G4" i="303"/>
  <c r="O3" i="303"/>
  <c r="W2" i="303"/>
  <c r="G2" i="303"/>
  <c r="V4" i="305"/>
  <c r="F4" i="305"/>
  <c r="N3" i="305"/>
  <c r="V2" i="305"/>
  <c r="F2" i="305"/>
  <c r="N4" i="304"/>
  <c r="V3" i="304"/>
  <c r="F3" i="304"/>
  <c r="N2" i="304"/>
  <c r="V4" i="303"/>
  <c r="F4" i="303"/>
  <c r="N3" i="303"/>
  <c r="V2" i="303"/>
  <c r="F2" i="303"/>
  <c r="U4" i="305"/>
  <c r="E4" i="305"/>
  <c r="M3" i="305"/>
  <c r="U2" i="305"/>
  <c r="E2" i="305"/>
  <c r="M4" i="304"/>
  <c r="U3" i="304"/>
  <c r="E3" i="304"/>
  <c r="M2" i="304"/>
  <c r="U4" i="303"/>
  <c r="E4" i="303"/>
  <c r="M3" i="303"/>
  <c r="U2" i="303"/>
  <c r="E2" i="303"/>
  <c r="T4" i="305"/>
  <c r="D4" i="305"/>
  <c r="L3" i="305"/>
  <c r="T2" i="305"/>
  <c r="D2" i="305"/>
  <c r="L4" i="304"/>
  <c r="T3" i="304"/>
  <c r="D3" i="304"/>
  <c r="L2" i="304"/>
  <c r="T4" i="303"/>
  <c r="D4" i="303"/>
  <c r="L3" i="303"/>
  <c r="T2" i="303"/>
  <c r="D2" i="303"/>
  <c r="S4" i="305"/>
  <c r="C4" i="305"/>
  <c r="K3" i="305"/>
  <c r="S2" i="305"/>
  <c r="C2" i="305"/>
  <c r="K4" i="304"/>
  <c r="S3" i="304"/>
  <c r="C3" i="304"/>
  <c r="K2" i="304"/>
  <c r="S4" i="303"/>
  <c r="C4" i="303"/>
  <c r="K3" i="303"/>
  <c r="S2" i="303"/>
  <c r="C2" i="303"/>
  <c r="R4" i="305"/>
  <c r="B4" i="305"/>
  <c r="J3" i="305"/>
  <c r="R2" i="305"/>
  <c r="B2" i="305"/>
  <c r="J4" i="304"/>
  <c r="R3" i="304"/>
  <c r="B3" i="304"/>
  <c r="J2" i="304"/>
  <c r="R4" i="303"/>
  <c r="B4" i="303"/>
  <c r="J3" i="303"/>
  <c r="R2" i="303"/>
  <c r="B2" i="303"/>
  <c r="Q4" i="305"/>
  <c r="Y3" i="305"/>
  <c r="I3" i="305"/>
  <c r="Q2" i="305"/>
  <c r="Y4" i="304"/>
  <c r="I4" i="304"/>
  <c r="Q3" i="304"/>
  <c r="Y2" i="304"/>
  <c r="I2" i="304"/>
  <c r="Q4" i="303"/>
  <c r="Y3" i="303"/>
  <c r="I3" i="303"/>
  <c r="Q2" i="303"/>
  <c r="X4" i="304"/>
  <c r="P3" i="304"/>
  <c r="X2" i="304"/>
  <c r="H2" i="304"/>
  <c r="P4" i="303"/>
  <c r="P4" i="305"/>
  <c r="X3" i="305"/>
  <c r="H3" i="305"/>
  <c r="P2" i="305"/>
  <c r="H4" i="304"/>
  <c r="X3" i="303"/>
  <c r="H3" i="303"/>
  <c r="P2" i="303"/>
  <c r="O4" i="305"/>
  <c r="W3" i="305"/>
  <c r="G3" i="305"/>
  <c r="O2" i="305"/>
  <c r="W4" i="304"/>
  <c r="G4" i="304"/>
  <c r="O3" i="304"/>
  <c r="W2" i="304"/>
  <c r="G2" i="304"/>
  <c r="O4" i="303"/>
  <c r="W3" i="303"/>
  <c r="G3" i="303"/>
  <c r="O2" i="303"/>
  <c r="N4" i="305"/>
  <c r="V3" i="305"/>
  <c r="F3" i="305"/>
  <c r="N2" i="305"/>
  <c r="V4" i="304"/>
  <c r="F4" i="304"/>
  <c r="N3" i="304"/>
  <c r="V2" i="304"/>
  <c r="F2" i="304"/>
  <c r="N4" i="303"/>
  <c r="V3" i="303"/>
  <c r="F3" i="303"/>
  <c r="N2" i="303"/>
  <c r="U3" i="305"/>
  <c r="E3" i="305"/>
  <c r="M2" i="305"/>
  <c r="U4" i="304"/>
  <c r="M4" i="305"/>
  <c r="E4" i="304"/>
  <c r="M3" i="304"/>
  <c r="U2" i="304"/>
  <c r="E2" i="304"/>
  <c r="M4" i="303"/>
  <c r="U3" i="303"/>
  <c r="E3" i="303"/>
  <c r="M2" i="303"/>
  <c r="L4" i="305"/>
  <c r="T3" i="305"/>
  <c r="D3" i="305"/>
  <c r="L2" i="305"/>
  <c r="T4" i="304"/>
  <c r="D4" i="304"/>
  <c r="L3" i="304"/>
  <c r="T2" i="304"/>
  <c r="D2" i="304"/>
  <c r="L4" i="303"/>
  <c r="T3" i="303"/>
  <c r="D3" i="303"/>
  <c r="L2" i="303"/>
  <c r="K4" i="305"/>
  <c r="S3" i="305"/>
  <c r="C3" i="305"/>
  <c r="K2" i="305"/>
  <c r="S4" i="304"/>
  <c r="C4" i="304"/>
  <c r="K3" i="304"/>
  <c r="S2" i="304"/>
  <c r="C2" i="304"/>
  <c r="K4" i="303"/>
  <c r="S3" i="303"/>
  <c r="C3" i="303"/>
  <c r="K2" i="303"/>
  <c r="J4" i="305"/>
  <c r="R3" i="305"/>
  <c r="B3" i="305"/>
  <c r="J2" i="305"/>
  <c r="R4" i="304"/>
  <c r="B4" i="304"/>
  <c r="J3" i="304"/>
  <c r="R2" i="304"/>
  <c r="B2" i="304"/>
  <c r="J4" i="303"/>
  <c r="R3" i="303"/>
  <c r="B3" i="303"/>
  <c r="J2" i="303"/>
  <c r="B3" i="58"/>
  <c r="B4" i="58"/>
  <c r="B2" i="58"/>
  <c r="X4" i="227" l="1"/>
  <c r="H4" i="227"/>
  <c r="P3" i="227"/>
  <c r="X2" i="227"/>
  <c r="H2" i="227"/>
  <c r="P4" i="226"/>
  <c r="X3" i="226"/>
  <c r="H3" i="226"/>
  <c r="P2" i="226"/>
  <c r="X4" i="225"/>
  <c r="H4" i="225"/>
  <c r="P3" i="225"/>
  <c r="X2" i="225"/>
  <c r="H2" i="225"/>
  <c r="X4" i="199"/>
  <c r="H4" i="199"/>
  <c r="P3" i="199"/>
  <c r="X2" i="199"/>
  <c r="H2" i="199"/>
  <c r="P4" i="198"/>
  <c r="X3" i="198"/>
  <c r="H3" i="198"/>
  <c r="P2" i="198"/>
  <c r="C3" i="8"/>
  <c r="S3" i="8"/>
  <c r="K4" i="8"/>
  <c r="D2" i="8"/>
  <c r="T2" i="8"/>
  <c r="W4" i="227"/>
  <c r="G4" i="227"/>
  <c r="O3" i="227"/>
  <c r="W2" i="227"/>
  <c r="G2" i="227"/>
  <c r="O4" i="226"/>
  <c r="W3" i="226"/>
  <c r="G3" i="226"/>
  <c r="O2" i="226"/>
  <c r="W4" i="225"/>
  <c r="G4" i="225"/>
  <c r="O3" i="225"/>
  <c r="W2" i="225"/>
  <c r="G2" i="225"/>
  <c r="W4" i="199"/>
  <c r="G4" i="199"/>
  <c r="O3" i="199"/>
  <c r="W2" i="199"/>
  <c r="G2" i="199"/>
  <c r="O4" i="198"/>
  <c r="W3" i="198"/>
  <c r="G3" i="198"/>
  <c r="O2" i="198"/>
  <c r="D3" i="8"/>
  <c r="T3" i="8"/>
  <c r="L4" i="8"/>
  <c r="E2" i="8"/>
  <c r="U2" i="8"/>
  <c r="T4" i="227"/>
  <c r="D4" i="227"/>
  <c r="L3" i="227"/>
  <c r="T2" i="227"/>
  <c r="D2" i="227"/>
  <c r="L4" i="226"/>
  <c r="T3" i="226"/>
  <c r="D3" i="226"/>
  <c r="L2" i="226"/>
  <c r="T4" i="225"/>
  <c r="D4" i="225"/>
  <c r="L3" i="225"/>
  <c r="T2" i="225"/>
  <c r="D2" i="225"/>
  <c r="T4" i="199"/>
  <c r="D4" i="199"/>
  <c r="L3" i="199"/>
  <c r="T2" i="199"/>
  <c r="D2" i="199"/>
  <c r="L4" i="198"/>
  <c r="T3" i="198"/>
  <c r="D3" i="198"/>
  <c r="L2" i="198"/>
  <c r="G3" i="8"/>
  <c r="W3" i="8"/>
  <c r="O4" i="8"/>
  <c r="H2" i="8"/>
  <c r="X2" i="8"/>
  <c r="S4" i="227"/>
  <c r="C4" i="227"/>
  <c r="K3" i="227"/>
  <c r="S2" i="227"/>
  <c r="C2" i="227"/>
  <c r="K4" i="226"/>
  <c r="S3" i="226"/>
  <c r="C3" i="226"/>
  <c r="R4" i="227"/>
  <c r="B4" i="227"/>
  <c r="J3" i="227"/>
  <c r="R2" i="227"/>
  <c r="B2" i="227"/>
  <c r="J4" i="226"/>
  <c r="R3" i="226"/>
  <c r="B3" i="226"/>
  <c r="J2" i="226"/>
  <c r="R4" i="225"/>
  <c r="B4" i="225"/>
  <c r="J3" i="225"/>
  <c r="R2" i="225"/>
  <c r="B2" i="225"/>
  <c r="R4" i="199"/>
  <c r="B4" i="199"/>
  <c r="J3" i="199"/>
  <c r="R2" i="199"/>
  <c r="B2" i="199"/>
  <c r="J4" i="198"/>
  <c r="R3" i="198"/>
  <c r="B3" i="198"/>
  <c r="J2" i="198"/>
  <c r="I3" i="8"/>
  <c r="Y3" i="8"/>
  <c r="Q4" i="8"/>
  <c r="J2" i="8"/>
  <c r="B2" i="8"/>
  <c r="O4" i="227"/>
  <c r="W3" i="227"/>
  <c r="G3" i="227"/>
  <c r="O2" i="227"/>
  <c r="W4" i="226"/>
  <c r="G4" i="226"/>
  <c r="O3" i="226"/>
  <c r="W2" i="226"/>
  <c r="G2" i="226"/>
  <c r="O4" i="225"/>
  <c r="W3" i="225"/>
  <c r="G3" i="225"/>
  <c r="O2" i="225"/>
  <c r="O4" i="199"/>
  <c r="W3" i="199"/>
  <c r="G3" i="199"/>
  <c r="O2" i="199"/>
  <c r="W4" i="198"/>
  <c r="G4" i="198"/>
  <c r="O3" i="198"/>
  <c r="W2" i="198"/>
  <c r="G2" i="198"/>
  <c r="M4" i="227"/>
  <c r="M3" i="227"/>
  <c r="K2" i="227"/>
  <c r="H4" i="226"/>
  <c r="I3" i="226"/>
  <c r="F2" i="226"/>
  <c r="I4" i="225"/>
  <c r="H3" i="225"/>
  <c r="J2" i="225"/>
  <c r="P4" i="199"/>
  <c r="R3" i="199"/>
  <c r="Q2" i="199"/>
  <c r="S4" i="198"/>
  <c r="S3" i="198"/>
  <c r="T2" i="198"/>
  <c r="P3" i="8"/>
  <c r="N4" i="8"/>
  <c r="M2" i="8"/>
  <c r="Q3" i="199"/>
  <c r="Q3" i="8"/>
  <c r="P4" i="8"/>
  <c r="N2" i="8"/>
  <c r="N2" i="198"/>
  <c r="T4" i="8"/>
  <c r="Q2" i="8"/>
  <c r="L4" i="227"/>
  <c r="I3" i="227"/>
  <c r="J2" i="227"/>
  <c r="F4" i="226"/>
  <c r="F3" i="226"/>
  <c r="E2" i="226"/>
  <c r="F4" i="225"/>
  <c r="F3" i="225"/>
  <c r="I2" i="225"/>
  <c r="N4" i="199"/>
  <c r="P2" i="199"/>
  <c r="R4" i="198"/>
  <c r="Q3" i="198"/>
  <c r="S2" i="198"/>
  <c r="K4" i="227"/>
  <c r="H3" i="227"/>
  <c r="I2" i="227"/>
  <c r="E4" i="226"/>
  <c r="E3" i="226"/>
  <c r="D2" i="226"/>
  <c r="E4" i="225"/>
  <c r="E3" i="225"/>
  <c r="F2" i="225"/>
  <c r="M4" i="199"/>
  <c r="N3" i="199"/>
  <c r="N2" i="199"/>
  <c r="Q4" i="198"/>
  <c r="P3" i="198"/>
  <c r="R2" i="198"/>
  <c r="R3" i="8"/>
  <c r="R4" i="8"/>
  <c r="O2" i="8"/>
  <c r="M3" i="199"/>
  <c r="M2" i="199"/>
  <c r="N4" i="198"/>
  <c r="S4" i="8"/>
  <c r="I4" i="227"/>
  <c r="E2" i="227"/>
  <c r="C4" i="226"/>
  <c r="X2" i="226"/>
  <c r="B2" i="226"/>
  <c r="Y3" i="225"/>
  <c r="C3" i="225"/>
  <c r="C2" i="225"/>
  <c r="K4" i="199"/>
  <c r="L2" i="199"/>
  <c r="M3" i="198"/>
  <c r="V3" i="8"/>
  <c r="J4" i="227"/>
  <c r="F3" i="227"/>
  <c r="F2" i="227"/>
  <c r="D4" i="226"/>
  <c r="Y2" i="226"/>
  <c r="C2" i="226"/>
  <c r="C4" i="225"/>
  <c r="D3" i="225"/>
  <c r="E2" i="225"/>
  <c r="L4" i="199"/>
  <c r="N3" i="198"/>
  <c r="Q2" i="198"/>
  <c r="U3" i="8"/>
  <c r="P2" i="8"/>
  <c r="E3" i="227"/>
  <c r="K3" i="199"/>
  <c r="M4" i="198"/>
  <c r="F4" i="227"/>
  <c r="D3" i="227"/>
  <c r="Y4" i="226"/>
  <c r="B4" i="226"/>
  <c r="V2" i="226"/>
  <c r="Y4" i="225"/>
  <c r="X3" i="225"/>
  <c r="B3" i="225"/>
  <c r="J4" i="199"/>
  <c r="I3" i="199"/>
  <c r="K2" i="199"/>
  <c r="K4" i="198"/>
  <c r="L3" i="198"/>
  <c r="M2" i="198"/>
  <c r="X3" i="8"/>
  <c r="U4" i="8"/>
  <c r="R2" i="8"/>
  <c r="B4" i="8"/>
  <c r="I3" i="198"/>
  <c r="S2" i="225"/>
  <c r="E4" i="227"/>
  <c r="C3" i="227"/>
  <c r="X4" i="226"/>
  <c r="Y3" i="226"/>
  <c r="U2" i="226"/>
  <c r="V4" i="225"/>
  <c r="V3" i="225"/>
  <c r="Y2" i="225"/>
  <c r="I4" i="199"/>
  <c r="H3" i="199"/>
  <c r="J2" i="199"/>
  <c r="I4" i="198"/>
  <c r="K3" i="198"/>
  <c r="K2" i="198"/>
  <c r="B3" i="8"/>
  <c r="V4" i="8"/>
  <c r="S2" i="8"/>
  <c r="F3" i="8"/>
  <c r="X4" i="8"/>
  <c r="W2" i="8"/>
  <c r="Y3" i="227"/>
  <c r="B3" i="227"/>
  <c r="V4" i="226"/>
  <c r="V3" i="226"/>
  <c r="T2" i="226"/>
  <c r="U4" i="225"/>
  <c r="U3" i="225"/>
  <c r="V2" i="225"/>
  <c r="F4" i="199"/>
  <c r="F3" i="199"/>
  <c r="I2" i="199"/>
  <c r="H4" i="198"/>
  <c r="J3" i="198"/>
  <c r="I2" i="198"/>
  <c r="E3" i="8"/>
  <c r="C4" i="8"/>
  <c r="W4" i="8"/>
  <c r="V2" i="8"/>
  <c r="E3" i="199"/>
  <c r="V3" i="227"/>
  <c r="V2" i="227"/>
  <c r="T4" i="226"/>
  <c r="S3" i="225"/>
  <c r="X3" i="227"/>
  <c r="Y2" i="227"/>
  <c r="U4" i="226"/>
  <c r="U3" i="226"/>
  <c r="S2" i="226"/>
  <c r="S4" i="225"/>
  <c r="T3" i="225"/>
  <c r="U2" i="225"/>
  <c r="E4" i="199"/>
  <c r="F2" i="199"/>
  <c r="F4" i="198"/>
  <c r="H2" i="198"/>
  <c r="D4" i="8"/>
  <c r="Q3" i="226"/>
  <c r="R2" i="226"/>
  <c r="Q4" i="225"/>
  <c r="Y4" i="227"/>
  <c r="U3" i="227"/>
  <c r="U2" i="227"/>
  <c r="S4" i="226"/>
  <c r="P3" i="226"/>
  <c r="Q2" i="226"/>
  <c r="P4" i="225"/>
  <c r="R3" i="225"/>
  <c r="Q2" i="225"/>
  <c r="Y3" i="199"/>
  <c r="C3" i="199"/>
  <c r="C2" i="199"/>
  <c r="D4" i="198"/>
  <c r="E3" i="198"/>
  <c r="E2" i="198"/>
  <c r="Q4" i="227"/>
  <c r="R3" i="227"/>
  <c r="N2" i="227"/>
  <c r="N4" i="226"/>
  <c r="L3" i="226"/>
  <c r="K2" i="226"/>
  <c r="L4" i="225"/>
  <c r="M3" i="225"/>
  <c r="M2" i="225"/>
  <c r="P4" i="227"/>
  <c r="Q3" i="227"/>
  <c r="M2" i="227"/>
  <c r="M4" i="226"/>
  <c r="K3" i="226"/>
  <c r="I2" i="226"/>
  <c r="N4" i="227"/>
  <c r="N3" i="227"/>
  <c r="L2" i="227"/>
  <c r="I4" i="226"/>
  <c r="J3" i="226"/>
  <c r="H2" i="226"/>
  <c r="J4" i="225"/>
  <c r="I3" i="225"/>
  <c r="K2" i="225"/>
  <c r="M3" i="226"/>
  <c r="V4" i="199"/>
  <c r="E2" i="199"/>
  <c r="V2" i="198"/>
  <c r="M3" i="8"/>
  <c r="L2" i="8"/>
  <c r="X4" i="198"/>
  <c r="O3" i="8"/>
  <c r="Q4" i="199"/>
  <c r="E4" i="8"/>
  <c r="F4" i="8"/>
  <c r="B3" i="199"/>
  <c r="N2" i="226"/>
  <c r="U4" i="199"/>
  <c r="Y4" i="198"/>
  <c r="U2" i="198"/>
  <c r="N3" i="8"/>
  <c r="Y2" i="8"/>
  <c r="S4" i="199"/>
  <c r="V4" i="198"/>
  <c r="Y4" i="8"/>
  <c r="R4" i="226"/>
  <c r="V2" i="199"/>
  <c r="J3" i="8"/>
  <c r="L3" i="8"/>
  <c r="M2" i="226"/>
  <c r="F2" i="198"/>
  <c r="D2" i="198"/>
  <c r="G4" i="8"/>
  <c r="L2" i="225"/>
  <c r="C3" i="198"/>
  <c r="Y4" i="199"/>
  <c r="N4" i="225"/>
  <c r="M4" i="225"/>
  <c r="C4" i="199"/>
  <c r="U4" i="198"/>
  <c r="C2" i="198"/>
  <c r="K4" i="225"/>
  <c r="X3" i="199"/>
  <c r="T4" i="198"/>
  <c r="B2" i="198"/>
  <c r="X2" i="198"/>
  <c r="Q3" i="225"/>
  <c r="V3" i="199"/>
  <c r="E4" i="198"/>
  <c r="H4" i="8"/>
  <c r="Q2" i="227"/>
  <c r="U3" i="198"/>
  <c r="K2" i="8"/>
  <c r="V4" i="227"/>
  <c r="N3" i="225"/>
  <c r="U3" i="199"/>
  <c r="C4" i="198"/>
  <c r="I4" i="8"/>
  <c r="T3" i="227"/>
  <c r="P2" i="225"/>
  <c r="S3" i="199"/>
  <c r="Y3" i="198"/>
  <c r="M4" i="8"/>
  <c r="S3" i="227"/>
  <c r="N2" i="225"/>
  <c r="D3" i="199"/>
  <c r="H3" i="8"/>
  <c r="G2" i="8"/>
  <c r="U4" i="227"/>
  <c r="K3" i="225"/>
  <c r="T3" i="199"/>
  <c r="B4" i="198"/>
  <c r="J4" i="8"/>
  <c r="V3" i="198"/>
  <c r="C2" i="8"/>
  <c r="S2" i="199"/>
  <c r="P2" i="227"/>
  <c r="Y2" i="199"/>
  <c r="F3" i="198"/>
  <c r="F2" i="8"/>
  <c r="Q4" i="226"/>
  <c r="U2" i="199"/>
  <c r="Y2" i="198"/>
  <c r="K3" i="8"/>
  <c r="I2" i="8"/>
  <c r="N3" i="226"/>
  <c r="D2" i="59"/>
  <c r="T2" i="59"/>
  <c r="M3" i="59"/>
  <c r="F4" i="59"/>
  <c r="V4" i="59"/>
  <c r="E2" i="59"/>
  <c r="U2" i="59"/>
  <c r="N3" i="59"/>
  <c r="G4" i="59"/>
  <c r="W4" i="59"/>
  <c r="H2" i="59"/>
  <c r="X2" i="59"/>
  <c r="Q3" i="59"/>
  <c r="J4" i="59"/>
  <c r="B3" i="59"/>
  <c r="J2" i="59"/>
  <c r="C3" i="59"/>
  <c r="S3" i="59"/>
  <c r="L4" i="59"/>
  <c r="B2" i="59"/>
  <c r="W2" i="59"/>
  <c r="V3" i="59"/>
  <c r="S4" i="59"/>
  <c r="Y2" i="59"/>
  <c r="W3" i="59"/>
  <c r="T4" i="59"/>
  <c r="G2" i="59"/>
  <c r="C2" i="59"/>
  <c r="D3" i="59"/>
  <c r="X3" i="59"/>
  <c r="U4" i="59"/>
  <c r="F2" i="59"/>
  <c r="Y3" i="59"/>
  <c r="X4" i="59"/>
  <c r="E3" i="59"/>
  <c r="I2" i="59"/>
  <c r="G3" i="59"/>
  <c r="D4" i="59"/>
  <c r="B4" i="59"/>
  <c r="H3" i="59"/>
  <c r="E4" i="59"/>
  <c r="K2" i="59"/>
  <c r="M2" i="59"/>
  <c r="L2" i="59"/>
  <c r="I3" i="59"/>
  <c r="H4" i="59"/>
  <c r="J3" i="59"/>
  <c r="I4" i="59"/>
  <c r="Q2" i="59"/>
  <c r="O4" i="59"/>
  <c r="S2" i="59"/>
  <c r="V2" i="59"/>
  <c r="T3" i="59"/>
  <c r="U3" i="59"/>
  <c r="R2" i="59"/>
  <c r="P4" i="59"/>
  <c r="R4" i="59"/>
  <c r="K4" i="59"/>
  <c r="P2" i="59"/>
  <c r="Q4" i="59"/>
  <c r="F3" i="59"/>
  <c r="Y4" i="59"/>
  <c r="K3" i="59"/>
  <c r="L3" i="59"/>
  <c r="R3" i="59"/>
  <c r="N2" i="59"/>
  <c r="O3" i="59"/>
  <c r="C4" i="59"/>
  <c r="N4" i="59"/>
  <c r="P3" i="59"/>
  <c r="O2" i="59"/>
  <c r="M4" i="59"/>
  <c r="B8" i="1"/>
  <c r="I3" i="312" l="1"/>
  <c r="I3" i="273"/>
  <c r="I4" i="273"/>
  <c r="I2" i="273"/>
  <c r="I4" i="312"/>
  <c r="I2" i="312"/>
  <c r="U4" i="273"/>
  <c r="U2" i="273"/>
  <c r="U3" i="312"/>
  <c r="U3" i="273"/>
  <c r="U4" i="312"/>
  <c r="U2" i="312"/>
  <c r="J3" i="313"/>
  <c r="J3" i="274"/>
  <c r="J4" i="313"/>
  <c r="J2" i="313"/>
  <c r="J4" i="274"/>
  <c r="J2" i="274"/>
  <c r="J4" i="294"/>
  <c r="J3" i="296"/>
  <c r="J3" i="294"/>
  <c r="J2" i="294"/>
  <c r="J2" i="296"/>
  <c r="J3" i="295"/>
  <c r="J4" i="295"/>
  <c r="J4" i="296"/>
  <c r="J2" i="295"/>
  <c r="Y3" i="312"/>
  <c r="Y3" i="273"/>
  <c r="Y2" i="273"/>
  <c r="Y4" i="312"/>
  <c r="Y2" i="312"/>
  <c r="Y4" i="273"/>
  <c r="H3" i="273"/>
  <c r="H3" i="312"/>
  <c r="H4" i="312"/>
  <c r="H2" i="312"/>
  <c r="H4" i="273"/>
  <c r="H2" i="273"/>
  <c r="J3" i="273"/>
  <c r="J4" i="312"/>
  <c r="J2" i="312"/>
  <c r="J4" i="273"/>
  <c r="J2" i="273"/>
  <c r="J3" i="312"/>
  <c r="M3" i="313"/>
  <c r="M3" i="274"/>
  <c r="M2" i="274"/>
  <c r="M4" i="313"/>
  <c r="M2" i="313"/>
  <c r="M4" i="274"/>
  <c r="M2" i="294"/>
  <c r="M2" i="296"/>
  <c r="M4" i="295"/>
  <c r="M4" i="294"/>
  <c r="M3" i="295"/>
  <c r="M3" i="296"/>
  <c r="M2" i="295"/>
  <c r="M3" i="294"/>
  <c r="M4" i="296"/>
  <c r="K4" i="273"/>
  <c r="K2" i="273"/>
  <c r="K4" i="312"/>
  <c r="K2" i="312"/>
  <c r="K3" i="273"/>
  <c r="K3" i="312"/>
  <c r="K3" i="274"/>
  <c r="K4" i="274"/>
  <c r="K3" i="313"/>
  <c r="K2" i="274"/>
  <c r="K4" i="313"/>
  <c r="K2" i="313"/>
  <c r="K3" i="295"/>
  <c r="K3" i="294"/>
  <c r="K4" i="295"/>
  <c r="K3" i="296"/>
  <c r="K4" i="294"/>
  <c r="K2" i="294"/>
  <c r="K4" i="296"/>
  <c r="K2" i="296"/>
  <c r="K2" i="295"/>
  <c r="T3" i="273"/>
  <c r="T3" i="312"/>
  <c r="T4" i="312"/>
  <c r="T2" i="312"/>
  <c r="T4" i="273"/>
  <c r="T2" i="273"/>
  <c r="W4" i="273"/>
  <c r="W2" i="273"/>
  <c r="W3" i="312"/>
  <c r="W3" i="273"/>
  <c r="W4" i="312"/>
  <c r="W2" i="312"/>
  <c r="R2" i="273"/>
  <c r="R3" i="312"/>
  <c r="R3" i="273"/>
  <c r="R4" i="312"/>
  <c r="R2" i="312"/>
  <c r="R4" i="273"/>
  <c r="E4" i="273"/>
  <c r="E3" i="312"/>
  <c r="E3" i="273"/>
  <c r="E2" i="273"/>
  <c r="E4" i="312"/>
  <c r="E2" i="312"/>
  <c r="G2" i="273"/>
  <c r="G3" i="312"/>
  <c r="G3" i="273"/>
  <c r="G4" i="273"/>
  <c r="G4" i="312"/>
  <c r="G2" i="312"/>
  <c r="M4" i="312"/>
  <c r="M2" i="312"/>
  <c r="M4" i="273"/>
  <c r="M2" i="273"/>
  <c r="M3" i="273"/>
  <c r="M3" i="312"/>
  <c r="Y4" i="313"/>
  <c r="Y2" i="313"/>
  <c r="Y4" i="274"/>
  <c r="Y2" i="274"/>
  <c r="Y3" i="313"/>
  <c r="Y3" i="274"/>
  <c r="Y4" i="294"/>
  <c r="Y3" i="295"/>
  <c r="Y2" i="294"/>
  <c r="Y4" i="295"/>
  <c r="Y4" i="296"/>
  <c r="Y2" i="296"/>
  <c r="Y2" i="295"/>
  <c r="Y3" i="294"/>
  <c r="Y3" i="296"/>
  <c r="R4" i="313"/>
  <c r="R2" i="313"/>
  <c r="R4" i="274"/>
  <c r="R2" i="274"/>
  <c r="R3" i="313"/>
  <c r="R3" i="274"/>
  <c r="R3" i="296"/>
  <c r="R3" i="294"/>
  <c r="R4" i="296"/>
  <c r="R2" i="296"/>
  <c r="R3" i="295"/>
  <c r="R4" i="294"/>
  <c r="R4" i="295"/>
  <c r="R2" i="294"/>
  <c r="R2" i="295"/>
  <c r="F4" i="313"/>
  <c r="F2" i="313"/>
  <c r="F4" i="274"/>
  <c r="F2" i="274"/>
  <c r="F3" i="313"/>
  <c r="F3" i="274"/>
  <c r="F4" i="294"/>
  <c r="F3" i="294"/>
  <c r="F2" i="294"/>
  <c r="F3" i="296"/>
  <c r="F2" i="295"/>
  <c r="F2" i="296"/>
  <c r="F4" i="295"/>
  <c r="F4" i="296"/>
  <c r="F3" i="295"/>
  <c r="P3" i="274"/>
  <c r="P3" i="313"/>
  <c r="P2" i="274"/>
  <c r="P2" i="313"/>
  <c r="P4" i="274"/>
  <c r="P4" i="313"/>
  <c r="P3" i="295"/>
  <c r="P2" i="294"/>
  <c r="P3" i="294"/>
  <c r="P2" i="295"/>
  <c r="P4" i="294"/>
  <c r="P4" i="296"/>
  <c r="P4" i="295"/>
  <c r="P3" i="296"/>
  <c r="P2" i="296"/>
  <c r="B4" i="273"/>
  <c r="B2" i="273"/>
  <c r="B3" i="312"/>
  <c r="B3" i="273"/>
  <c r="B4" i="312"/>
  <c r="B2" i="312"/>
  <c r="W4" i="313"/>
  <c r="W2" i="313"/>
  <c r="W4" i="274"/>
  <c r="W2" i="274"/>
  <c r="W3" i="274"/>
  <c r="W3" i="313"/>
  <c r="W3" i="294"/>
  <c r="W2" i="294"/>
  <c r="W2" i="296"/>
  <c r="W3" i="296"/>
  <c r="W4" i="296"/>
  <c r="W2" i="295"/>
  <c r="W4" i="295"/>
  <c r="W4" i="294"/>
  <c r="W3" i="295"/>
  <c r="P4" i="273"/>
  <c r="P2" i="273"/>
  <c r="P4" i="312"/>
  <c r="P2" i="312"/>
  <c r="P3" i="312"/>
  <c r="P3" i="273"/>
  <c r="S3" i="273"/>
  <c r="S4" i="273"/>
  <c r="S3" i="312"/>
  <c r="S2" i="273"/>
  <c r="S4" i="312"/>
  <c r="S2" i="312"/>
  <c r="D3" i="273"/>
  <c r="D3" i="312"/>
  <c r="D4" i="312"/>
  <c r="D2" i="312"/>
  <c r="D4" i="273"/>
  <c r="D2" i="273"/>
  <c r="E4" i="313"/>
  <c r="E2" i="313"/>
  <c r="E4" i="274"/>
  <c r="E2" i="274"/>
  <c r="E3" i="274"/>
  <c r="E3" i="313"/>
  <c r="E3" i="296"/>
  <c r="E4" i="296"/>
  <c r="E3" i="294"/>
  <c r="E3" i="295"/>
  <c r="E2" i="295"/>
  <c r="E4" i="295"/>
  <c r="E2" i="294"/>
  <c r="E4" i="294"/>
  <c r="E2" i="296"/>
  <c r="N4" i="312"/>
  <c r="N2" i="312"/>
  <c r="N4" i="273"/>
  <c r="N2" i="273"/>
  <c r="N3" i="312"/>
  <c r="N3" i="273"/>
  <c r="V3" i="312"/>
  <c r="V3" i="273"/>
  <c r="V4" i="312"/>
  <c r="V2" i="312"/>
  <c r="V4" i="273"/>
  <c r="V2" i="273"/>
  <c r="B4" i="313"/>
  <c r="B2" i="313"/>
  <c r="B4" i="274"/>
  <c r="B2" i="274"/>
  <c r="B3" i="313"/>
  <c r="B3" i="274"/>
  <c r="B3" i="294"/>
  <c r="B4" i="296"/>
  <c r="B2" i="296"/>
  <c r="B3" i="296"/>
  <c r="B3" i="295"/>
  <c r="B4" i="295"/>
  <c r="B2" i="295"/>
  <c r="B2" i="294"/>
  <c r="B4" i="294"/>
  <c r="X4" i="274"/>
  <c r="X2" i="274"/>
  <c r="X4" i="313"/>
  <c r="X2" i="313"/>
  <c r="X3" i="274"/>
  <c r="X3" i="313"/>
  <c r="X4" i="296"/>
  <c r="X4" i="294"/>
  <c r="X2" i="295"/>
  <c r="X2" i="294"/>
  <c r="X3" i="294"/>
  <c r="X3" i="295"/>
  <c r="X3" i="296"/>
  <c r="X4" i="295"/>
  <c r="X2" i="296"/>
  <c r="G4" i="313"/>
  <c r="G2" i="313"/>
  <c r="G4" i="274"/>
  <c r="G2" i="274"/>
  <c r="G3" i="274"/>
  <c r="G3" i="313"/>
  <c r="G3" i="294"/>
  <c r="G2" i="294"/>
  <c r="G2" i="296"/>
  <c r="G3" i="295"/>
  <c r="G3" i="296"/>
  <c r="G4" i="296"/>
  <c r="G4" i="295"/>
  <c r="G2" i="295"/>
  <c r="G4" i="294"/>
  <c r="O3" i="313"/>
  <c r="O3" i="274"/>
  <c r="O4" i="274"/>
  <c r="O2" i="274"/>
  <c r="O4" i="313"/>
  <c r="O2" i="313"/>
  <c r="O2" i="296"/>
  <c r="O2" i="294"/>
  <c r="O2" i="295"/>
  <c r="O4" i="296"/>
  <c r="O3" i="296"/>
  <c r="O4" i="295"/>
  <c r="O3" i="295"/>
  <c r="O4" i="294"/>
  <c r="O3" i="294"/>
  <c r="C4" i="273"/>
  <c r="C3" i="273"/>
  <c r="C2" i="273"/>
  <c r="C3" i="312"/>
  <c r="C4" i="312"/>
  <c r="C2" i="312"/>
  <c r="V4" i="313"/>
  <c r="V2" i="313"/>
  <c r="V4" i="274"/>
  <c r="V2" i="274"/>
  <c r="V3" i="313"/>
  <c r="V3" i="274"/>
  <c r="V4" i="295"/>
  <c r="V2" i="294"/>
  <c r="V2" i="295"/>
  <c r="V3" i="296"/>
  <c r="V4" i="296"/>
  <c r="V2" i="296"/>
  <c r="V3" i="294"/>
  <c r="V3" i="295"/>
  <c r="V4" i="294"/>
  <c r="I4" i="313"/>
  <c r="I2" i="313"/>
  <c r="I4" i="274"/>
  <c r="I2" i="274"/>
  <c r="I3" i="313"/>
  <c r="I3" i="274"/>
  <c r="I3" i="296"/>
  <c r="I2" i="294"/>
  <c r="I4" i="296"/>
  <c r="I4" i="294"/>
  <c r="I2" i="295"/>
  <c r="I4" i="295"/>
  <c r="I3" i="294"/>
  <c r="I3" i="295"/>
  <c r="I2" i="296"/>
  <c r="F3" i="312"/>
  <c r="F3" i="273"/>
  <c r="F4" i="312"/>
  <c r="F2" i="312"/>
  <c r="F4" i="273"/>
  <c r="F2" i="273"/>
  <c r="S2" i="274"/>
  <c r="S4" i="274"/>
  <c r="S4" i="313"/>
  <c r="S2" i="313"/>
  <c r="S3" i="274"/>
  <c r="S3" i="313"/>
  <c r="S4" i="295"/>
  <c r="S4" i="294"/>
  <c r="S2" i="294"/>
  <c r="S3" i="294"/>
  <c r="S3" i="296"/>
  <c r="S2" i="295"/>
  <c r="S4" i="296"/>
  <c r="S2" i="296"/>
  <c r="S3" i="295"/>
  <c r="L4" i="273"/>
  <c r="L2" i="273"/>
  <c r="L4" i="312"/>
  <c r="L2" i="312"/>
  <c r="L3" i="312"/>
  <c r="L3" i="273"/>
  <c r="Q4" i="312"/>
  <c r="Q2" i="312"/>
  <c r="Q4" i="273"/>
  <c r="Q2" i="273"/>
  <c r="Q3" i="273"/>
  <c r="Q3" i="312"/>
  <c r="L3" i="274"/>
  <c r="L3" i="313"/>
  <c r="L4" i="313"/>
  <c r="L2" i="313"/>
  <c r="L4" i="274"/>
  <c r="L2" i="274"/>
  <c r="L4" i="296"/>
  <c r="L4" i="295"/>
  <c r="L3" i="295"/>
  <c r="L2" i="296"/>
  <c r="L3" i="294"/>
  <c r="L4" i="294"/>
  <c r="L2" i="295"/>
  <c r="L2" i="294"/>
  <c r="L3" i="296"/>
  <c r="C3" i="274"/>
  <c r="C2" i="274"/>
  <c r="C4" i="274"/>
  <c r="C4" i="313"/>
  <c r="C2" i="313"/>
  <c r="C3" i="313"/>
  <c r="C4" i="294"/>
  <c r="C4" i="296"/>
  <c r="C4" i="295"/>
  <c r="C2" i="294"/>
  <c r="C2" i="295"/>
  <c r="C3" i="294"/>
  <c r="C3" i="295"/>
  <c r="C2" i="296"/>
  <c r="C3" i="296"/>
  <c r="H2" i="274"/>
  <c r="H4" i="313"/>
  <c r="H2" i="313"/>
  <c r="H4" i="274"/>
  <c r="H3" i="313"/>
  <c r="H3" i="274"/>
  <c r="H2" i="295"/>
  <c r="H3" i="296"/>
  <c r="H2" i="294"/>
  <c r="H2" i="296"/>
  <c r="H3" i="294"/>
  <c r="H4" i="294"/>
  <c r="H4" i="296"/>
  <c r="H3" i="295"/>
  <c r="H4" i="295"/>
  <c r="U3" i="274"/>
  <c r="U4" i="313"/>
  <c r="U2" i="313"/>
  <c r="U4" i="274"/>
  <c r="U2" i="274"/>
  <c r="U3" i="313"/>
  <c r="U4" i="296"/>
  <c r="U3" i="295"/>
  <c r="U4" i="295"/>
  <c r="U3" i="294"/>
  <c r="U2" i="295"/>
  <c r="U2" i="296"/>
  <c r="U4" i="294"/>
  <c r="U3" i="296"/>
  <c r="U2" i="294"/>
  <c r="N3" i="313"/>
  <c r="N3" i="274"/>
  <c r="N4" i="313"/>
  <c r="N2" i="313"/>
  <c r="N4" i="274"/>
  <c r="N2" i="274"/>
  <c r="N3" i="296"/>
  <c r="N3" i="294"/>
  <c r="N4" i="296"/>
  <c r="N2" i="295"/>
  <c r="N2" i="296"/>
  <c r="N4" i="294"/>
  <c r="N3" i="295"/>
  <c r="N4" i="295"/>
  <c r="N2" i="294"/>
  <c r="O4" i="312"/>
  <c r="O2" i="312"/>
  <c r="O4" i="273"/>
  <c r="O2" i="273"/>
  <c r="O3" i="273"/>
  <c r="O3" i="312"/>
  <c r="X3" i="273"/>
  <c r="X3" i="312"/>
  <c r="X4" i="273"/>
  <c r="X4" i="312"/>
  <c r="X2" i="312"/>
  <c r="X2" i="273"/>
  <c r="T4" i="274"/>
  <c r="T2" i="274"/>
  <c r="T4" i="313"/>
  <c r="T2" i="313"/>
  <c r="T3" i="313"/>
  <c r="T3" i="274"/>
  <c r="T3" i="295"/>
  <c r="T3" i="296"/>
  <c r="T2" i="295"/>
  <c r="T3" i="294"/>
  <c r="T4" i="295"/>
  <c r="T4" i="294"/>
  <c r="T2" i="294"/>
  <c r="T2" i="296"/>
  <c r="T4" i="296"/>
  <c r="Q3" i="313"/>
  <c r="Q3" i="274"/>
  <c r="Q4" i="313"/>
  <c r="Q2" i="313"/>
  <c r="Q4" i="274"/>
  <c r="Q2" i="274"/>
  <c r="Q4" i="294"/>
  <c r="Q2" i="296"/>
  <c r="Q3" i="294"/>
  <c r="Q3" i="296"/>
  <c r="Q3" i="295"/>
  <c r="Q4" i="295"/>
  <c r="Q2" i="294"/>
  <c r="Q4" i="296"/>
  <c r="Q2" i="295"/>
  <c r="D4" i="274"/>
  <c r="D2" i="274"/>
  <c r="D4" i="313"/>
  <c r="D2" i="313"/>
  <c r="D3" i="313"/>
  <c r="D3" i="274"/>
  <c r="D2" i="296"/>
  <c r="D3" i="296"/>
  <c r="D3" i="295"/>
  <c r="D4" i="295"/>
  <c r="D2" i="295"/>
  <c r="D4" i="294"/>
  <c r="D4" i="296"/>
  <c r="D2" i="294"/>
  <c r="D3" i="294"/>
  <c r="H4" i="217"/>
  <c r="M2" i="29"/>
  <c r="P4" i="192"/>
  <c r="K2" i="218"/>
  <c r="V3" i="192"/>
  <c r="I3" i="218"/>
  <c r="B2" i="192"/>
  <c r="Y3" i="218"/>
  <c r="W3" i="217"/>
  <c r="S2" i="192"/>
  <c r="O2" i="192"/>
  <c r="R3" i="216"/>
  <c r="U3" i="218"/>
  <c r="C4" i="29"/>
  <c r="G4" i="217"/>
  <c r="E2" i="29"/>
  <c r="N2" i="216"/>
  <c r="T2" i="193"/>
  <c r="Q3" i="193"/>
  <c r="D4" i="193"/>
  <c r="T4" i="69"/>
  <c r="D2" i="29"/>
  <c r="B2" i="68"/>
  <c r="N4" i="68"/>
  <c r="S3" i="68"/>
  <c r="Q2" i="218"/>
  <c r="X4" i="69"/>
  <c r="D4" i="68"/>
  <c r="O2" i="68"/>
  <c r="Y2" i="217"/>
  <c r="S3" i="192"/>
  <c r="T4" i="216"/>
  <c r="D2" i="216"/>
  <c r="D2" i="68"/>
  <c r="S2" i="216"/>
  <c r="D3" i="68"/>
  <c r="K2" i="68"/>
  <c r="T4" i="68"/>
  <c r="W4" i="68"/>
  <c r="Q3" i="217"/>
  <c r="R2" i="68"/>
  <c r="E2" i="68"/>
  <c r="W2" i="69"/>
  <c r="R2" i="216"/>
  <c r="N2" i="193"/>
  <c r="N3" i="193"/>
  <c r="N4" i="193"/>
  <c r="N2" i="217"/>
  <c r="Y3" i="216"/>
  <c r="W2" i="68"/>
  <c r="W2" i="29"/>
  <c r="N3" i="217"/>
  <c r="S3" i="29"/>
  <c r="T3" i="218"/>
  <c r="Q2" i="68"/>
  <c r="I4" i="193"/>
  <c r="E3" i="69"/>
  <c r="Y3" i="69"/>
  <c r="Y2" i="193"/>
  <c r="Y4" i="69"/>
  <c r="N3" i="68"/>
  <c r="Q2" i="69"/>
  <c r="Q4" i="217"/>
  <c r="I2" i="69"/>
  <c r="T2" i="69"/>
  <c r="T2" i="68"/>
  <c r="L2" i="69"/>
  <c r="E2" i="69"/>
  <c r="M3" i="68"/>
  <c r="S4" i="192"/>
  <c r="R3" i="29"/>
  <c r="W3" i="29"/>
  <c r="U2" i="29"/>
  <c r="S2" i="218"/>
  <c r="I4" i="216"/>
  <c r="K3" i="68"/>
  <c r="M2" i="69"/>
  <c r="Q4" i="29"/>
  <c r="D4" i="216"/>
  <c r="Q4" i="192"/>
  <c r="L4" i="68"/>
  <c r="E2" i="216"/>
  <c r="O3" i="68"/>
  <c r="T2" i="29"/>
  <c r="O4" i="68"/>
  <c r="I2" i="193"/>
  <c r="P3" i="218"/>
  <c r="V2" i="218"/>
  <c r="E2" i="217"/>
  <c r="T4" i="192"/>
  <c r="I2" i="218"/>
  <c r="W3" i="68"/>
  <c r="M3" i="69"/>
  <c r="E4" i="192"/>
  <c r="E3" i="29"/>
  <c r="N4" i="29"/>
  <c r="D3" i="217"/>
  <c r="T3" i="193"/>
  <c r="E4" i="69"/>
  <c r="N2" i="68"/>
  <c r="P2" i="68"/>
  <c r="V3" i="29"/>
  <c r="T2" i="216"/>
  <c r="U4" i="216"/>
  <c r="Q4" i="216"/>
  <c r="N2" i="29"/>
  <c r="E3" i="216"/>
  <c r="R4" i="192"/>
  <c r="P2" i="193"/>
  <c r="H3" i="217"/>
  <c r="T3" i="216"/>
  <c r="S4" i="69"/>
  <c r="I3" i="69"/>
  <c r="R3" i="69"/>
  <c r="N4" i="217"/>
  <c r="S4" i="216"/>
  <c r="V4" i="29"/>
  <c r="U2" i="192"/>
  <c r="M4" i="193"/>
  <c r="I4" i="217"/>
  <c r="D4" i="217"/>
  <c r="S2" i="69"/>
  <c r="R4" i="69"/>
  <c r="U3" i="216"/>
  <c r="B3" i="29"/>
  <c r="B2" i="216"/>
  <c r="Q3" i="192"/>
  <c r="E4" i="218"/>
  <c r="I2" i="216"/>
  <c r="E2" i="192"/>
  <c r="D3" i="218"/>
  <c r="T4" i="29"/>
  <c r="R2" i="69"/>
  <c r="O4" i="29"/>
  <c r="S3" i="193"/>
  <c r="U2" i="216"/>
  <c r="Y4" i="193"/>
  <c r="V2" i="217"/>
  <c r="V3" i="217"/>
  <c r="T2" i="192"/>
  <c r="B4" i="216"/>
  <c r="I2" i="217"/>
  <c r="D3" i="192"/>
  <c r="V3" i="193"/>
  <c r="D2" i="69"/>
  <c r="Y2" i="69"/>
  <c r="P4" i="69"/>
  <c r="E4" i="68"/>
  <c r="U2" i="217"/>
  <c r="S3" i="217"/>
  <c r="V4" i="193"/>
  <c r="D3" i="29"/>
  <c r="Q2" i="217"/>
  <c r="T2" i="218"/>
  <c r="U2" i="218"/>
  <c r="N4" i="192"/>
  <c r="V4" i="217"/>
  <c r="E3" i="218"/>
  <c r="D2" i="193"/>
  <c r="O2" i="193"/>
  <c r="B4" i="68"/>
  <c r="E2" i="193"/>
  <c r="S4" i="193"/>
  <c r="T3" i="69"/>
  <c r="B3" i="69"/>
  <c r="Q3" i="218"/>
  <c r="Q2" i="216"/>
  <c r="R4" i="68"/>
  <c r="R4" i="216"/>
  <c r="T3" i="29"/>
  <c r="D2" i="218"/>
  <c r="B2" i="29"/>
  <c r="N3" i="216"/>
  <c r="V4" i="216"/>
  <c r="B3" i="68"/>
  <c r="V4" i="69"/>
  <c r="R3" i="217"/>
  <c r="I3" i="192"/>
  <c r="N3" i="218"/>
  <c r="S3" i="218"/>
  <c r="T4" i="218"/>
  <c r="V3" i="69"/>
  <c r="N2" i="69"/>
  <c r="V2" i="69"/>
  <c r="Q3" i="69"/>
  <c r="R3" i="68"/>
  <c r="N4" i="69"/>
  <c r="D3" i="69"/>
  <c r="E4" i="29"/>
  <c r="T3" i="217"/>
  <c r="V3" i="216"/>
  <c r="N2" i="218"/>
  <c r="D4" i="192"/>
  <c r="Q2" i="192"/>
  <c r="Y4" i="216"/>
  <c r="Y4" i="218"/>
  <c r="N4" i="216"/>
  <c r="B3" i="218"/>
  <c r="R2" i="192"/>
  <c r="S2" i="29"/>
  <c r="E3" i="193"/>
  <c r="T3" i="68"/>
  <c r="V2" i="68"/>
  <c r="R4" i="218"/>
  <c r="Q4" i="69"/>
  <c r="N3" i="69"/>
  <c r="Q4" i="68"/>
  <c r="X4" i="68"/>
  <c r="I2" i="192"/>
  <c r="S4" i="217"/>
  <c r="B4" i="29"/>
  <c r="Q4" i="218"/>
  <c r="S2" i="217"/>
  <c r="I4" i="192"/>
  <c r="B3" i="217"/>
  <c r="E4" i="216"/>
  <c r="D2" i="192"/>
  <c r="I3" i="217"/>
  <c r="Q3" i="29"/>
  <c r="M3" i="218"/>
  <c r="E4" i="217"/>
  <c r="C2" i="192"/>
  <c r="G2" i="29"/>
  <c r="K4" i="217"/>
  <c r="O3" i="218"/>
  <c r="R2" i="29"/>
  <c r="B4" i="193"/>
  <c r="R2" i="217"/>
  <c r="G4" i="29"/>
  <c r="O4" i="192"/>
  <c r="G3" i="216"/>
  <c r="X3" i="218"/>
  <c r="F2" i="235"/>
  <c r="F3" i="235"/>
  <c r="F4" i="235"/>
  <c r="J3" i="235"/>
  <c r="J2" i="235"/>
  <c r="J4" i="235"/>
  <c r="F3" i="29"/>
  <c r="L4" i="69"/>
  <c r="U4" i="234"/>
  <c r="U3" i="234"/>
  <c r="U2" i="234"/>
  <c r="L3" i="192"/>
  <c r="C3" i="216"/>
  <c r="F2" i="216"/>
  <c r="K2" i="216"/>
  <c r="J4" i="29"/>
  <c r="G4" i="218"/>
  <c r="Y4" i="29"/>
  <c r="R4" i="193"/>
  <c r="J3" i="217"/>
  <c r="O3" i="29"/>
  <c r="T4" i="217"/>
  <c r="G2" i="193"/>
  <c r="W3" i="216"/>
  <c r="P4" i="218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C3" i="193"/>
  <c r="X4" i="29"/>
  <c r="C4" i="216"/>
  <c r="F3" i="216"/>
  <c r="C3" i="218"/>
  <c r="J3" i="29"/>
  <c r="J3" i="218"/>
  <c r="W2" i="192"/>
  <c r="Y2" i="29"/>
  <c r="W4" i="218"/>
  <c r="I4" i="29"/>
  <c r="B4" i="217"/>
  <c r="L2" i="218"/>
  <c r="W2" i="193"/>
  <c r="O4" i="216"/>
  <c r="I2" i="234"/>
  <c r="I4" i="234"/>
  <c r="I3" i="234"/>
  <c r="X2" i="68"/>
  <c r="M4" i="69"/>
  <c r="X4" i="216"/>
  <c r="C4" i="218"/>
  <c r="J2" i="217"/>
  <c r="M2" i="216"/>
  <c r="H4" i="218"/>
  <c r="R4" i="217"/>
  <c r="O3" i="193"/>
  <c r="G2" i="217"/>
  <c r="P2" i="192"/>
  <c r="L3" i="235"/>
  <c r="L2" i="235"/>
  <c r="L4" i="235"/>
  <c r="L3" i="216"/>
  <c r="F4" i="29"/>
  <c r="J2" i="218"/>
  <c r="G4" i="193"/>
  <c r="W2" i="217"/>
  <c r="H3" i="192"/>
  <c r="K4" i="216"/>
  <c r="F2" i="29"/>
  <c r="H3" i="29"/>
  <c r="G2" i="216"/>
  <c r="L4" i="218"/>
  <c r="W4" i="193"/>
  <c r="O3" i="217"/>
  <c r="X3" i="192"/>
  <c r="P2" i="216"/>
  <c r="C4" i="217"/>
  <c r="K4" i="29"/>
  <c r="F2" i="218"/>
  <c r="K2" i="217"/>
  <c r="H4" i="29"/>
  <c r="W2" i="216"/>
  <c r="R3" i="218"/>
  <c r="D4" i="29"/>
  <c r="H3" i="216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X2" i="29"/>
  <c r="P3" i="216"/>
  <c r="Y2" i="216"/>
  <c r="Y4" i="217"/>
  <c r="C2" i="218"/>
  <c r="F3" i="218"/>
  <c r="H2" i="29"/>
  <c r="Y2" i="192"/>
  <c r="I3" i="29"/>
  <c r="O3" i="216"/>
  <c r="J4" i="218"/>
  <c r="L2" i="192"/>
  <c r="L3" i="29"/>
  <c r="W4" i="217"/>
  <c r="H2" i="193"/>
  <c r="X3" i="216"/>
  <c r="J2" i="29"/>
  <c r="J4" i="217"/>
  <c r="O2" i="218"/>
  <c r="X2" i="193"/>
  <c r="P4" i="216"/>
  <c r="C2" i="216"/>
  <c r="M2" i="193"/>
  <c r="U3" i="235"/>
  <c r="U2" i="235"/>
  <c r="U4" i="235"/>
  <c r="J2" i="193"/>
  <c r="Y3" i="193"/>
  <c r="B3" i="193"/>
  <c r="M3" i="192"/>
  <c r="U3" i="217"/>
  <c r="V3" i="218"/>
  <c r="C2" i="217"/>
  <c r="O2" i="29"/>
  <c r="M3" i="193"/>
  <c r="B4" i="218"/>
  <c r="M4" i="29"/>
  <c r="J3" i="216"/>
  <c r="U4" i="192"/>
  <c r="H2" i="218"/>
  <c r="G2" i="192"/>
  <c r="M2" i="217"/>
  <c r="G3" i="193"/>
  <c r="W4" i="216"/>
  <c r="J2" i="192"/>
  <c r="T3" i="192"/>
  <c r="L2" i="216"/>
  <c r="G3" i="218"/>
  <c r="P3" i="193"/>
  <c r="H2" i="217"/>
  <c r="X4" i="192"/>
  <c r="X3" i="217"/>
  <c r="U4" i="68"/>
  <c r="G3" i="234"/>
  <c r="G4" i="234"/>
  <c r="G2" i="234"/>
  <c r="G4" i="216"/>
  <c r="W4" i="69"/>
  <c r="U2" i="68"/>
  <c r="I4" i="68"/>
  <c r="H4" i="69"/>
  <c r="D3" i="234"/>
  <c r="D4" i="234"/>
  <c r="D2" i="234"/>
  <c r="E3" i="235"/>
  <c r="E2" i="235"/>
  <c r="E4" i="235"/>
  <c r="E4" i="193"/>
  <c r="G4" i="192"/>
  <c r="C3" i="29"/>
  <c r="F4" i="192"/>
  <c r="U4" i="217"/>
  <c r="U4" i="218"/>
  <c r="C3" i="217"/>
  <c r="L4" i="193"/>
  <c r="X4" i="218"/>
  <c r="P3" i="29"/>
  <c r="X2" i="192"/>
  <c r="H4" i="216"/>
  <c r="S2" i="193"/>
  <c r="E3" i="192"/>
  <c r="M3" i="217"/>
  <c r="W3" i="193"/>
  <c r="O2" i="217"/>
  <c r="B3" i="192"/>
  <c r="L4" i="192"/>
  <c r="D3" i="216"/>
  <c r="W3" i="218"/>
  <c r="L2" i="29"/>
  <c r="H4" i="193"/>
  <c r="X2" i="217"/>
  <c r="F3" i="217"/>
  <c r="P4" i="193"/>
  <c r="F4" i="218"/>
  <c r="F2" i="192"/>
  <c r="C4" i="192"/>
  <c r="L4" i="217"/>
  <c r="O4" i="193"/>
  <c r="G3" i="217"/>
  <c r="R3" i="192"/>
  <c r="J2" i="216"/>
  <c r="O4" i="218"/>
  <c r="S4" i="29"/>
  <c r="X4" i="193"/>
  <c r="P3" i="217"/>
  <c r="L2" i="68"/>
  <c r="G2" i="68"/>
  <c r="P2" i="69"/>
  <c r="M4" i="68"/>
  <c r="E2" i="234"/>
  <c r="E4" i="234"/>
  <c r="E3" i="234"/>
  <c r="H3" i="193"/>
  <c r="G3" i="68"/>
  <c r="C4" i="69"/>
  <c r="C3" i="69"/>
  <c r="Y3" i="68"/>
  <c r="W3" i="69"/>
  <c r="P3" i="192"/>
  <c r="Y3" i="217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M4" i="218"/>
  <c r="U3" i="29"/>
  <c r="G3" i="29"/>
  <c r="B2" i="218"/>
  <c r="I3" i="216"/>
  <c r="Q2" i="193"/>
  <c r="F4" i="217"/>
  <c r="Q4" i="193"/>
  <c r="M3" i="216"/>
  <c r="C3" i="192"/>
  <c r="W4" i="192"/>
  <c r="J4" i="192"/>
  <c r="B3" i="216"/>
  <c r="L4" i="216"/>
  <c r="C4" i="235"/>
  <c r="C2" i="235"/>
  <c r="C3" i="235"/>
  <c r="X3" i="69"/>
  <c r="H4" i="235"/>
  <c r="H2" i="235"/>
  <c r="H3" i="235"/>
  <c r="X2" i="216"/>
  <c r="X2" i="69"/>
  <c r="K4" i="234"/>
  <c r="K2" i="234"/>
  <c r="K3" i="234"/>
  <c r="K3" i="235"/>
  <c r="K2" i="235"/>
  <c r="K4" i="235"/>
  <c r="T3" i="234"/>
  <c r="T2" i="234"/>
  <c r="T4" i="234"/>
  <c r="H4" i="192"/>
  <c r="R3" i="234"/>
  <c r="R4" i="234"/>
  <c r="R2" i="234"/>
  <c r="G4" i="69"/>
  <c r="U3" i="68"/>
  <c r="M3" i="234"/>
  <c r="M2" i="234"/>
  <c r="M4" i="234"/>
  <c r="P4" i="234"/>
  <c r="P2" i="234"/>
  <c r="P3" i="234"/>
  <c r="F3" i="193"/>
  <c r="J4" i="69"/>
  <c r="F2" i="68"/>
  <c r="L3" i="218"/>
  <c r="F4" i="193"/>
  <c r="S4" i="218"/>
  <c r="K2" i="193"/>
  <c r="P4" i="29"/>
  <c r="L2" i="193"/>
  <c r="X2" i="218"/>
  <c r="F4" i="216"/>
  <c r="U3" i="192"/>
  <c r="R3" i="193"/>
  <c r="E2" i="218"/>
  <c r="M4" i="216"/>
  <c r="I2" i="29"/>
  <c r="B4" i="192"/>
  <c r="V2" i="193"/>
  <c r="K3" i="218"/>
  <c r="O4" i="217"/>
  <c r="B2" i="193"/>
  <c r="L3" i="193"/>
  <c r="D2" i="217"/>
  <c r="K3" i="29"/>
  <c r="X4" i="217"/>
  <c r="L3" i="68"/>
  <c r="P3" i="69"/>
  <c r="Y3" i="29"/>
  <c r="Y2" i="218"/>
  <c r="M3" i="2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H2" i="192"/>
  <c r="L4" i="234"/>
  <c r="L2" i="234"/>
  <c r="L3" i="234"/>
  <c r="K2" i="192"/>
  <c r="F3" i="192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M2" i="192"/>
  <c r="N2" i="192"/>
  <c r="S3" i="216"/>
  <c r="F2" i="193"/>
  <c r="R2" i="218"/>
  <c r="U4" i="29"/>
  <c r="V2" i="216"/>
  <c r="N3" i="192"/>
  <c r="K4" i="218"/>
  <c r="N4" i="218"/>
  <c r="I3" i="193"/>
  <c r="K3" i="193"/>
  <c r="O3" i="192"/>
  <c r="F2" i="217"/>
  <c r="D4" i="218"/>
  <c r="L2" i="217"/>
  <c r="L4" i="29"/>
  <c r="V4" i="192"/>
  <c r="U3" i="193"/>
  <c r="I4" i="218"/>
  <c r="G2" i="218"/>
  <c r="R2" i="193"/>
  <c r="J4" i="216"/>
  <c r="P2" i="29"/>
  <c r="T2" i="217"/>
  <c r="G3" i="192"/>
  <c r="P2" i="218"/>
  <c r="Q2" i="234"/>
  <c r="Q4" i="234"/>
  <c r="Q3" i="234"/>
  <c r="Y4" i="235"/>
  <c r="Y3" i="235"/>
  <c r="Y2" i="235"/>
  <c r="P4" i="217"/>
  <c r="Y3" i="192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K4" i="192"/>
  <c r="J3" i="192"/>
  <c r="C2" i="29"/>
  <c r="R4" i="29"/>
  <c r="M4" i="217"/>
  <c r="H2" i="216"/>
  <c r="J2" i="69"/>
  <c r="H4" i="68"/>
  <c r="I2" i="68"/>
  <c r="B4" i="235"/>
  <c r="B2" i="235"/>
  <c r="B3" i="235"/>
  <c r="X3" i="29"/>
  <c r="M2" i="218"/>
  <c r="M4" i="192"/>
  <c r="F3" i="69"/>
  <c r="J4" i="68"/>
  <c r="H3" i="68"/>
  <c r="U4" i="69"/>
  <c r="O3" i="69"/>
  <c r="K2" i="69"/>
  <c r="S4" i="68"/>
  <c r="S4" i="235"/>
  <c r="S2" i="235"/>
  <c r="S3" i="235"/>
  <c r="C4" i="193"/>
  <c r="K3" i="192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X3" i="193"/>
  <c r="Y4" i="192"/>
  <c r="Q3" i="216"/>
  <c r="C2" i="193"/>
  <c r="Q2" i="29"/>
  <c r="P2" i="217"/>
  <c r="V2" i="29"/>
  <c r="D3" i="193"/>
  <c r="J4" i="193"/>
  <c r="K4" i="193"/>
  <c r="V4" i="218"/>
  <c r="K2" i="29"/>
  <c r="V2" i="192"/>
  <c r="E3" i="217"/>
  <c r="K3" i="216"/>
  <c r="K3" i="217"/>
  <c r="N3" i="29"/>
  <c r="U2" i="193"/>
  <c r="U4" i="193"/>
  <c r="W2" i="218"/>
  <c r="J3" i="193"/>
  <c r="B2" i="217"/>
  <c r="W4" i="29"/>
  <c r="T4" i="193"/>
  <c r="L3" i="217"/>
  <c r="W3" i="192"/>
  <c r="O2" i="216"/>
  <c r="H3" i="218"/>
  <c r="N3" i="266" l="1"/>
  <c r="N3" i="264"/>
  <c r="N3" i="265"/>
  <c r="O2" i="266"/>
  <c r="O2" i="264"/>
  <c r="O2" i="265"/>
  <c r="F4" i="264"/>
  <c r="F4" i="265"/>
  <c r="F4" i="266"/>
  <c r="U4" i="266"/>
  <c r="U4" i="264"/>
  <c r="U4" i="265"/>
  <c r="M3" i="266"/>
  <c r="M3" i="264"/>
  <c r="M3" i="265"/>
  <c r="O3" i="266"/>
  <c r="O3" i="264"/>
  <c r="O3" i="265"/>
  <c r="V4" i="266"/>
  <c r="V4" i="264"/>
  <c r="V4" i="265"/>
  <c r="N2" i="266"/>
  <c r="N2" i="264"/>
  <c r="N2" i="265"/>
  <c r="E4" i="266"/>
  <c r="E4" i="264"/>
  <c r="E4" i="265"/>
  <c r="M2" i="266"/>
  <c r="M2" i="265"/>
  <c r="M2" i="264"/>
  <c r="T4" i="266"/>
  <c r="T4" i="265"/>
  <c r="T4" i="264"/>
  <c r="D4" i="264"/>
  <c r="D4" i="266"/>
  <c r="D4" i="265"/>
  <c r="L3" i="264"/>
  <c r="L3" i="266"/>
  <c r="L3" i="265"/>
  <c r="W4" i="265"/>
  <c r="W4" i="264"/>
  <c r="W4" i="266"/>
  <c r="R4" i="266"/>
  <c r="R4" i="264"/>
  <c r="R4" i="265"/>
  <c r="B4" i="265"/>
  <c r="B4" i="266"/>
  <c r="B4" i="264"/>
  <c r="J3" i="266"/>
  <c r="J3" i="264"/>
  <c r="J3" i="265"/>
  <c r="C2" i="264"/>
  <c r="C2" i="265"/>
  <c r="C2" i="266"/>
  <c r="J2" i="265"/>
  <c r="J2" i="264"/>
  <c r="J2" i="266"/>
  <c r="T2" i="265"/>
  <c r="T2" i="266"/>
  <c r="T2" i="264"/>
  <c r="B2" i="257"/>
  <c r="B2" i="255"/>
  <c r="B2" i="256"/>
  <c r="K2" i="266"/>
  <c r="K2" i="265"/>
  <c r="K2" i="264"/>
  <c r="I2" i="266"/>
  <c r="I2" i="265"/>
  <c r="I2" i="264"/>
  <c r="P4" i="266"/>
  <c r="P4" i="264"/>
  <c r="P4" i="265"/>
  <c r="X3" i="266"/>
  <c r="X3" i="265"/>
  <c r="X3" i="264"/>
  <c r="H3" i="266"/>
  <c r="H3" i="264"/>
  <c r="H3" i="265"/>
  <c r="D2" i="266"/>
  <c r="D2" i="264"/>
  <c r="D2" i="265"/>
  <c r="S3" i="264"/>
  <c r="S3" i="266"/>
  <c r="S3" i="265"/>
  <c r="J4" i="266"/>
  <c r="J4" i="264"/>
  <c r="J4" i="265"/>
  <c r="K3" i="266"/>
  <c r="K3" i="264"/>
  <c r="K3" i="265"/>
  <c r="I3" i="266"/>
  <c r="I3" i="264"/>
  <c r="I3" i="265"/>
  <c r="L2" i="266"/>
  <c r="L2" i="264"/>
  <c r="L2" i="265"/>
  <c r="C4" i="264"/>
  <c r="C4" i="266"/>
  <c r="C4" i="265"/>
  <c r="Q4" i="265"/>
  <c r="Q4" i="266"/>
  <c r="Q4" i="264"/>
  <c r="K4" i="266"/>
  <c r="K4" i="264"/>
  <c r="K4" i="265"/>
  <c r="P2" i="266"/>
  <c r="P2" i="265"/>
  <c r="P2" i="264"/>
  <c r="G4" i="266"/>
  <c r="G4" i="264"/>
  <c r="G4" i="265"/>
  <c r="B2" i="264"/>
  <c r="B2" i="266"/>
  <c r="B2" i="265"/>
  <c r="Y3" i="266"/>
  <c r="Y3" i="264"/>
  <c r="Y3" i="265"/>
  <c r="Y2" i="265"/>
  <c r="Y2" i="264"/>
  <c r="Y2" i="266"/>
  <c r="W2" i="264"/>
  <c r="W2" i="265"/>
  <c r="W2" i="266"/>
  <c r="G2" i="266"/>
  <c r="G2" i="265"/>
  <c r="G2" i="264"/>
  <c r="N4" i="264"/>
  <c r="N4" i="265"/>
  <c r="N4" i="266"/>
  <c r="V3" i="264"/>
  <c r="V3" i="265"/>
  <c r="V3" i="266"/>
  <c r="F3" i="266"/>
  <c r="F3" i="264"/>
  <c r="F3" i="265"/>
  <c r="V2" i="266"/>
  <c r="V2" i="264"/>
  <c r="V2" i="265"/>
  <c r="F2" i="266"/>
  <c r="F2" i="264"/>
  <c r="F2" i="265"/>
  <c r="M4" i="265"/>
  <c r="M4" i="264"/>
  <c r="M4" i="266"/>
  <c r="U3" i="266"/>
  <c r="U3" i="265"/>
  <c r="U3" i="264"/>
  <c r="E3" i="265"/>
  <c r="E3" i="266"/>
  <c r="E3" i="264"/>
  <c r="S4" i="265"/>
  <c r="S4" i="266"/>
  <c r="S4" i="264"/>
  <c r="U2" i="265"/>
  <c r="U2" i="266"/>
  <c r="U2" i="264"/>
  <c r="E2" i="266"/>
  <c r="E2" i="264"/>
  <c r="E2" i="265"/>
  <c r="L4" i="264"/>
  <c r="L4" i="265"/>
  <c r="L4" i="266"/>
  <c r="T3" i="266"/>
  <c r="T3" i="264"/>
  <c r="T3" i="265"/>
  <c r="D3" i="265"/>
  <c r="D3" i="266"/>
  <c r="D3" i="264"/>
  <c r="C3" i="266"/>
  <c r="C3" i="264"/>
  <c r="C3" i="265"/>
  <c r="R3" i="265"/>
  <c r="R3" i="266"/>
  <c r="R3" i="264"/>
  <c r="B3" i="265"/>
  <c r="B3" i="266"/>
  <c r="B3" i="264"/>
  <c r="R2" i="266"/>
  <c r="R2" i="264"/>
  <c r="R2" i="265"/>
  <c r="Y4" i="266"/>
  <c r="Y4" i="264"/>
  <c r="Y4" i="265"/>
  <c r="Q3" i="266"/>
  <c r="Q3" i="265"/>
  <c r="Q3" i="264"/>
  <c r="I4" i="266"/>
  <c r="I4" i="264"/>
  <c r="I4" i="265"/>
  <c r="Q2" i="266"/>
  <c r="Q2" i="264"/>
  <c r="Q2" i="265"/>
  <c r="X4" i="266"/>
  <c r="X4" i="264"/>
  <c r="X4" i="265"/>
  <c r="H4" i="264"/>
  <c r="H4" i="266"/>
  <c r="H4" i="265"/>
  <c r="P3" i="266"/>
  <c r="P3" i="264"/>
  <c r="P3" i="265"/>
  <c r="S2" i="264"/>
  <c r="S2" i="266"/>
  <c r="S2" i="265"/>
  <c r="X2" i="266"/>
  <c r="X2" i="264"/>
  <c r="X2" i="265"/>
  <c r="H2" i="266"/>
  <c r="H2" i="264"/>
  <c r="H2" i="265"/>
  <c r="O4" i="264"/>
  <c r="O4" i="265"/>
  <c r="O4" i="266"/>
  <c r="W3" i="264"/>
  <c r="W3" i="265"/>
  <c r="W3" i="266"/>
  <c r="G3" i="265"/>
  <c r="G3" i="266"/>
  <c r="G3" i="264"/>
  <c r="I2" i="255" l="1"/>
  <c r="I2" i="257"/>
  <c r="I2" i="256"/>
  <c r="P4" i="257"/>
  <c r="P4" i="255"/>
  <c r="P4" i="256"/>
  <c r="H3" i="257"/>
  <c r="H3" i="255"/>
  <c r="H3" i="256"/>
  <c r="W2" i="257"/>
  <c r="W2" i="256"/>
  <c r="W2" i="255"/>
  <c r="G2" i="255"/>
  <c r="G2" i="256"/>
  <c r="G2" i="257"/>
  <c r="N4" i="257"/>
  <c r="N4" i="256"/>
  <c r="N4" i="255"/>
  <c r="V3" i="257"/>
  <c r="V3" i="255"/>
  <c r="V3" i="256"/>
  <c r="F3" i="257"/>
  <c r="F3" i="255"/>
  <c r="F3" i="256"/>
  <c r="V2" i="255"/>
  <c r="V2" i="256"/>
  <c r="V2" i="257"/>
  <c r="F2" i="256"/>
  <c r="F2" i="257"/>
  <c r="F2" i="255"/>
  <c r="M4" i="255"/>
  <c r="M4" i="256"/>
  <c r="M4" i="257"/>
  <c r="U3" i="256"/>
  <c r="U3" i="257"/>
  <c r="U3" i="255"/>
  <c r="E3" i="256"/>
  <c r="E3" i="257"/>
  <c r="E3" i="255"/>
  <c r="L4" i="257"/>
  <c r="L4" i="255"/>
  <c r="L4" i="256"/>
  <c r="S3" i="255"/>
  <c r="S3" i="257"/>
  <c r="S3" i="256"/>
  <c r="S2" i="256"/>
  <c r="S2" i="255"/>
  <c r="S2" i="257"/>
  <c r="B3" i="257"/>
  <c r="B3" i="255"/>
  <c r="B3" i="256"/>
  <c r="D3" i="256"/>
  <c r="D3" i="257"/>
  <c r="D3" i="255"/>
  <c r="C2" i="255"/>
  <c r="C2" i="256"/>
  <c r="C2" i="257"/>
  <c r="I4" i="257"/>
  <c r="I4" i="255"/>
  <c r="I4" i="256"/>
  <c r="Q3" i="255"/>
  <c r="Q3" i="257"/>
  <c r="Q3" i="256"/>
  <c r="R3" i="255"/>
  <c r="R3" i="256"/>
  <c r="R3" i="257"/>
  <c r="Y4" i="255"/>
  <c r="Y4" i="257"/>
  <c r="Y4" i="256"/>
  <c r="P3" i="257"/>
  <c r="P3" i="256"/>
  <c r="P3" i="255"/>
  <c r="E2" i="257"/>
  <c r="E2" i="256"/>
  <c r="E2" i="255"/>
  <c r="O3" i="257"/>
  <c r="O3" i="256"/>
  <c r="O3" i="255"/>
  <c r="U2" i="255"/>
  <c r="U2" i="257"/>
  <c r="U2" i="256"/>
  <c r="T2" i="255"/>
  <c r="T2" i="256"/>
  <c r="T2" i="257"/>
  <c r="D2" i="255"/>
  <c r="D2" i="256"/>
  <c r="D2" i="257"/>
  <c r="J4" i="256"/>
  <c r="J4" i="257"/>
  <c r="J4" i="255"/>
  <c r="R2" i="256"/>
  <c r="R2" i="257"/>
  <c r="R2" i="255"/>
  <c r="P2" i="257"/>
  <c r="P2" i="256"/>
  <c r="P2" i="255"/>
  <c r="G4" i="257"/>
  <c r="G4" i="255"/>
  <c r="G4" i="256"/>
  <c r="O2" i="255"/>
  <c r="O2" i="257"/>
  <c r="O2" i="256"/>
  <c r="V4" i="256"/>
  <c r="V4" i="255"/>
  <c r="V4" i="257"/>
  <c r="F4" i="257"/>
  <c r="F4" i="255"/>
  <c r="F4" i="256"/>
  <c r="N3" i="256"/>
  <c r="N3" i="257"/>
  <c r="N3" i="255"/>
  <c r="H4" i="255"/>
  <c r="H4" i="257"/>
  <c r="H4" i="256"/>
  <c r="J2" i="256"/>
  <c r="J2" i="257"/>
  <c r="J2" i="255"/>
  <c r="C3" i="256"/>
  <c r="C3" i="257"/>
  <c r="C3" i="255"/>
  <c r="E4" i="257"/>
  <c r="E4" i="256"/>
  <c r="E4" i="255"/>
  <c r="M3" i="256"/>
  <c r="M3" i="255"/>
  <c r="M3" i="257"/>
  <c r="M2" i="257"/>
  <c r="M2" i="255"/>
  <c r="M2" i="256"/>
  <c r="T3" i="256"/>
  <c r="T3" i="257"/>
  <c r="T3" i="255"/>
  <c r="X4" i="257"/>
  <c r="X4" i="255"/>
  <c r="X4" i="256"/>
  <c r="T4" i="256"/>
  <c r="T4" i="257"/>
  <c r="T4" i="255"/>
  <c r="K3" i="257"/>
  <c r="K3" i="255"/>
  <c r="K3" i="256"/>
  <c r="K4" i="257"/>
  <c r="K4" i="256"/>
  <c r="K4" i="255"/>
  <c r="Q2" i="257"/>
  <c r="Q2" i="255"/>
  <c r="Q2" i="256"/>
  <c r="W4" i="256"/>
  <c r="W4" i="257"/>
  <c r="W4" i="255"/>
  <c r="N2" i="256"/>
  <c r="N2" i="257"/>
  <c r="N2" i="255"/>
  <c r="U4" i="257"/>
  <c r="U4" i="256"/>
  <c r="U4" i="255"/>
  <c r="D4" i="255"/>
  <c r="D4" i="256"/>
  <c r="D4" i="257"/>
  <c r="L3" i="256"/>
  <c r="L3" i="257"/>
  <c r="L3" i="255"/>
  <c r="L2" i="255"/>
  <c r="L2" i="256"/>
  <c r="L2" i="257"/>
  <c r="S4" i="256"/>
  <c r="S4" i="257"/>
  <c r="S4" i="255"/>
  <c r="C4" i="257"/>
  <c r="C4" i="255"/>
  <c r="C4" i="256"/>
  <c r="K2" i="257"/>
  <c r="K2" i="256"/>
  <c r="K2" i="255"/>
  <c r="R4" i="257"/>
  <c r="R4" i="255"/>
  <c r="R4" i="256"/>
  <c r="B4" i="257"/>
  <c r="B4" i="255"/>
  <c r="B4" i="256"/>
  <c r="J3" i="257"/>
  <c r="J3" i="255"/>
  <c r="J3" i="256"/>
  <c r="I3" i="257"/>
  <c r="I3" i="255"/>
  <c r="I3" i="256"/>
  <c r="Q4" i="256"/>
  <c r="Q4" i="257"/>
  <c r="Q4" i="255"/>
  <c r="Y3" i="256"/>
  <c r="Y3" i="255"/>
  <c r="Y3" i="257"/>
  <c r="Y2" i="257"/>
  <c r="Y2" i="255"/>
  <c r="Y2" i="256"/>
  <c r="X3" i="256"/>
  <c r="X3" i="257"/>
  <c r="X3" i="255"/>
  <c r="X2" i="255"/>
  <c r="X2" i="256"/>
  <c r="X2" i="257"/>
  <c r="H2" i="257"/>
  <c r="H2" i="256"/>
  <c r="H2" i="255"/>
  <c r="O4" i="256"/>
  <c r="O4" i="257"/>
  <c r="O4" i="255"/>
  <c r="W3" i="255"/>
  <c r="W3" i="256"/>
  <c r="W3" i="257"/>
  <c r="G3" i="255"/>
  <c r="G3" i="257"/>
  <c r="G3" i="256"/>
  <c r="E2" i="260" l="1"/>
  <c r="E2" i="258"/>
  <c r="E2" i="259"/>
  <c r="J3" i="263"/>
  <c r="J3" i="261"/>
  <c r="J3" i="262"/>
  <c r="G2" i="260"/>
  <c r="G2" i="258"/>
  <c r="G2" i="259"/>
  <c r="B3" i="260"/>
  <c r="B3" i="258"/>
  <c r="B3" i="259"/>
  <c r="F3" i="260"/>
  <c r="F3" i="259"/>
  <c r="F3" i="258"/>
  <c r="J2" i="271"/>
  <c r="J2" i="272"/>
  <c r="J2" i="270"/>
  <c r="N2" i="272"/>
  <c r="N2" i="270"/>
  <c r="N2" i="271"/>
  <c r="B2" i="272"/>
  <c r="B2" i="271"/>
  <c r="B2" i="270"/>
  <c r="U2" i="272"/>
  <c r="U2" i="271"/>
  <c r="U2" i="270"/>
  <c r="P3" i="272"/>
  <c r="P3" i="270"/>
  <c r="P3" i="271"/>
  <c r="C4" i="269"/>
  <c r="C4" i="267"/>
  <c r="C4" i="268"/>
  <c r="V4" i="269"/>
  <c r="V4" i="267"/>
  <c r="V4" i="268"/>
  <c r="J2" i="269"/>
  <c r="J2" i="267"/>
  <c r="J2" i="268"/>
  <c r="N2" i="269"/>
  <c r="N2" i="268"/>
  <c r="N2" i="267"/>
  <c r="E4" i="263"/>
  <c r="E4" i="262"/>
  <c r="E4" i="261"/>
  <c r="I2" i="263"/>
  <c r="I2" i="261"/>
  <c r="I2" i="262"/>
  <c r="D2" i="260"/>
  <c r="D2" i="258"/>
  <c r="D2" i="259"/>
  <c r="W2" i="260"/>
  <c r="W2" i="258"/>
  <c r="W2" i="259"/>
  <c r="R3" i="259"/>
  <c r="R3" i="260"/>
  <c r="R3" i="258"/>
  <c r="V3" i="260"/>
  <c r="V3" i="259"/>
  <c r="V3" i="258"/>
  <c r="B3" i="272"/>
  <c r="B3" i="270"/>
  <c r="B3" i="271"/>
  <c r="F3" i="272"/>
  <c r="F3" i="270"/>
  <c r="F3" i="271"/>
  <c r="R2" i="272"/>
  <c r="R2" i="270"/>
  <c r="R2" i="271"/>
  <c r="M3" i="272"/>
  <c r="M3" i="270"/>
  <c r="M3" i="271"/>
  <c r="H4" i="272"/>
  <c r="H4" i="270"/>
  <c r="H4" i="271"/>
  <c r="S4" i="269"/>
  <c r="S4" i="267"/>
  <c r="S4" i="268"/>
  <c r="G2" i="269"/>
  <c r="G2" i="267"/>
  <c r="G2" i="268"/>
  <c r="B3" i="269"/>
  <c r="B3" i="267"/>
  <c r="B3" i="268"/>
  <c r="F3" i="269"/>
  <c r="F3" i="268"/>
  <c r="F3" i="267"/>
  <c r="V3" i="263"/>
  <c r="V3" i="262"/>
  <c r="V3" i="261"/>
  <c r="X4" i="261"/>
  <c r="X4" i="262"/>
  <c r="X4" i="263"/>
  <c r="J4" i="263"/>
  <c r="J4" i="261"/>
  <c r="J4" i="262"/>
  <c r="U4" i="263"/>
  <c r="U4" i="261"/>
  <c r="U4" i="262"/>
  <c r="K2" i="262"/>
  <c r="K2" i="263"/>
  <c r="K2" i="261"/>
  <c r="Y2" i="263"/>
  <c r="Y2" i="261"/>
  <c r="Y2" i="262"/>
  <c r="T2" i="260"/>
  <c r="T2" i="258"/>
  <c r="T2" i="259"/>
  <c r="O3" i="260"/>
  <c r="O3" i="258"/>
  <c r="O3" i="259"/>
  <c r="J4" i="260"/>
  <c r="J4" i="258"/>
  <c r="J4" i="259"/>
  <c r="N4" i="260"/>
  <c r="N4" i="258"/>
  <c r="N4" i="259"/>
  <c r="R3" i="272"/>
  <c r="R3" i="271"/>
  <c r="R3" i="270"/>
  <c r="V3" i="272"/>
  <c r="V3" i="271"/>
  <c r="V3" i="270"/>
  <c r="J3" i="271"/>
  <c r="J3" i="270"/>
  <c r="J3" i="272"/>
  <c r="E4" i="272"/>
  <c r="E4" i="270"/>
  <c r="E4" i="271"/>
  <c r="X4" i="272"/>
  <c r="X4" i="270"/>
  <c r="X4" i="271"/>
  <c r="D2" i="269"/>
  <c r="D2" i="267"/>
  <c r="D2" i="268"/>
  <c r="W2" i="269"/>
  <c r="W2" i="267"/>
  <c r="W2" i="268"/>
  <c r="R3" i="267"/>
  <c r="R3" i="269"/>
  <c r="R3" i="268"/>
  <c r="V3" i="269"/>
  <c r="V3" i="268"/>
  <c r="V3" i="267"/>
  <c r="B4" i="263"/>
  <c r="B4" i="262"/>
  <c r="B4" i="261"/>
  <c r="O2" i="263"/>
  <c r="O2" i="262"/>
  <c r="O2" i="261"/>
  <c r="R4" i="263"/>
  <c r="R4" i="261"/>
  <c r="R4" i="262"/>
  <c r="F2" i="263"/>
  <c r="F2" i="261"/>
  <c r="F2" i="262"/>
  <c r="C3" i="263"/>
  <c r="C3" i="261"/>
  <c r="C3" i="262"/>
  <c r="G3" i="262"/>
  <c r="G3" i="263"/>
  <c r="G3" i="261"/>
  <c r="C2" i="263"/>
  <c r="C2" i="261"/>
  <c r="C2" i="262"/>
  <c r="V2" i="261"/>
  <c r="V2" i="262"/>
  <c r="V2" i="263"/>
  <c r="Q3" i="263"/>
  <c r="Q3" i="261"/>
  <c r="Q3" i="262"/>
  <c r="L3" i="260"/>
  <c r="L3" i="259"/>
  <c r="L3" i="258"/>
  <c r="G4" i="260"/>
  <c r="G4" i="259"/>
  <c r="G4" i="258"/>
  <c r="K2" i="260"/>
  <c r="K2" i="258"/>
  <c r="K2" i="259"/>
  <c r="O2" i="260"/>
  <c r="O2" i="258"/>
  <c r="O2" i="259"/>
  <c r="J4" i="272"/>
  <c r="J4" i="270"/>
  <c r="J4" i="271"/>
  <c r="N4" i="272"/>
  <c r="N4" i="271"/>
  <c r="N4" i="270"/>
  <c r="B4" i="272"/>
  <c r="B4" i="270"/>
  <c r="B4" i="271"/>
  <c r="U4" i="272"/>
  <c r="U4" i="270"/>
  <c r="U4" i="271"/>
  <c r="I2" i="271"/>
  <c r="I2" i="270"/>
  <c r="I2" i="272"/>
  <c r="T2" i="269"/>
  <c r="T2" i="267"/>
  <c r="T2" i="268"/>
  <c r="O3" i="269"/>
  <c r="O3" i="267"/>
  <c r="O3" i="268"/>
  <c r="J4" i="269"/>
  <c r="J4" i="267"/>
  <c r="J4" i="268"/>
  <c r="N4" i="269"/>
  <c r="N4" i="267"/>
  <c r="N4" i="268"/>
  <c r="L2" i="263"/>
  <c r="L2" i="261"/>
  <c r="L2" i="262"/>
  <c r="R3" i="263"/>
  <c r="R3" i="261"/>
  <c r="R3" i="262"/>
  <c r="N4" i="263"/>
  <c r="N4" i="261"/>
  <c r="N4" i="262"/>
  <c r="W3" i="262"/>
  <c r="W3" i="263"/>
  <c r="W3" i="261"/>
  <c r="N3" i="263"/>
  <c r="N3" i="262"/>
  <c r="N3" i="261"/>
  <c r="I4" i="263"/>
  <c r="I4" i="261"/>
  <c r="I4" i="262"/>
  <c r="D4" i="260"/>
  <c r="D4" i="258"/>
  <c r="D4" i="259"/>
  <c r="W4" i="260"/>
  <c r="W4" i="258"/>
  <c r="W4" i="259"/>
  <c r="C3" i="260"/>
  <c r="C3" i="258"/>
  <c r="C3" i="259"/>
  <c r="G3" i="260"/>
  <c r="G3" i="259"/>
  <c r="G3" i="258"/>
  <c r="K2" i="272"/>
  <c r="K2" i="270"/>
  <c r="K2" i="271"/>
  <c r="O2" i="272"/>
  <c r="O2" i="270"/>
  <c r="O2" i="271"/>
  <c r="F2" i="272"/>
  <c r="F2" i="271"/>
  <c r="F2" i="270"/>
  <c r="Y2" i="270"/>
  <c r="Y2" i="271"/>
  <c r="Y2" i="272"/>
  <c r="L3" i="269"/>
  <c r="L3" i="267"/>
  <c r="L3" i="268"/>
  <c r="G4" i="269"/>
  <c r="G4" i="267"/>
  <c r="G4" i="268"/>
  <c r="K2" i="269"/>
  <c r="K2" i="267"/>
  <c r="K2" i="268"/>
  <c r="O2" i="269"/>
  <c r="O2" i="267"/>
  <c r="O2" i="268"/>
  <c r="C4" i="263"/>
  <c r="C4" i="261"/>
  <c r="C4" i="262"/>
  <c r="S4" i="260"/>
  <c r="S4" i="258"/>
  <c r="S4" i="259"/>
  <c r="S3" i="263"/>
  <c r="S3" i="262"/>
  <c r="S3" i="261"/>
  <c r="S2" i="263"/>
  <c r="S2" i="261"/>
  <c r="S2" i="262"/>
  <c r="R4" i="272"/>
  <c r="R4" i="270"/>
  <c r="R4" i="271"/>
  <c r="K4" i="263"/>
  <c r="K4" i="261"/>
  <c r="K4" i="262"/>
  <c r="O4" i="262"/>
  <c r="O4" i="263"/>
  <c r="O4" i="261"/>
  <c r="K3" i="263"/>
  <c r="K3" i="261"/>
  <c r="K3" i="262"/>
  <c r="F4" i="263"/>
  <c r="F4" i="261"/>
  <c r="F4" i="262"/>
  <c r="Y4" i="263"/>
  <c r="Y4" i="262"/>
  <c r="Y4" i="261"/>
  <c r="T4" i="260"/>
  <c r="T4" i="259"/>
  <c r="T4" i="258"/>
  <c r="H2" i="260"/>
  <c r="H2" i="258"/>
  <c r="H2" i="259"/>
  <c r="S3" i="260"/>
  <c r="S3" i="258"/>
  <c r="S3" i="259"/>
  <c r="W3" i="260"/>
  <c r="W3" i="258"/>
  <c r="W3" i="259"/>
  <c r="C3" i="272"/>
  <c r="C3" i="270"/>
  <c r="C3" i="271"/>
  <c r="G3" i="272"/>
  <c r="G3" i="271"/>
  <c r="G3" i="270"/>
  <c r="C2" i="272"/>
  <c r="C2" i="271"/>
  <c r="C2" i="270"/>
  <c r="V2" i="272"/>
  <c r="V2" i="270"/>
  <c r="V2" i="271"/>
  <c r="Q3" i="272"/>
  <c r="Q3" i="270"/>
  <c r="Q3" i="271"/>
  <c r="D4" i="269"/>
  <c r="D4" i="268"/>
  <c r="D4" i="267"/>
  <c r="W4" i="269"/>
  <c r="W4" i="267"/>
  <c r="W4" i="268"/>
  <c r="C3" i="267"/>
  <c r="C3" i="268"/>
  <c r="C3" i="269"/>
  <c r="G3" i="269"/>
  <c r="G3" i="267"/>
  <c r="G3" i="268"/>
  <c r="V4" i="263"/>
  <c r="V4" i="261"/>
  <c r="V4" i="262"/>
  <c r="O4" i="260"/>
  <c r="O4" i="259"/>
  <c r="O4" i="258"/>
  <c r="W3" i="272"/>
  <c r="W3" i="270"/>
  <c r="W3" i="271"/>
  <c r="S2" i="271"/>
  <c r="S2" i="272"/>
  <c r="S2" i="270"/>
  <c r="N3" i="272"/>
  <c r="N3" i="270"/>
  <c r="N3" i="271"/>
  <c r="I4" i="272"/>
  <c r="I4" i="271"/>
  <c r="I4" i="270"/>
  <c r="T4" i="269"/>
  <c r="T4" i="267"/>
  <c r="T4" i="268"/>
  <c r="H2" i="269"/>
  <c r="H2" i="267"/>
  <c r="H2" i="268"/>
  <c r="S3" i="269"/>
  <c r="S3" i="267"/>
  <c r="S3" i="268"/>
  <c r="W3" i="269"/>
  <c r="W3" i="268"/>
  <c r="W3" i="267"/>
  <c r="D3" i="263"/>
  <c r="D3" i="262"/>
  <c r="D3" i="261"/>
  <c r="H3" i="263"/>
  <c r="H3" i="261"/>
  <c r="H3" i="262"/>
  <c r="S4" i="263"/>
  <c r="S4" i="261"/>
  <c r="S4" i="262"/>
  <c r="G2" i="263"/>
  <c r="G2" i="261"/>
  <c r="G2" i="262"/>
  <c r="B2" i="260"/>
  <c r="B2" i="258"/>
  <c r="B2" i="259"/>
  <c r="U2" i="260"/>
  <c r="U2" i="258"/>
  <c r="U2" i="259"/>
  <c r="P3" i="260"/>
  <c r="P3" i="258"/>
  <c r="P3" i="259"/>
  <c r="L2" i="260"/>
  <c r="L2" i="259"/>
  <c r="L2" i="258"/>
  <c r="P2" i="258"/>
  <c r="P2" i="259"/>
  <c r="P2" i="260"/>
  <c r="K4" i="272"/>
  <c r="K4" i="271"/>
  <c r="K4" i="270"/>
  <c r="O4" i="272"/>
  <c r="O4" i="270"/>
  <c r="O4" i="271"/>
  <c r="K3" i="270"/>
  <c r="K3" i="271"/>
  <c r="K3" i="272"/>
  <c r="F4" i="272"/>
  <c r="F4" i="270"/>
  <c r="F4" i="271"/>
  <c r="Y4" i="272"/>
  <c r="Y4" i="271"/>
  <c r="Y4" i="270"/>
  <c r="E2" i="269"/>
  <c r="E2" i="267"/>
  <c r="E2" i="268"/>
  <c r="X2" i="267"/>
  <c r="X2" i="269"/>
  <c r="X2" i="268"/>
  <c r="K4" i="267"/>
  <c r="K4" i="268"/>
  <c r="K4" i="269"/>
  <c r="O4" i="269"/>
  <c r="O4" i="267"/>
  <c r="O4" i="268"/>
  <c r="T3" i="263"/>
  <c r="T3" i="261"/>
  <c r="T3" i="262"/>
  <c r="X3" i="263"/>
  <c r="X3" i="261"/>
  <c r="X3" i="262"/>
  <c r="D2" i="263"/>
  <c r="D2" i="261"/>
  <c r="D2" i="262"/>
  <c r="W2" i="263"/>
  <c r="W2" i="261"/>
  <c r="W2" i="262"/>
  <c r="R2" i="260"/>
  <c r="R2" i="258"/>
  <c r="R2" i="259"/>
  <c r="M3" i="260"/>
  <c r="M3" i="258"/>
  <c r="M3" i="259"/>
  <c r="H4" i="260"/>
  <c r="H4" i="258"/>
  <c r="H4" i="259"/>
  <c r="D3" i="260"/>
  <c r="D3" i="258"/>
  <c r="D3" i="259"/>
  <c r="H3" i="260"/>
  <c r="H3" i="258"/>
  <c r="H3" i="259"/>
  <c r="L2" i="271"/>
  <c r="L2" i="272"/>
  <c r="L2" i="270"/>
  <c r="P2" i="272"/>
  <c r="P2" i="270"/>
  <c r="P2" i="271"/>
  <c r="C4" i="272"/>
  <c r="C4" i="270"/>
  <c r="C4" i="271"/>
  <c r="V4" i="272"/>
  <c r="V4" i="271"/>
  <c r="V4" i="270"/>
  <c r="B2" i="267"/>
  <c r="B2" i="268"/>
  <c r="B2" i="269"/>
  <c r="U2" i="267"/>
  <c r="U2" i="268"/>
  <c r="U2" i="269"/>
  <c r="P3" i="269"/>
  <c r="P3" i="268"/>
  <c r="P3" i="267"/>
  <c r="L2" i="267"/>
  <c r="L2" i="269"/>
  <c r="L2" i="268"/>
  <c r="P2" i="269"/>
  <c r="P2" i="267"/>
  <c r="P2" i="268"/>
  <c r="X4" i="260"/>
  <c r="X4" i="258"/>
  <c r="X4" i="259"/>
  <c r="T3" i="260"/>
  <c r="T3" i="258"/>
  <c r="T3" i="259"/>
  <c r="X3" i="260"/>
  <c r="X3" i="259"/>
  <c r="X3" i="258"/>
  <c r="D3" i="272"/>
  <c r="D3" i="270"/>
  <c r="D3" i="271"/>
  <c r="H3" i="270"/>
  <c r="H3" i="271"/>
  <c r="H3" i="272"/>
  <c r="S4" i="272"/>
  <c r="S4" i="270"/>
  <c r="S4" i="271"/>
  <c r="G2" i="272"/>
  <c r="G2" i="270"/>
  <c r="G2" i="271"/>
  <c r="R2" i="269"/>
  <c r="R2" i="267"/>
  <c r="R2" i="268"/>
  <c r="M3" i="269"/>
  <c r="M3" i="268"/>
  <c r="M3" i="267"/>
  <c r="H4" i="268"/>
  <c r="H4" i="269"/>
  <c r="H4" i="267"/>
  <c r="D3" i="269"/>
  <c r="D3" i="267"/>
  <c r="D3" i="268"/>
  <c r="H3" i="269"/>
  <c r="H3" i="267"/>
  <c r="H3" i="268"/>
  <c r="K4" i="260"/>
  <c r="K4" i="259"/>
  <c r="K4" i="258"/>
  <c r="X2" i="258"/>
  <c r="X2" i="259"/>
  <c r="X2" i="260"/>
  <c r="T2" i="263"/>
  <c r="T2" i="261"/>
  <c r="T2" i="262"/>
  <c r="Q2" i="263"/>
  <c r="Q2" i="262"/>
  <c r="Q2" i="261"/>
  <c r="U4" i="260"/>
  <c r="U4" i="258"/>
  <c r="U4" i="259"/>
  <c r="P4" i="260"/>
  <c r="P4" i="259"/>
  <c r="P4" i="258"/>
  <c r="X3" i="272"/>
  <c r="X3" i="270"/>
  <c r="X3" i="271"/>
  <c r="W2" i="271"/>
  <c r="W2" i="270"/>
  <c r="W2" i="272"/>
  <c r="E4" i="269"/>
  <c r="E4" i="268"/>
  <c r="E4" i="267"/>
  <c r="X3" i="269"/>
  <c r="X3" i="268"/>
  <c r="X3" i="267"/>
  <c r="I3" i="263"/>
  <c r="I3" i="261"/>
  <c r="I3" i="262"/>
  <c r="D4" i="261"/>
  <c r="D4" i="263"/>
  <c r="D4" i="262"/>
  <c r="W4" i="262"/>
  <c r="W4" i="263"/>
  <c r="W4" i="261"/>
  <c r="R4" i="260"/>
  <c r="R4" i="258"/>
  <c r="R4" i="259"/>
  <c r="F2" i="260"/>
  <c r="F2" i="259"/>
  <c r="F2" i="258"/>
  <c r="Y2" i="260"/>
  <c r="Y2" i="259"/>
  <c r="Y2" i="258"/>
  <c r="M2" i="258"/>
  <c r="M2" i="260"/>
  <c r="M2" i="259"/>
  <c r="Q2" i="260"/>
  <c r="Q2" i="258"/>
  <c r="Q2" i="259"/>
  <c r="L4" i="272"/>
  <c r="L4" i="270"/>
  <c r="L4" i="271"/>
  <c r="P4" i="272"/>
  <c r="P4" i="270"/>
  <c r="P4" i="271"/>
  <c r="T2" i="272"/>
  <c r="T2" i="270"/>
  <c r="T2" i="271"/>
  <c r="O3" i="271"/>
  <c r="O3" i="272"/>
  <c r="O3" i="270"/>
  <c r="B4" i="269"/>
  <c r="B4" i="267"/>
  <c r="B4" i="268"/>
  <c r="U4" i="268"/>
  <c r="U4" i="269"/>
  <c r="U4" i="267"/>
  <c r="I2" i="269"/>
  <c r="I2" i="267"/>
  <c r="I2" i="268"/>
  <c r="L4" i="269"/>
  <c r="L4" i="267"/>
  <c r="L4" i="268"/>
  <c r="P4" i="268"/>
  <c r="P4" i="267"/>
  <c r="P4" i="269"/>
  <c r="P2" i="263"/>
  <c r="P2" i="261"/>
  <c r="P2" i="262"/>
  <c r="S3" i="272"/>
  <c r="S3" i="270"/>
  <c r="S3" i="271"/>
  <c r="E4" i="260"/>
  <c r="E4" i="259"/>
  <c r="E4" i="258"/>
  <c r="L3" i="262"/>
  <c r="L3" i="263"/>
  <c r="L3" i="261"/>
  <c r="G4" i="263"/>
  <c r="G4" i="262"/>
  <c r="G4" i="261"/>
  <c r="D2" i="272"/>
  <c r="D2" i="271"/>
  <c r="D2" i="270"/>
  <c r="T3" i="269"/>
  <c r="T3" i="267"/>
  <c r="T3" i="268"/>
  <c r="U3" i="263"/>
  <c r="U3" i="261"/>
  <c r="U3" i="262"/>
  <c r="Y3" i="263"/>
  <c r="Y3" i="262"/>
  <c r="Y3" i="261"/>
  <c r="T4" i="263"/>
  <c r="T4" i="261"/>
  <c r="T4" i="262"/>
  <c r="H2" i="263"/>
  <c r="H2" i="261"/>
  <c r="H2" i="262"/>
  <c r="C2" i="260"/>
  <c r="C2" i="259"/>
  <c r="C2" i="258"/>
  <c r="V2" i="259"/>
  <c r="V2" i="260"/>
  <c r="V2" i="258"/>
  <c r="Q3" i="260"/>
  <c r="Q3" i="258"/>
  <c r="Q3" i="259"/>
  <c r="E3" i="260"/>
  <c r="E3" i="258"/>
  <c r="E3" i="259"/>
  <c r="I3" i="258"/>
  <c r="I3" i="259"/>
  <c r="I3" i="260"/>
  <c r="M2" i="270"/>
  <c r="M2" i="271"/>
  <c r="M2" i="272"/>
  <c r="Q2" i="272"/>
  <c r="Q2" i="270"/>
  <c r="Q2" i="271"/>
  <c r="L3" i="272"/>
  <c r="L3" i="271"/>
  <c r="L3" i="270"/>
  <c r="G4" i="272"/>
  <c r="G4" i="271"/>
  <c r="G4" i="270"/>
  <c r="R4" i="268"/>
  <c r="R4" i="269"/>
  <c r="R4" i="267"/>
  <c r="F2" i="268"/>
  <c r="F2" i="269"/>
  <c r="F2" i="267"/>
  <c r="Y2" i="269"/>
  <c r="Y2" i="267"/>
  <c r="Y2" i="268"/>
  <c r="M2" i="267"/>
  <c r="M2" i="268"/>
  <c r="M2" i="269"/>
  <c r="Q2" i="269"/>
  <c r="Q2" i="268"/>
  <c r="Q2" i="267"/>
  <c r="L4" i="263"/>
  <c r="L4" i="261"/>
  <c r="L4" i="262"/>
  <c r="J3" i="260"/>
  <c r="J3" i="258"/>
  <c r="J3" i="259"/>
  <c r="B4" i="258"/>
  <c r="B4" i="260"/>
  <c r="B4" i="259"/>
  <c r="J3" i="267"/>
  <c r="J3" i="268"/>
  <c r="J3" i="269"/>
  <c r="X4" i="269"/>
  <c r="X4" i="267"/>
  <c r="X4" i="268"/>
  <c r="M4" i="263"/>
  <c r="M4" i="261"/>
  <c r="M4" i="262"/>
  <c r="Q4" i="263"/>
  <c r="Q4" i="261"/>
  <c r="Q4" i="262"/>
  <c r="E2" i="261"/>
  <c r="E2" i="262"/>
  <c r="E2" i="263"/>
  <c r="X2" i="261"/>
  <c r="X2" i="263"/>
  <c r="X2" i="262"/>
  <c r="S2" i="258"/>
  <c r="S2" i="259"/>
  <c r="S2" i="260"/>
  <c r="N3" i="260"/>
  <c r="N3" i="259"/>
  <c r="N3" i="258"/>
  <c r="I4" i="260"/>
  <c r="I4" i="258"/>
  <c r="I4" i="259"/>
  <c r="U3" i="258"/>
  <c r="U3" i="260"/>
  <c r="U3" i="259"/>
  <c r="Y3" i="259"/>
  <c r="Y3" i="260"/>
  <c r="Y3" i="258"/>
  <c r="E3" i="271"/>
  <c r="E3" i="272"/>
  <c r="E3" i="270"/>
  <c r="I3" i="272"/>
  <c r="I3" i="270"/>
  <c r="I3" i="271"/>
  <c r="D4" i="272"/>
  <c r="D4" i="270"/>
  <c r="D4" i="271"/>
  <c r="W4" i="271"/>
  <c r="W4" i="272"/>
  <c r="W4" i="270"/>
  <c r="C2" i="268"/>
  <c r="C2" i="267"/>
  <c r="C2" i="269"/>
  <c r="V2" i="269"/>
  <c r="V2" i="267"/>
  <c r="V2" i="268"/>
  <c r="Q3" i="269"/>
  <c r="Q3" i="268"/>
  <c r="Q3" i="267"/>
  <c r="E3" i="269"/>
  <c r="E3" i="267"/>
  <c r="E3" i="268"/>
  <c r="I3" i="269"/>
  <c r="I3" i="267"/>
  <c r="I3" i="268"/>
  <c r="P4" i="263"/>
  <c r="P4" i="262"/>
  <c r="P4" i="261"/>
  <c r="O3" i="263"/>
  <c r="O3" i="261"/>
  <c r="O3" i="262"/>
  <c r="M2" i="263"/>
  <c r="M2" i="262"/>
  <c r="M2" i="261"/>
  <c r="L4" i="260"/>
  <c r="L4" i="258"/>
  <c r="L4" i="259"/>
  <c r="Q2" i="310"/>
  <c r="Q2" i="309"/>
  <c r="Q2" i="232"/>
  <c r="Q2" i="311"/>
  <c r="Q2" i="233"/>
  <c r="Q2" i="231"/>
  <c r="J2" i="262"/>
  <c r="J2" i="263"/>
  <c r="J2" i="261"/>
  <c r="N2" i="261"/>
  <c r="N2" i="262"/>
  <c r="N2" i="263"/>
  <c r="B2" i="263"/>
  <c r="B2" i="261"/>
  <c r="B2" i="262"/>
  <c r="U2" i="263"/>
  <c r="U2" i="261"/>
  <c r="U2" i="262"/>
  <c r="P3" i="263"/>
  <c r="P3" i="261"/>
  <c r="P3" i="262"/>
  <c r="K3" i="260"/>
  <c r="K3" i="258"/>
  <c r="K3" i="259"/>
  <c r="Y4" i="259"/>
  <c r="Y4" i="258"/>
  <c r="Y4" i="260"/>
  <c r="M4" i="258"/>
  <c r="M4" i="259"/>
  <c r="M4" i="260"/>
  <c r="Q4" i="260"/>
  <c r="Q4" i="258"/>
  <c r="Q4" i="259"/>
  <c r="Y3" i="272"/>
  <c r="Y3" i="270"/>
  <c r="Y3" i="271"/>
  <c r="I4" i="269"/>
  <c r="I4" i="267"/>
  <c r="I4" i="268"/>
  <c r="Y3" i="269"/>
  <c r="Y3" i="267"/>
  <c r="Y3" i="268"/>
  <c r="I2" i="260"/>
  <c r="I2" i="258"/>
  <c r="I2" i="259"/>
  <c r="T3" i="272"/>
  <c r="T3" i="270"/>
  <c r="T3" i="271"/>
  <c r="E3" i="261"/>
  <c r="E3" i="263"/>
  <c r="E3" i="262"/>
  <c r="F4" i="260"/>
  <c r="F4" i="259"/>
  <c r="F4" i="258"/>
  <c r="U3" i="270"/>
  <c r="U3" i="272"/>
  <c r="U3" i="271"/>
  <c r="T4" i="270"/>
  <c r="T4" i="272"/>
  <c r="T4" i="271"/>
  <c r="H2" i="270"/>
  <c r="H2" i="271"/>
  <c r="H2" i="272"/>
  <c r="S2" i="269"/>
  <c r="S2" i="267"/>
  <c r="S2" i="268"/>
  <c r="N3" i="267"/>
  <c r="N3" i="268"/>
  <c r="N3" i="269"/>
  <c r="U3" i="267"/>
  <c r="U3" i="268"/>
  <c r="U3" i="269"/>
  <c r="O4" i="232"/>
  <c r="O4" i="310"/>
  <c r="O4" i="309"/>
  <c r="O4" i="233"/>
  <c r="O4" i="231"/>
  <c r="O4" i="311"/>
  <c r="B3" i="263"/>
  <c r="B3" i="262"/>
  <c r="B3" i="261"/>
  <c r="F3" i="262"/>
  <c r="F3" i="263"/>
  <c r="F3" i="261"/>
  <c r="R2" i="261"/>
  <c r="R2" i="263"/>
  <c r="R2" i="262"/>
  <c r="M3" i="261"/>
  <c r="M3" i="262"/>
  <c r="M3" i="263"/>
  <c r="H4" i="263"/>
  <c r="H4" i="262"/>
  <c r="H4" i="261"/>
  <c r="C4" i="258"/>
  <c r="C4" i="260"/>
  <c r="C4" i="259"/>
  <c r="V4" i="260"/>
  <c r="V4" i="258"/>
  <c r="V4" i="259"/>
  <c r="J2" i="259"/>
  <c r="J2" i="260"/>
  <c r="J2" i="258"/>
  <c r="N2" i="259"/>
  <c r="N2" i="260"/>
  <c r="N2" i="258"/>
  <c r="B4" i="194"/>
  <c r="B4" i="182"/>
  <c r="B4" i="195"/>
  <c r="M4" i="270"/>
  <c r="M4" i="272"/>
  <c r="M4" i="271"/>
  <c r="Q4" i="272"/>
  <c r="Q4" i="270"/>
  <c r="Q4" i="271"/>
  <c r="E2" i="272"/>
  <c r="E2" i="271"/>
  <c r="E2" i="270"/>
  <c r="X2" i="272"/>
  <c r="X2" i="270"/>
  <c r="X2" i="271"/>
  <c r="K3" i="269"/>
  <c r="K3" i="268"/>
  <c r="K3" i="267"/>
  <c r="F4" i="269"/>
  <c r="F4" i="268"/>
  <c r="F4" i="267"/>
  <c r="Y4" i="269"/>
  <c r="Y4" i="267"/>
  <c r="Y4" i="268"/>
  <c r="M4" i="269"/>
  <c r="M4" i="268"/>
  <c r="M4" i="267"/>
  <c r="Q4" i="267"/>
  <c r="Q4" i="269"/>
  <c r="Q4" i="268"/>
  <c r="C2" i="309" l="1"/>
  <c r="C2" i="311"/>
  <c r="C2" i="233"/>
  <c r="C2" i="310"/>
  <c r="C2" i="231"/>
  <c r="C2" i="232"/>
  <c r="N4" i="220"/>
  <c r="N4" i="298"/>
  <c r="N4" i="297"/>
  <c r="N4" i="299"/>
  <c r="N4" i="221"/>
  <c r="N4" i="219"/>
  <c r="Y4" i="299"/>
  <c r="Y4" i="297"/>
  <c r="Y4" i="298"/>
  <c r="Y4" i="219"/>
  <c r="Y4" i="220"/>
  <c r="Y4" i="221"/>
  <c r="F2" i="197"/>
  <c r="F2" i="183"/>
  <c r="F2" i="196"/>
  <c r="P2" i="184"/>
  <c r="P2" i="200"/>
  <c r="P2" i="201"/>
  <c r="R4" i="202"/>
  <c r="R4" i="203"/>
  <c r="R4" i="185"/>
  <c r="G4" i="195"/>
  <c r="G4" i="194"/>
  <c r="G4" i="182"/>
  <c r="R2" i="182"/>
  <c r="R2" i="194"/>
  <c r="R2" i="195"/>
  <c r="L3" i="203"/>
  <c r="L3" i="202"/>
  <c r="L3" i="185"/>
  <c r="F4" i="219"/>
  <c r="F4" i="220"/>
  <c r="F4" i="299"/>
  <c r="F4" i="297"/>
  <c r="F4" i="298"/>
  <c r="F4" i="221"/>
  <c r="V3" i="308"/>
  <c r="V3" i="306"/>
  <c r="V3" i="307"/>
  <c r="V3" i="230"/>
  <c r="V3" i="229"/>
  <c r="V3" i="228"/>
  <c r="G4" i="298"/>
  <c r="G4" i="299"/>
  <c r="G4" i="221"/>
  <c r="G4" i="219"/>
  <c r="G4" i="220"/>
  <c r="G4" i="297"/>
  <c r="K4" i="307"/>
  <c r="K4" i="306"/>
  <c r="K4" i="308"/>
  <c r="K4" i="230"/>
  <c r="K4" i="228"/>
  <c r="K4" i="229"/>
  <c r="W3" i="229"/>
  <c r="W3" i="308"/>
  <c r="W3" i="306"/>
  <c r="W3" i="230"/>
  <c r="W3" i="228"/>
  <c r="W3" i="307"/>
  <c r="U3" i="222"/>
  <c r="U3" i="224"/>
  <c r="U3" i="302"/>
  <c r="U3" i="301"/>
  <c r="U3" i="300"/>
  <c r="U3" i="223"/>
  <c r="O3" i="221"/>
  <c r="O3" i="297"/>
  <c r="O3" i="298"/>
  <c r="O3" i="299"/>
  <c r="O3" i="220"/>
  <c r="O3" i="219"/>
  <c r="U4" i="223"/>
  <c r="U4" i="224"/>
  <c r="U4" i="222"/>
  <c r="U4" i="300"/>
  <c r="U4" i="301"/>
  <c r="U4" i="302"/>
  <c r="C2" i="299"/>
  <c r="C2" i="298"/>
  <c r="C2" i="297"/>
  <c r="C2" i="219"/>
  <c r="C2" i="220"/>
  <c r="C2" i="221"/>
  <c r="H2" i="311"/>
  <c r="H2" i="309"/>
  <c r="H2" i="310"/>
  <c r="H2" i="233"/>
  <c r="H2" i="232"/>
  <c r="H2" i="231"/>
  <c r="F2" i="299"/>
  <c r="F2" i="297"/>
  <c r="F2" i="298"/>
  <c r="F2" i="221"/>
  <c r="F2" i="220"/>
  <c r="F2" i="219"/>
  <c r="N2" i="231"/>
  <c r="N2" i="310"/>
  <c r="N2" i="309"/>
  <c r="N2" i="311"/>
  <c r="N2" i="233"/>
  <c r="N2" i="232"/>
  <c r="Q2" i="223"/>
  <c r="Q2" i="302"/>
  <c r="Q2" i="300"/>
  <c r="Q2" i="224"/>
  <c r="Q2" i="222"/>
  <c r="Q2" i="301"/>
  <c r="F4" i="301"/>
  <c r="F4" i="300"/>
  <c r="F4" i="302"/>
  <c r="F4" i="224"/>
  <c r="F4" i="222"/>
  <c r="F4" i="223"/>
  <c r="O4" i="307"/>
  <c r="O4" i="306"/>
  <c r="O4" i="308"/>
  <c r="O4" i="229"/>
  <c r="O4" i="228"/>
  <c r="O4" i="230"/>
  <c r="J3" i="298"/>
  <c r="J3" i="221"/>
  <c r="J3" i="219"/>
  <c r="J3" i="299"/>
  <c r="J3" i="297"/>
  <c r="J3" i="220"/>
  <c r="I4" i="182"/>
  <c r="I4" i="194"/>
  <c r="I4" i="195"/>
  <c r="L2" i="202"/>
  <c r="L2" i="185"/>
  <c r="L2" i="203"/>
  <c r="F4" i="185"/>
  <c r="F4" i="203"/>
  <c r="F4" i="202"/>
  <c r="N2" i="201"/>
  <c r="N2" i="184"/>
  <c r="N2" i="200"/>
  <c r="V2" i="184"/>
  <c r="V2" i="200"/>
  <c r="V2" i="201"/>
  <c r="D4" i="183"/>
  <c r="D4" i="196"/>
  <c r="D4" i="197"/>
  <c r="K3" i="297"/>
  <c r="K3" i="299"/>
  <c r="K3" i="298"/>
  <c r="K3" i="221"/>
  <c r="K3" i="219"/>
  <c r="K3" i="220"/>
  <c r="S4" i="219"/>
  <c r="S4" i="299"/>
  <c r="S4" i="298"/>
  <c r="S4" i="297"/>
  <c r="S4" i="220"/>
  <c r="S4" i="221"/>
  <c r="U3" i="230"/>
  <c r="U3" i="228"/>
  <c r="U3" i="307"/>
  <c r="U3" i="308"/>
  <c r="U3" i="306"/>
  <c r="U3" i="229"/>
  <c r="Y2" i="311"/>
  <c r="Y2" i="309"/>
  <c r="Y2" i="310"/>
  <c r="Y2" i="232"/>
  <c r="Y2" i="233"/>
  <c r="Y2" i="231"/>
  <c r="D4" i="302"/>
  <c r="D4" i="222"/>
  <c r="D4" i="223"/>
  <c r="D4" i="224"/>
  <c r="D4" i="301"/>
  <c r="D4" i="300"/>
  <c r="N3" i="301"/>
  <c r="N3" i="302"/>
  <c r="N3" i="300"/>
  <c r="N3" i="224"/>
  <c r="N3" i="222"/>
  <c r="N3" i="223"/>
  <c r="N3" i="229"/>
  <c r="N3" i="307"/>
  <c r="N3" i="306"/>
  <c r="N3" i="308"/>
  <c r="N3" i="230"/>
  <c r="N3" i="228"/>
  <c r="H3" i="182"/>
  <c r="H3" i="194"/>
  <c r="H3" i="195"/>
  <c r="D2" i="184"/>
  <c r="D2" i="201"/>
  <c r="D2" i="200"/>
  <c r="O2" i="196"/>
  <c r="O2" i="197"/>
  <c r="O2" i="183"/>
  <c r="S4" i="197"/>
  <c r="S4" i="183"/>
  <c r="S4" i="196"/>
  <c r="I2" i="185"/>
  <c r="I2" i="202"/>
  <c r="I2" i="203"/>
  <c r="W2" i="200"/>
  <c r="W2" i="184"/>
  <c r="W2" i="201"/>
  <c r="F3" i="200"/>
  <c r="F3" i="184"/>
  <c r="F3" i="201"/>
  <c r="U3" i="183"/>
  <c r="U3" i="196"/>
  <c r="U3" i="197"/>
  <c r="G4" i="197"/>
  <c r="G4" i="183"/>
  <c r="G4" i="196"/>
  <c r="W4" i="201"/>
  <c r="W4" i="200"/>
  <c r="W4" i="184"/>
  <c r="P4" i="196"/>
  <c r="P4" i="197"/>
  <c r="P4" i="183"/>
  <c r="W2" i="194"/>
  <c r="W2" i="182"/>
  <c r="W2" i="195"/>
  <c r="M2" i="297"/>
  <c r="M2" i="220"/>
  <c r="M2" i="221"/>
  <c r="M2" i="299"/>
  <c r="M2" i="298"/>
  <c r="M2" i="219"/>
  <c r="D4" i="182"/>
  <c r="D4" i="195"/>
  <c r="D4" i="194"/>
  <c r="E4" i="185"/>
  <c r="E4" i="202"/>
  <c r="E4" i="203"/>
  <c r="U4" i="196"/>
  <c r="U4" i="197"/>
  <c r="U4" i="183"/>
  <c r="O4" i="183"/>
  <c r="O4" i="197"/>
  <c r="O4" i="196"/>
  <c r="Y4" i="194"/>
  <c r="Y4" i="195"/>
  <c r="Y4" i="182"/>
  <c r="L4" i="184"/>
  <c r="L4" i="201"/>
  <c r="L4" i="200"/>
  <c r="Q4" i="182"/>
  <c r="Q4" i="194"/>
  <c r="Q4" i="195"/>
  <c r="M2" i="200"/>
  <c r="M2" i="184"/>
  <c r="M2" i="201"/>
  <c r="K2" i="203"/>
  <c r="K2" i="185"/>
  <c r="K2" i="202"/>
  <c r="B3" i="183"/>
  <c r="B3" i="197"/>
  <c r="B3" i="196"/>
  <c r="F3" i="203"/>
  <c r="F3" i="202"/>
  <c r="F3" i="185"/>
  <c r="G4" i="202"/>
  <c r="G4" i="203"/>
  <c r="G4" i="185"/>
  <c r="W2" i="203"/>
  <c r="W2" i="202"/>
  <c r="W2" i="185"/>
  <c r="Q2" i="197"/>
  <c r="Q2" i="183"/>
  <c r="Q2" i="196"/>
  <c r="V4" i="201"/>
  <c r="V4" i="184"/>
  <c r="V4" i="200"/>
  <c r="V2" i="203"/>
  <c r="V2" i="185"/>
  <c r="V2" i="202"/>
  <c r="X2" i="196"/>
  <c r="X2" i="197"/>
  <c r="X2" i="183"/>
  <c r="B2" i="197"/>
  <c r="B2" i="196"/>
  <c r="B2" i="183"/>
  <c r="P4" i="299"/>
  <c r="P4" i="221"/>
  <c r="P4" i="219"/>
  <c r="P4" i="220"/>
  <c r="P4" i="297"/>
  <c r="P4" i="298"/>
  <c r="X3" i="298"/>
  <c r="X3" i="297"/>
  <c r="X3" i="221"/>
  <c r="X3" i="219"/>
  <c r="X3" i="220"/>
  <c r="X3" i="299"/>
  <c r="Y3" i="223"/>
  <c r="Y3" i="301"/>
  <c r="Y3" i="222"/>
  <c r="Y3" i="224"/>
  <c r="Y3" i="300"/>
  <c r="Y3" i="302"/>
  <c r="W2" i="299"/>
  <c r="W2" i="297"/>
  <c r="W2" i="220"/>
  <c r="W2" i="298"/>
  <c r="W2" i="221"/>
  <c r="W2" i="219"/>
  <c r="D2" i="302"/>
  <c r="D2" i="300"/>
  <c r="D2" i="301"/>
  <c r="D2" i="223"/>
  <c r="D2" i="222"/>
  <c r="D2" i="224"/>
  <c r="B2" i="228"/>
  <c r="B2" i="229"/>
  <c r="B2" i="307"/>
  <c r="B2" i="308"/>
  <c r="B2" i="230"/>
  <c r="B2" i="306"/>
  <c r="L3" i="301"/>
  <c r="L3" i="302"/>
  <c r="L3" i="300"/>
  <c r="L3" i="222"/>
  <c r="L3" i="223"/>
  <c r="L3" i="224"/>
  <c r="X4" i="300"/>
  <c r="X4" i="301"/>
  <c r="X4" i="223"/>
  <c r="X4" i="224"/>
  <c r="X4" i="302"/>
  <c r="X4" i="222"/>
  <c r="F3" i="311"/>
  <c r="F3" i="309"/>
  <c r="F3" i="231"/>
  <c r="F3" i="232"/>
  <c r="F3" i="233"/>
  <c r="F3" i="310"/>
  <c r="I4" i="233"/>
  <c r="I4" i="309"/>
  <c r="I4" i="310"/>
  <c r="I4" i="231"/>
  <c r="I4" i="232"/>
  <c r="I4" i="311"/>
  <c r="C4" i="306"/>
  <c r="C4" i="307"/>
  <c r="C4" i="228"/>
  <c r="C4" i="229"/>
  <c r="C4" i="308"/>
  <c r="C4" i="230"/>
  <c r="X4" i="311"/>
  <c r="X4" i="309"/>
  <c r="X4" i="310"/>
  <c r="X4" i="233"/>
  <c r="X4" i="231"/>
  <c r="X4" i="232"/>
  <c r="I2" i="311"/>
  <c r="I2" i="309"/>
  <c r="I2" i="310"/>
  <c r="I2" i="231"/>
  <c r="I2" i="232"/>
  <c r="I2" i="233"/>
  <c r="J3" i="224"/>
  <c r="J3" i="223"/>
  <c r="J3" i="301"/>
  <c r="J3" i="300"/>
  <c r="J3" i="302"/>
  <c r="J3" i="222"/>
  <c r="H2" i="301"/>
  <c r="H2" i="224"/>
  <c r="H2" i="300"/>
  <c r="H2" i="223"/>
  <c r="H2" i="222"/>
  <c r="H2" i="302"/>
  <c r="L2" i="300"/>
  <c r="L2" i="302"/>
  <c r="L2" i="224"/>
  <c r="L2" i="222"/>
  <c r="L2" i="301"/>
  <c r="L2" i="223"/>
  <c r="I2" i="298"/>
  <c r="I2" i="219"/>
  <c r="I2" i="220"/>
  <c r="I2" i="221"/>
  <c r="I2" i="299"/>
  <c r="I2" i="297"/>
  <c r="E4" i="302"/>
  <c r="E4" i="223"/>
  <c r="E4" i="224"/>
  <c r="E4" i="222"/>
  <c r="E4" i="301"/>
  <c r="E4" i="300"/>
  <c r="Y4" i="196"/>
  <c r="Y4" i="183"/>
  <c r="Y4" i="197"/>
  <c r="X3" i="194"/>
  <c r="X3" i="182"/>
  <c r="X3" i="195"/>
  <c r="F4" i="196"/>
  <c r="F4" i="183"/>
  <c r="F4" i="197"/>
  <c r="C3" i="300"/>
  <c r="C3" i="302"/>
  <c r="C3" i="301"/>
  <c r="C3" i="224"/>
  <c r="C3" i="222"/>
  <c r="C3" i="223"/>
  <c r="U2" i="311"/>
  <c r="U2" i="232"/>
  <c r="U2" i="233"/>
  <c r="U2" i="309"/>
  <c r="U2" i="231"/>
  <c r="U2" i="310"/>
  <c r="V2" i="310"/>
  <c r="V2" i="233"/>
  <c r="V2" i="231"/>
  <c r="V2" i="311"/>
  <c r="V2" i="309"/>
  <c r="V2" i="232"/>
  <c r="N4" i="302"/>
  <c r="N4" i="300"/>
  <c r="N4" i="301"/>
  <c r="N4" i="224"/>
  <c r="N4" i="223"/>
  <c r="N4" i="222"/>
  <c r="C2" i="201"/>
  <c r="C2" i="184"/>
  <c r="C2" i="200"/>
  <c r="Q4" i="302"/>
  <c r="Q4" i="222"/>
  <c r="Q4" i="224"/>
  <c r="Q4" i="300"/>
  <c r="Q4" i="301"/>
  <c r="Q4" i="223"/>
  <c r="N3" i="183"/>
  <c r="N3" i="196"/>
  <c r="N3" i="197"/>
  <c r="L4" i="197"/>
  <c r="L4" i="196"/>
  <c r="L4" i="183"/>
  <c r="M2" i="182"/>
  <c r="M2" i="194"/>
  <c r="M2" i="195"/>
  <c r="G2" i="224"/>
  <c r="G2" i="222"/>
  <c r="G2" i="300"/>
  <c r="G2" i="301"/>
  <c r="G2" i="302"/>
  <c r="G2" i="223"/>
  <c r="Q3" i="220"/>
  <c r="Q3" i="221"/>
  <c r="Q3" i="299"/>
  <c r="Q3" i="297"/>
  <c r="Q3" i="298"/>
  <c r="Q3" i="219"/>
  <c r="K4" i="182"/>
  <c r="K4" i="195"/>
  <c r="K4" i="194"/>
  <c r="M4" i="196"/>
  <c r="M4" i="183"/>
  <c r="M4" i="197"/>
  <c r="T3" i="203"/>
  <c r="T3" i="202"/>
  <c r="T3" i="185"/>
  <c r="C3" i="309"/>
  <c r="C3" i="233"/>
  <c r="C3" i="311"/>
  <c r="C3" i="231"/>
  <c r="C3" i="232"/>
  <c r="C3" i="310"/>
  <c r="W3" i="231"/>
  <c r="W3" i="232"/>
  <c r="W3" i="309"/>
  <c r="W3" i="311"/>
  <c r="W3" i="310"/>
  <c r="W3" i="233"/>
  <c r="R3" i="232"/>
  <c r="R3" i="231"/>
  <c r="R3" i="233"/>
  <c r="R3" i="309"/>
  <c r="R3" i="310"/>
  <c r="R3" i="311"/>
  <c r="V2" i="301"/>
  <c r="V2" i="302"/>
  <c r="V2" i="300"/>
  <c r="V2" i="222"/>
  <c r="V2" i="223"/>
  <c r="V2" i="224"/>
  <c r="U4" i="297"/>
  <c r="U4" i="219"/>
  <c r="U4" i="299"/>
  <c r="U4" i="220"/>
  <c r="U4" i="221"/>
  <c r="U4" i="298"/>
  <c r="S3" i="224"/>
  <c r="S3" i="222"/>
  <c r="S3" i="302"/>
  <c r="S3" i="301"/>
  <c r="S3" i="300"/>
  <c r="S3" i="223"/>
  <c r="G3" i="220"/>
  <c r="G3" i="219"/>
  <c r="G3" i="297"/>
  <c r="G3" i="221"/>
  <c r="G3" i="299"/>
  <c r="G3" i="298"/>
  <c r="Y3" i="298"/>
  <c r="Y3" i="299"/>
  <c r="Y3" i="297"/>
  <c r="Y3" i="220"/>
  <c r="Y3" i="219"/>
  <c r="Y3" i="221"/>
  <c r="I2" i="306"/>
  <c r="I2" i="229"/>
  <c r="I2" i="308"/>
  <c r="I2" i="228"/>
  <c r="I2" i="230"/>
  <c r="I2" i="307"/>
  <c r="T4" i="220"/>
  <c r="T4" i="221"/>
  <c r="T4" i="297"/>
  <c r="T4" i="299"/>
  <c r="T4" i="298"/>
  <c r="T4" i="219"/>
  <c r="I4" i="229"/>
  <c r="I4" i="228"/>
  <c r="I4" i="308"/>
  <c r="I4" i="230"/>
  <c r="I4" i="307"/>
  <c r="I4" i="306"/>
  <c r="W2" i="310"/>
  <c r="W2" i="311"/>
  <c r="W2" i="309"/>
  <c r="W2" i="232"/>
  <c r="W2" i="233"/>
  <c r="W2" i="231"/>
  <c r="G3" i="308"/>
  <c r="G3" i="228"/>
  <c r="G3" i="306"/>
  <c r="G3" i="307"/>
  <c r="G3" i="229"/>
  <c r="G3" i="230"/>
  <c r="F3" i="228"/>
  <c r="F3" i="229"/>
  <c r="F3" i="308"/>
  <c r="F3" i="306"/>
  <c r="F3" i="307"/>
  <c r="F3" i="230"/>
  <c r="T2" i="219"/>
  <c r="T2" i="297"/>
  <c r="T2" i="298"/>
  <c r="T2" i="221"/>
  <c r="T2" i="220"/>
  <c r="T2" i="299"/>
  <c r="I4" i="299"/>
  <c r="I4" i="297"/>
  <c r="I4" i="219"/>
  <c r="I4" i="220"/>
  <c r="I4" i="298"/>
  <c r="I4" i="221"/>
  <c r="R2" i="310"/>
  <c r="R2" i="311"/>
  <c r="R2" i="309"/>
  <c r="R2" i="232"/>
  <c r="R2" i="231"/>
  <c r="R2" i="233"/>
  <c r="L2" i="228"/>
  <c r="L2" i="229"/>
  <c r="L2" i="307"/>
  <c r="L2" i="306"/>
  <c r="L2" i="230"/>
  <c r="L2" i="308"/>
  <c r="U3" i="203"/>
  <c r="U3" i="185"/>
  <c r="U3" i="202"/>
  <c r="W3" i="194"/>
  <c r="W3" i="182"/>
  <c r="W3" i="195"/>
  <c r="H2" i="200"/>
  <c r="H2" i="184"/>
  <c r="H2" i="201"/>
  <c r="L2" i="200"/>
  <c r="L2" i="184"/>
  <c r="L2" i="201"/>
  <c r="T4" i="197"/>
  <c r="T4" i="183"/>
  <c r="T4" i="196"/>
  <c r="S2" i="201"/>
  <c r="S2" i="184"/>
  <c r="S2" i="200"/>
  <c r="T2" i="231"/>
  <c r="T2" i="311"/>
  <c r="T2" i="310"/>
  <c r="T2" i="232"/>
  <c r="T2" i="233"/>
  <c r="T2" i="309"/>
  <c r="D2" i="311"/>
  <c r="D2" i="231"/>
  <c r="D2" i="232"/>
  <c r="D2" i="233"/>
  <c r="D2" i="310"/>
  <c r="D2" i="309"/>
  <c r="H3" i="230"/>
  <c r="H3" i="308"/>
  <c r="H3" i="306"/>
  <c r="H3" i="307"/>
  <c r="H3" i="228"/>
  <c r="H3" i="229"/>
  <c r="R3" i="220"/>
  <c r="R3" i="299"/>
  <c r="R3" i="298"/>
  <c r="R3" i="297"/>
  <c r="R3" i="221"/>
  <c r="R3" i="219"/>
  <c r="M4" i="302"/>
  <c r="M4" i="222"/>
  <c r="M4" i="224"/>
  <c r="M4" i="301"/>
  <c r="M4" i="300"/>
  <c r="M4" i="223"/>
  <c r="W2" i="300"/>
  <c r="W2" i="301"/>
  <c r="W2" i="302"/>
  <c r="W2" i="223"/>
  <c r="W2" i="224"/>
  <c r="W2" i="222"/>
  <c r="H4" i="311"/>
  <c r="H4" i="233"/>
  <c r="H4" i="232"/>
  <c r="H4" i="309"/>
  <c r="H4" i="310"/>
  <c r="H4" i="231"/>
  <c r="H4" i="220"/>
  <c r="H4" i="219"/>
  <c r="H4" i="299"/>
  <c r="H4" i="297"/>
  <c r="H4" i="298"/>
  <c r="H4" i="221"/>
  <c r="M3" i="231"/>
  <c r="M3" i="311"/>
  <c r="M3" i="309"/>
  <c r="M3" i="232"/>
  <c r="M3" i="233"/>
  <c r="M3" i="310"/>
  <c r="N3" i="221"/>
  <c r="N3" i="219"/>
  <c r="N3" i="299"/>
  <c r="N3" i="297"/>
  <c r="N3" i="298"/>
  <c r="N3" i="220"/>
  <c r="P4" i="222"/>
  <c r="P4" i="223"/>
  <c r="P4" i="302"/>
  <c r="P4" i="301"/>
  <c r="P4" i="300"/>
  <c r="P4" i="224"/>
  <c r="H2" i="230"/>
  <c r="H2" i="308"/>
  <c r="H2" i="306"/>
  <c r="H2" i="307"/>
  <c r="H2" i="228"/>
  <c r="H2" i="229"/>
  <c r="I2" i="302"/>
  <c r="I2" i="223"/>
  <c r="I2" i="224"/>
  <c r="I2" i="301"/>
  <c r="I2" i="300"/>
  <c r="I2" i="222"/>
  <c r="C2" i="228"/>
  <c r="C2" i="230"/>
  <c r="C2" i="307"/>
  <c r="C2" i="306"/>
  <c r="C2" i="308"/>
  <c r="C2" i="229"/>
  <c r="G4" i="311"/>
  <c r="G4" i="309"/>
  <c r="G4" i="310"/>
  <c r="G4" i="233"/>
  <c r="G4" i="231"/>
  <c r="G4" i="232"/>
  <c r="E3" i="299"/>
  <c r="E3" i="219"/>
  <c r="E3" i="297"/>
  <c r="E3" i="220"/>
  <c r="E3" i="298"/>
  <c r="E3" i="221"/>
  <c r="X3" i="232"/>
  <c r="X3" i="231"/>
  <c r="X3" i="233"/>
  <c r="X3" i="309"/>
  <c r="X3" i="310"/>
  <c r="X3" i="311"/>
  <c r="Y3" i="308"/>
  <c r="Y3" i="306"/>
  <c r="Y3" i="307"/>
  <c r="Y3" i="228"/>
  <c r="Y3" i="229"/>
  <c r="Y3" i="230"/>
  <c r="B3" i="200"/>
  <c r="B3" i="201"/>
  <c r="B3" i="184"/>
  <c r="Q3" i="196"/>
  <c r="Q3" i="197"/>
  <c r="Q3" i="183"/>
  <c r="H2" i="197"/>
  <c r="H2" i="183"/>
  <c r="H2" i="196"/>
  <c r="K2" i="196"/>
  <c r="K2" i="183"/>
  <c r="K2" i="197"/>
  <c r="T2" i="307"/>
  <c r="T2" i="308"/>
  <c r="T2" i="306"/>
  <c r="T2" i="229"/>
  <c r="T2" i="230"/>
  <c r="T2" i="228"/>
  <c r="T4" i="311"/>
  <c r="T4" i="310"/>
  <c r="T4" i="309"/>
  <c r="T4" i="232"/>
  <c r="T4" i="233"/>
  <c r="T4" i="231"/>
  <c r="R3" i="185"/>
  <c r="R3" i="202"/>
  <c r="R3" i="203"/>
  <c r="S3" i="195"/>
  <c r="S3" i="182"/>
  <c r="S3" i="194"/>
  <c r="K4" i="201"/>
  <c r="K4" i="200"/>
  <c r="K4" i="184"/>
  <c r="N3" i="185"/>
  <c r="N3" i="203"/>
  <c r="N3" i="202"/>
  <c r="Q4" i="184"/>
  <c r="Q4" i="201"/>
  <c r="Q4" i="200"/>
  <c r="O4" i="302"/>
  <c r="O4" i="301"/>
  <c r="O4" i="300"/>
  <c r="O4" i="224"/>
  <c r="O4" i="222"/>
  <c r="O4" i="223"/>
  <c r="P3" i="298"/>
  <c r="P3" i="221"/>
  <c r="P3" i="297"/>
  <c r="P3" i="299"/>
  <c r="P3" i="219"/>
  <c r="P3" i="220"/>
  <c r="R2" i="203"/>
  <c r="R2" i="185"/>
  <c r="R2" i="202"/>
  <c r="D4" i="185"/>
  <c r="D4" i="202"/>
  <c r="D4" i="203"/>
  <c r="V2" i="195"/>
  <c r="V2" i="182"/>
  <c r="V2" i="194"/>
  <c r="Y3" i="194"/>
  <c r="Y3" i="182"/>
  <c r="Y3" i="195"/>
  <c r="K4" i="183"/>
  <c r="K4" i="197"/>
  <c r="K4" i="196"/>
  <c r="S2" i="195"/>
  <c r="S2" i="182"/>
  <c r="S2" i="194"/>
  <c r="R3" i="196"/>
  <c r="R3" i="183"/>
  <c r="R3" i="197"/>
  <c r="S3" i="203"/>
  <c r="S3" i="202"/>
  <c r="S3" i="185"/>
  <c r="X3" i="203"/>
  <c r="X3" i="185"/>
  <c r="X3" i="202"/>
  <c r="B3" i="202"/>
  <c r="B3" i="203"/>
  <c r="B3" i="185"/>
  <c r="X4" i="194"/>
  <c r="X4" i="182"/>
  <c r="X4" i="195"/>
  <c r="I2" i="182"/>
  <c r="I2" i="194"/>
  <c r="I2" i="195"/>
  <c r="L4" i="195"/>
  <c r="L4" i="182"/>
  <c r="L4" i="194"/>
  <c r="P4" i="203"/>
  <c r="P4" i="202"/>
  <c r="P4" i="185"/>
  <c r="X3" i="197"/>
  <c r="X3" i="183"/>
  <c r="X3" i="196"/>
  <c r="U2" i="197"/>
  <c r="U2" i="183"/>
  <c r="U2" i="196"/>
  <c r="R4" i="183"/>
  <c r="R4" i="197"/>
  <c r="R4" i="196"/>
  <c r="N3" i="184"/>
  <c r="N3" i="201"/>
  <c r="N3" i="200"/>
  <c r="Y2" i="184"/>
  <c r="Y2" i="200"/>
  <c r="Y2" i="201"/>
  <c r="B2" i="203"/>
  <c r="B2" i="185"/>
  <c r="B2" i="202"/>
  <c r="E4" i="194"/>
  <c r="E4" i="182"/>
  <c r="E4" i="195"/>
  <c r="T4" i="194"/>
  <c r="T4" i="195"/>
  <c r="T4" i="182"/>
  <c r="C4" i="182"/>
  <c r="C4" i="195"/>
  <c r="C4" i="194"/>
  <c r="I2" i="183"/>
  <c r="I2" i="197"/>
  <c r="I2" i="196"/>
  <c r="M3" i="184"/>
  <c r="M3" i="200"/>
  <c r="M3" i="201"/>
  <c r="E4" i="308"/>
  <c r="E4" i="306"/>
  <c r="E4" i="307"/>
  <c r="E4" i="230"/>
  <c r="E4" i="229"/>
  <c r="E4" i="228"/>
  <c r="I3" i="306"/>
  <c r="I3" i="307"/>
  <c r="I3" i="308"/>
  <c r="I3" i="228"/>
  <c r="I3" i="229"/>
  <c r="I3" i="230"/>
  <c r="R4" i="223"/>
  <c r="R4" i="222"/>
  <c r="R4" i="224"/>
  <c r="R4" i="300"/>
  <c r="R4" i="301"/>
  <c r="R4" i="302"/>
  <c r="L4" i="298"/>
  <c r="L4" i="299"/>
  <c r="L4" i="221"/>
  <c r="L4" i="297"/>
  <c r="L4" i="220"/>
  <c r="L4" i="219"/>
  <c r="Q2" i="308"/>
  <c r="Q2" i="306"/>
  <c r="Q2" i="307"/>
  <c r="Q2" i="228"/>
  <c r="Q2" i="229"/>
  <c r="Q2" i="230"/>
  <c r="W4" i="297"/>
  <c r="W4" i="220"/>
  <c r="W4" i="221"/>
  <c r="W4" i="219"/>
  <c r="W4" i="298"/>
  <c r="W4" i="299"/>
  <c r="K4" i="223"/>
  <c r="K4" i="302"/>
  <c r="K4" i="300"/>
  <c r="K4" i="301"/>
  <c r="K4" i="224"/>
  <c r="K4" i="222"/>
  <c r="O4" i="219"/>
  <c r="O4" i="221"/>
  <c r="O4" i="220"/>
  <c r="O4" i="299"/>
  <c r="O4" i="297"/>
  <c r="O4" i="298"/>
  <c r="N4" i="310"/>
  <c r="N4" i="309"/>
  <c r="N4" i="233"/>
  <c r="N4" i="311"/>
  <c r="N4" i="231"/>
  <c r="N4" i="232"/>
  <c r="Q3" i="300"/>
  <c r="Q3" i="302"/>
  <c r="Q3" i="301"/>
  <c r="Q3" i="223"/>
  <c r="Q3" i="224"/>
  <c r="Q3" i="222"/>
  <c r="J4" i="222"/>
  <c r="J4" i="223"/>
  <c r="J4" i="224"/>
  <c r="J4" i="302"/>
  <c r="J4" i="301"/>
  <c r="J4" i="300"/>
  <c r="G4" i="301"/>
  <c r="G4" i="222"/>
  <c r="G4" i="223"/>
  <c r="G4" i="224"/>
  <c r="G4" i="302"/>
  <c r="G4" i="300"/>
  <c r="D3" i="297"/>
  <c r="D3" i="298"/>
  <c r="D3" i="299"/>
  <c r="D3" i="220"/>
  <c r="D3" i="221"/>
  <c r="D3" i="219"/>
  <c r="W2" i="230"/>
  <c r="W2" i="228"/>
  <c r="W2" i="229"/>
  <c r="W2" i="306"/>
  <c r="W2" i="308"/>
  <c r="W2" i="307"/>
  <c r="E4" i="231"/>
  <c r="E4" i="310"/>
  <c r="E4" i="309"/>
  <c r="E4" i="311"/>
  <c r="E4" i="233"/>
  <c r="E4" i="232"/>
  <c r="C3" i="221"/>
  <c r="C3" i="297"/>
  <c r="C3" i="299"/>
  <c r="C3" i="219"/>
  <c r="C3" i="220"/>
  <c r="C3" i="298"/>
  <c r="S3" i="310"/>
  <c r="S3" i="311"/>
  <c r="S3" i="231"/>
  <c r="S3" i="309"/>
  <c r="S3" i="233"/>
  <c r="S3" i="232"/>
  <c r="P3" i="308"/>
  <c r="P3" i="307"/>
  <c r="P3" i="306"/>
  <c r="P3" i="230"/>
  <c r="P3" i="229"/>
  <c r="P3" i="228"/>
  <c r="Y3" i="183"/>
  <c r="Y3" i="196"/>
  <c r="Y3" i="197"/>
  <c r="F2" i="307"/>
  <c r="F2" i="308"/>
  <c r="F2" i="306"/>
  <c r="F2" i="230"/>
  <c r="F2" i="228"/>
  <c r="F2" i="229"/>
  <c r="X4" i="200"/>
  <c r="X4" i="184"/>
  <c r="X4" i="201"/>
  <c r="O2" i="298"/>
  <c r="O2" i="299"/>
  <c r="O2" i="220"/>
  <c r="O2" i="297"/>
  <c r="O2" i="221"/>
  <c r="O2" i="219"/>
  <c r="N4" i="307"/>
  <c r="N4" i="229"/>
  <c r="N4" i="306"/>
  <c r="N4" i="308"/>
  <c r="N4" i="230"/>
  <c r="N4" i="228"/>
  <c r="D3" i="183"/>
  <c r="D3" i="196"/>
  <c r="D3" i="197"/>
  <c r="B2" i="184"/>
  <c r="B2" i="200"/>
  <c r="B2" i="201"/>
  <c r="G2" i="185"/>
  <c r="G2" i="202"/>
  <c r="G2" i="203"/>
  <c r="L3" i="309"/>
  <c r="L3" i="311"/>
  <c r="L3" i="310"/>
  <c r="L3" i="231"/>
  <c r="L3" i="233"/>
  <c r="L3" i="232"/>
  <c r="E4" i="197"/>
  <c r="E4" i="196"/>
  <c r="E4" i="183"/>
  <c r="S4" i="302"/>
  <c r="S4" i="301"/>
  <c r="S4" i="223"/>
  <c r="S4" i="224"/>
  <c r="S4" i="300"/>
  <c r="S4" i="222"/>
  <c r="N2" i="298"/>
  <c r="N2" i="297"/>
  <c r="N2" i="299"/>
  <c r="N2" i="220"/>
  <c r="N2" i="221"/>
  <c r="N2" i="219"/>
  <c r="B2" i="223"/>
  <c r="B2" i="301"/>
  <c r="B2" i="224"/>
  <c r="B2" i="302"/>
  <c r="B2" i="300"/>
  <c r="B2" i="222"/>
  <c r="Q4" i="197"/>
  <c r="Q4" i="183"/>
  <c r="Q4" i="196"/>
  <c r="M4" i="310"/>
  <c r="M4" i="309"/>
  <c r="M4" i="231"/>
  <c r="M4" i="311"/>
  <c r="M4" i="233"/>
  <c r="M4" i="232"/>
  <c r="V4" i="308"/>
  <c r="V4" i="230"/>
  <c r="V4" i="306"/>
  <c r="V4" i="307"/>
  <c r="V4" i="228"/>
  <c r="V4" i="229"/>
  <c r="O3" i="310"/>
  <c r="O3" i="311"/>
  <c r="O3" i="309"/>
  <c r="O3" i="233"/>
  <c r="O3" i="231"/>
  <c r="O3" i="232"/>
  <c r="C2" i="195"/>
  <c r="C2" i="182"/>
  <c r="C2" i="194"/>
  <c r="N4" i="201"/>
  <c r="N4" i="184"/>
  <c r="N4" i="200"/>
  <c r="P2" i="194"/>
  <c r="P2" i="195"/>
  <c r="P2" i="182"/>
  <c r="V4" i="183"/>
  <c r="V4" i="197"/>
  <c r="V4" i="196"/>
  <c r="U2" i="201"/>
  <c r="U2" i="184"/>
  <c r="U2" i="200"/>
  <c r="O4" i="185"/>
  <c r="O4" i="203"/>
  <c r="O4" i="202"/>
  <c r="O3" i="194"/>
  <c r="O3" i="195"/>
  <c r="O3" i="182"/>
  <c r="N4" i="195"/>
  <c r="N4" i="182"/>
  <c r="N4" i="194"/>
  <c r="X3" i="308"/>
  <c r="X3" i="307"/>
  <c r="X3" i="230"/>
  <c r="X3" i="306"/>
  <c r="X3" i="228"/>
  <c r="X3" i="229"/>
  <c r="B4" i="302"/>
  <c r="B4" i="301"/>
  <c r="B4" i="222"/>
  <c r="B4" i="223"/>
  <c r="B4" i="224"/>
  <c r="B4" i="300"/>
  <c r="P2" i="223"/>
  <c r="P2" i="222"/>
  <c r="P2" i="302"/>
  <c r="P2" i="300"/>
  <c r="P2" i="224"/>
  <c r="P2" i="301"/>
  <c r="B3" i="232"/>
  <c r="B3" i="309"/>
  <c r="B3" i="231"/>
  <c r="B3" i="310"/>
  <c r="B3" i="311"/>
  <c r="B3" i="233"/>
  <c r="X4" i="299"/>
  <c r="X4" i="298"/>
  <c r="X4" i="297"/>
  <c r="X4" i="219"/>
  <c r="X4" i="220"/>
  <c r="X4" i="221"/>
  <c r="W3" i="224"/>
  <c r="W3" i="223"/>
  <c r="W3" i="222"/>
  <c r="W3" i="301"/>
  <c r="W3" i="302"/>
  <c r="W3" i="300"/>
  <c r="M3" i="223"/>
  <c r="M3" i="224"/>
  <c r="M3" i="222"/>
  <c r="M3" i="302"/>
  <c r="M3" i="301"/>
  <c r="M3" i="300"/>
  <c r="X3" i="200"/>
  <c r="X3" i="201"/>
  <c r="X3" i="184"/>
  <c r="N2" i="197"/>
  <c r="N2" i="183"/>
  <c r="N2" i="196"/>
  <c r="Y3" i="185"/>
  <c r="Y3" i="203"/>
  <c r="Y3" i="202"/>
  <c r="W3" i="185"/>
  <c r="W3" i="202"/>
  <c r="W3" i="203"/>
  <c r="C4" i="196"/>
  <c r="C4" i="197"/>
  <c r="C4" i="183"/>
  <c r="H4" i="184"/>
  <c r="H4" i="201"/>
  <c r="H4" i="200"/>
  <c r="O4" i="184"/>
  <c r="O4" i="200"/>
  <c r="O4" i="201"/>
  <c r="R2" i="197"/>
  <c r="R2" i="196"/>
  <c r="R2" i="183"/>
  <c r="H4" i="197"/>
  <c r="H4" i="183"/>
  <c r="H4" i="196"/>
  <c r="S3" i="196"/>
  <c r="S3" i="183"/>
  <c r="S3" i="197"/>
  <c r="F4" i="195"/>
  <c r="F4" i="194"/>
  <c r="F4" i="182"/>
  <c r="I4" i="183"/>
  <c r="I4" i="196"/>
  <c r="I4" i="197"/>
  <c r="C2" i="197"/>
  <c r="C2" i="196"/>
  <c r="C2" i="183"/>
  <c r="Q4" i="185"/>
  <c r="Q4" i="203"/>
  <c r="Q4" i="202"/>
  <c r="U2" i="194"/>
  <c r="U2" i="182"/>
  <c r="U2" i="195"/>
  <c r="T3" i="182"/>
  <c r="T3" i="194"/>
  <c r="T3" i="195"/>
  <c r="L2" i="195"/>
  <c r="L2" i="182"/>
  <c r="L2" i="194"/>
  <c r="J2" i="196"/>
  <c r="J2" i="197"/>
  <c r="J2" i="183"/>
  <c r="U2" i="307"/>
  <c r="U2" i="308"/>
  <c r="U2" i="306"/>
  <c r="U2" i="229"/>
  <c r="U2" i="230"/>
  <c r="U2" i="228"/>
  <c r="B2" i="311"/>
  <c r="B2" i="232"/>
  <c r="B2" i="310"/>
  <c r="B2" i="309"/>
  <c r="B2" i="231"/>
  <c r="B2" i="233"/>
  <c r="H4" i="300"/>
  <c r="H4" i="301"/>
  <c r="H4" i="302"/>
  <c r="H4" i="224"/>
  <c r="H4" i="222"/>
  <c r="H4" i="223"/>
  <c r="D2" i="228"/>
  <c r="D2" i="229"/>
  <c r="D2" i="307"/>
  <c r="D2" i="308"/>
  <c r="D2" i="230"/>
  <c r="D2" i="306"/>
  <c r="L4" i="310"/>
  <c r="L4" i="309"/>
  <c r="L4" i="311"/>
  <c r="L4" i="233"/>
  <c r="L4" i="232"/>
  <c r="L4" i="231"/>
  <c r="B3" i="299"/>
  <c r="B3" i="298"/>
  <c r="B3" i="297"/>
  <c r="B3" i="221"/>
  <c r="B3" i="219"/>
  <c r="B3" i="220"/>
  <c r="U2" i="222"/>
  <c r="U2" i="300"/>
  <c r="U2" i="223"/>
  <c r="U2" i="302"/>
  <c r="U2" i="301"/>
  <c r="U2" i="224"/>
  <c r="F4" i="232"/>
  <c r="F4" i="309"/>
  <c r="F4" i="233"/>
  <c r="F4" i="311"/>
  <c r="F4" i="310"/>
  <c r="F4" i="231"/>
  <c r="K3" i="306"/>
  <c r="K3" i="308"/>
  <c r="K3" i="230"/>
  <c r="K3" i="229"/>
  <c r="K3" i="228"/>
  <c r="K3" i="307"/>
  <c r="R4" i="306"/>
  <c r="R4" i="229"/>
  <c r="R4" i="308"/>
  <c r="R4" i="307"/>
  <c r="R4" i="228"/>
  <c r="R4" i="230"/>
  <c r="I3" i="310"/>
  <c r="I3" i="309"/>
  <c r="I3" i="311"/>
  <c r="I3" i="231"/>
  <c r="I3" i="232"/>
  <c r="I3" i="233"/>
  <c r="C3" i="306"/>
  <c r="C3" i="307"/>
  <c r="C3" i="228"/>
  <c r="C3" i="230"/>
  <c r="C3" i="229"/>
  <c r="C3" i="308"/>
  <c r="P2" i="306"/>
  <c r="P2" i="230"/>
  <c r="P2" i="229"/>
  <c r="P2" i="307"/>
  <c r="P2" i="228"/>
  <c r="P2" i="308"/>
  <c r="O2" i="301"/>
  <c r="O2" i="302"/>
  <c r="O2" i="300"/>
  <c r="O2" i="223"/>
  <c r="O2" i="224"/>
  <c r="O2" i="222"/>
  <c r="K4" i="231"/>
  <c r="K4" i="310"/>
  <c r="K4" i="311"/>
  <c r="K4" i="309"/>
  <c r="K4" i="233"/>
  <c r="K4" i="232"/>
  <c r="M3" i="221"/>
  <c r="M3" i="219"/>
  <c r="M3" i="220"/>
  <c r="M3" i="298"/>
  <c r="M3" i="297"/>
  <c r="M3" i="299"/>
  <c r="X4" i="306"/>
  <c r="X4" i="308"/>
  <c r="X4" i="229"/>
  <c r="X4" i="307"/>
  <c r="X4" i="228"/>
  <c r="X4" i="230"/>
  <c r="S4" i="307"/>
  <c r="S4" i="308"/>
  <c r="S4" i="306"/>
  <c r="S4" i="229"/>
  <c r="S4" i="228"/>
  <c r="S4" i="230"/>
  <c r="G4" i="184"/>
  <c r="G4" i="200"/>
  <c r="G4" i="201"/>
  <c r="M3" i="194"/>
  <c r="M3" i="182"/>
  <c r="M3" i="195"/>
  <c r="S3" i="220"/>
  <c r="S3" i="221"/>
  <c r="S3" i="299"/>
  <c r="S3" i="297"/>
  <c r="S3" i="298"/>
  <c r="S3" i="219"/>
  <c r="M4" i="202"/>
  <c r="M4" i="203"/>
  <c r="M4" i="185"/>
  <c r="I3" i="197"/>
  <c r="I3" i="196"/>
  <c r="I3" i="183"/>
  <c r="E2" i="203"/>
  <c r="E2" i="185"/>
  <c r="E2" i="202"/>
  <c r="B2" i="194"/>
  <c r="B2" i="182"/>
  <c r="B2" i="195"/>
  <c r="J2" i="221"/>
  <c r="J2" i="219"/>
  <c r="J2" i="220"/>
  <c r="J2" i="299"/>
  <c r="J2" i="297"/>
  <c r="J2" i="298"/>
  <c r="N2" i="302"/>
  <c r="N2" i="300"/>
  <c r="N2" i="222"/>
  <c r="N2" i="223"/>
  <c r="N2" i="301"/>
  <c r="N2" i="224"/>
  <c r="M2" i="300"/>
  <c r="M2" i="224"/>
  <c r="M2" i="223"/>
  <c r="M2" i="302"/>
  <c r="M2" i="222"/>
  <c r="M2" i="301"/>
  <c r="R2" i="222"/>
  <c r="R2" i="302"/>
  <c r="R2" i="223"/>
  <c r="R2" i="300"/>
  <c r="R2" i="301"/>
  <c r="R2" i="224"/>
  <c r="X2" i="230"/>
  <c r="X2" i="228"/>
  <c r="X2" i="229"/>
  <c r="X2" i="306"/>
  <c r="X2" i="307"/>
  <c r="X2" i="308"/>
  <c r="R2" i="307"/>
  <c r="R2" i="308"/>
  <c r="R2" i="228"/>
  <c r="R2" i="229"/>
  <c r="R2" i="306"/>
  <c r="R2" i="230"/>
  <c r="G2" i="197"/>
  <c r="G2" i="183"/>
  <c r="G2" i="196"/>
  <c r="J2" i="200"/>
  <c r="J2" i="184"/>
  <c r="J2" i="201"/>
  <c r="P2" i="202"/>
  <c r="P2" i="203"/>
  <c r="P2" i="185"/>
  <c r="Q3" i="203"/>
  <c r="Q3" i="185"/>
  <c r="Q3" i="202"/>
  <c r="G3" i="311"/>
  <c r="G3" i="309"/>
  <c r="G3" i="310"/>
  <c r="G3" i="233"/>
  <c r="G3" i="231"/>
  <c r="G3" i="232"/>
  <c r="H4" i="307"/>
  <c r="H4" i="306"/>
  <c r="H4" i="229"/>
  <c r="H4" i="308"/>
  <c r="H4" i="228"/>
  <c r="H4" i="230"/>
  <c r="J3" i="306"/>
  <c r="J3" i="307"/>
  <c r="J3" i="308"/>
  <c r="J3" i="230"/>
  <c r="J3" i="228"/>
  <c r="J3" i="229"/>
  <c r="K2" i="182"/>
  <c r="K2" i="195"/>
  <c r="K2" i="194"/>
  <c r="X4" i="202"/>
  <c r="X4" i="185"/>
  <c r="X4" i="203"/>
  <c r="T4" i="184"/>
  <c r="T4" i="200"/>
  <c r="T4" i="201"/>
  <c r="N4" i="183"/>
  <c r="N4" i="196"/>
  <c r="N4" i="197"/>
  <c r="O3" i="203"/>
  <c r="O3" i="185"/>
  <c r="O3" i="202"/>
  <c r="I3" i="195"/>
  <c r="I3" i="182"/>
  <c r="I3" i="194"/>
  <c r="H2" i="299"/>
  <c r="H2" i="298"/>
  <c r="H2" i="297"/>
  <c r="H2" i="220"/>
  <c r="H2" i="221"/>
  <c r="H2" i="219"/>
  <c r="V3" i="309"/>
  <c r="V3" i="310"/>
  <c r="V3" i="231"/>
  <c r="V3" i="232"/>
  <c r="V3" i="233"/>
  <c r="V3" i="311"/>
  <c r="O2" i="195"/>
  <c r="O2" i="182"/>
  <c r="O2" i="194"/>
  <c r="C3" i="185"/>
  <c r="C3" i="203"/>
  <c r="C3" i="202"/>
  <c r="W3" i="196"/>
  <c r="W3" i="183"/>
  <c r="W3" i="197"/>
  <c r="D4" i="184"/>
  <c r="D4" i="201"/>
  <c r="D4" i="200"/>
  <c r="O3" i="201"/>
  <c r="O3" i="184"/>
  <c r="O3" i="200"/>
  <c r="D2" i="197"/>
  <c r="D2" i="183"/>
  <c r="D2" i="196"/>
  <c r="M4" i="194"/>
  <c r="M4" i="182"/>
  <c r="M4" i="195"/>
  <c r="B3" i="228"/>
  <c r="B3" i="230"/>
  <c r="B3" i="229"/>
  <c r="B3" i="307"/>
  <c r="B3" i="306"/>
  <c r="B3" i="308"/>
  <c r="G3" i="300"/>
  <c r="G3" i="302"/>
  <c r="G3" i="223"/>
  <c r="G3" i="224"/>
  <c r="G3" i="301"/>
  <c r="G3" i="222"/>
  <c r="L3" i="297"/>
  <c r="L3" i="219"/>
  <c r="L3" i="221"/>
  <c r="L3" i="220"/>
  <c r="L3" i="299"/>
  <c r="L3" i="298"/>
  <c r="V4" i="222"/>
  <c r="V4" i="300"/>
  <c r="V4" i="302"/>
  <c r="V4" i="224"/>
  <c r="V4" i="223"/>
  <c r="V4" i="301"/>
  <c r="N3" i="231"/>
  <c r="N3" i="233"/>
  <c r="N3" i="232"/>
  <c r="N3" i="309"/>
  <c r="N3" i="310"/>
  <c r="N3" i="311"/>
  <c r="H3" i="297"/>
  <c r="H3" i="219"/>
  <c r="H3" i="220"/>
  <c r="H3" i="221"/>
  <c r="H3" i="299"/>
  <c r="H3" i="298"/>
  <c r="L4" i="306"/>
  <c r="L4" i="307"/>
  <c r="L4" i="308"/>
  <c r="L4" i="228"/>
  <c r="L4" i="229"/>
  <c r="L4" i="230"/>
  <c r="O2" i="309"/>
  <c r="O2" i="310"/>
  <c r="O2" i="311"/>
  <c r="O2" i="232"/>
  <c r="O2" i="233"/>
  <c r="O2" i="231"/>
  <c r="W4" i="302"/>
  <c r="W4" i="300"/>
  <c r="W4" i="224"/>
  <c r="W4" i="223"/>
  <c r="W4" i="222"/>
  <c r="W4" i="301"/>
  <c r="V4" i="232"/>
  <c r="V4" i="311"/>
  <c r="V4" i="309"/>
  <c r="V4" i="233"/>
  <c r="V4" i="231"/>
  <c r="V4" i="310"/>
  <c r="I3" i="302"/>
  <c r="I3" i="300"/>
  <c r="I3" i="301"/>
  <c r="I3" i="224"/>
  <c r="I3" i="222"/>
  <c r="I3" i="223"/>
  <c r="J2" i="311"/>
  <c r="J2" i="310"/>
  <c r="J2" i="309"/>
  <c r="J2" i="232"/>
  <c r="J2" i="233"/>
  <c r="J2" i="231"/>
  <c r="V2" i="306"/>
  <c r="V2" i="308"/>
  <c r="V2" i="228"/>
  <c r="V2" i="229"/>
  <c r="V2" i="230"/>
  <c r="V2" i="307"/>
  <c r="K2" i="223"/>
  <c r="K2" i="302"/>
  <c r="K2" i="301"/>
  <c r="K2" i="300"/>
  <c r="K2" i="222"/>
  <c r="K2" i="224"/>
  <c r="F2" i="309"/>
  <c r="F2" i="310"/>
  <c r="F2" i="311"/>
  <c r="F2" i="233"/>
  <c r="F2" i="231"/>
  <c r="F2" i="232"/>
  <c r="E2" i="307"/>
  <c r="E2" i="306"/>
  <c r="E2" i="230"/>
  <c r="E2" i="228"/>
  <c r="E2" i="229"/>
  <c r="E2" i="308"/>
  <c r="T4" i="228"/>
  <c r="T4" i="229"/>
  <c r="T4" i="308"/>
  <c r="T4" i="307"/>
  <c r="T4" i="306"/>
  <c r="T4" i="230"/>
  <c r="S3" i="228"/>
  <c r="S3" i="307"/>
  <c r="S3" i="306"/>
  <c r="S3" i="308"/>
  <c r="S3" i="230"/>
  <c r="S3" i="229"/>
  <c r="K2" i="201"/>
  <c r="K2" i="184"/>
  <c r="K2" i="200"/>
  <c r="S2" i="197"/>
  <c r="S2" i="196"/>
  <c r="S2" i="183"/>
  <c r="K2" i="310"/>
  <c r="K2" i="311"/>
  <c r="K2" i="309"/>
  <c r="K2" i="233"/>
  <c r="K2" i="231"/>
  <c r="K2" i="232"/>
  <c r="C2" i="202"/>
  <c r="C2" i="185"/>
  <c r="C2" i="203"/>
  <c r="L3" i="194"/>
  <c r="L3" i="182"/>
  <c r="L3" i="195"/>
  <c r="V3" i="194"/>
  <c r="V3" i="195"/>
  <c r="V3" i="182"/>
  <c r="S3" i="200"/>
  <c r="S3" i="201"/>
  <c r="S3" i="184"/>
  <c r="U3" i="200"/>
  <c r="U3" i="184"/>
  <c r="U3" i="201"/>
  <c r="B4" i="202"/>
  <c r="B4" i="185"/>
  <c r="B4" i="203"/>
  <c r="K3" i="301"/>
  <c r="K3" i="300"/>
  <c r="K3" i="224"/>
  <c r="K3" i="222"/>
  <c r="K3" i="223"/>
  <c r="K3" i="302"/>
  <c r="L2" i="299"/>
  <c r="L2" i="297"/>
  <c r="L2" i="221"/>
  <c r="L2" i="298"/>
  <c r="L2" i="220"/>
  <c r="L2" i="219"/>
  <c r="G2" i="182"/>
  <c r="G2" i="194"/>
  <c r="G2" i="195"/>
  <c r="C4" i="200"/>
  <c r="C4" i="201"/>
  <c r="C4" i="184"/>
  <c r="J4" i="183"/>
  <c r="J4" i="197"/>
  <c r="J4" i="196"/>
  <c r="H3" i="310"/>
  <c r="H3" i="309"/>
  <c r="H3" i="232"/>
  <c r="H3" i="311"/>
  <c r="H3" i="233"/>
  <c r="H3" i="231"/>
  <c r="W3" i="298"/>
  <c r="W3" i="221"/>
  <c r="W3" i="219"/>
  <c r="W3" i="297"/>
  <c r="W3" i="299"/>
  <c r="W3" i="220"/>
  <c r="J4" i="299"/>
  <c r="J4" i="219"/>
  <c r="J4" i="298"/>
  <c r="J4" i="297"/>
  <c r="J4" i="220"/>
  <c r="J4" i="221"/>
  <c r="U4" i="306"/>
  <c r="U4" i="229"/>
  <c r="U4" i="230"/>
  <c r="U4" i="308"/>
  <c r="U4" i="307"/>
  <c r="U4" i="228"/>
  <c r="R2" i="219"/>
  <c r="R2" i="220"/>
  <c r="R2" i="298"/>
  <c r="R2" i="297"/>
  <c r="R2" i="221"/>
  <c r="R2" i="299"/>
  <c r="S4" i="203"/>
  <c r="S4" i="185"/>
  <c r="S4" i="202"/>
  <c r="P3" i="203"/>
  <c r="P3" i="202"/>
  <c r="P3" i="185"/>
  <c r="J3" i="201"/>
  <c r="J3" i="184"/>
  <c r="J3" i="200"/>
  <c r="E3" i="182"/>
  <c r="E3" i="194"/>
  <c r="E3" i="195"/>
  <c r="F3" i="302"/>
  <c r="F3" i="300"/>
  <c r="F3" i="301"/>
  <c r="F3" i="222"/>
  <c r="F3" i="223"/>
  <c r="F3" i="224"/>
  <c r="I3" i="202"/>
  <c r="I3" i="185"/>
  <c r="I3" i="203"/>
  <c r="T2" i="184"/>
  <c r="T2" i="201"/>
  <c r="T2" i="200"/>
  <c r="Y4" i="203"/>
  <c r="Y4" i="202"/>
  <c r="Y4" i="185"/>
  <c r="P3" i="194"/>
  <c r="P3" i="195"/>
  <c r="P3" i="182"/>
  <c r="C3" i="182"/>
  <c r="C3" i="194"/>
  <c r="C3" i="195"/>
  <c r="P4" i="201"/>
  <c r="P4" i="184"/>
  <c r="P4" i="200"/>
  <c r="X2" i="185"/>
  <c r="X2" i="203"/>
  <c r="X2" i="202"/>
  <c r="G2" i="201"/>
  <c r="G2" i="200"/>
  <c r="G2" i="184"/>
  <c r="J3" i="196"/>
  <c r="J3" i="183"/>
  <c r="J3" i="197"/>
  <c r="V3" i="196"/>
  <c r="V3" i="197"/>
  <c r="V3" i="183"/>
  <c r="E2" i="182"/>
  <c r="E2" i="195"/>
  <c r="E2" i="194"/>
  <c r="S2" i="300"/>
  <c r="S2" i="302"/>
  <c r="S2" i="224"/>
  <c r="S2" i="222"/>
  <c r="S2" i="223"/>
  <c r="S2" i="301"/>
  <c r="B2" i="297"/>
  <c r="B2" i="220"/>
  <c r="B2" i="219"/>
  <c r="B2" i="221"/>
  <c r="B2" i="299"/>
  <c r="B2" i="298"/>
  <c r="Q4" i="310"/>
  <c r="Q4" i="311"/>
  <c r="Q4" i="309"/>
  <c r="Q4" i="232"/>
  <c r="Q4" i="233"/>
  <c r="Q4" i="231"/>
  <c r="X2" i="309"/>
  <c r="X2" i="310"/>
  <c r="X2" i="311"/>
  <c r="X2" i="232"/>
  <c r="X2" i="233"/>
  <c r="X2" i="231"/>
  <c r="K2" i="306"/>
  <c r="K2" i="307"/>
  <c r="K2" i="308"/>
  <c r="K2" i="230"/>
  <c r="K2" i="228"/>
  <c r="K2" i="229"/>
  <c r="P3" i="309"/>
  <c r="P3" i="310"/>
  <c r="P3" i="231"/>
  <c r="P3" i="232"/>
  <c r="P3" i="233"/>
  <c r="P3" i="311"/>
  <c r="N2" i="308"/>
  <c r="N2" i="307"/>
  <c r="N2" i="306"/>
  <c r="N2" i="230"/>
  <c r="N2" i="228"/>
  <c r="N2" i="229"/>
  <c r="D4" i="307"/>
  <c r="D4" i="306"/>
  <c r="D4" i="308"/>
  <c r="D4" i="229"/>
  <c r="D4" i="230"/>
  <c r="D4" i="228"/>
  <c r="R3" i="201"/>
  <c r="R3" i="200"/>
  <c r="R3" i="184"/>
  <c r="B3" i="194"/>
  <c r="B3" i="195"/>
  <c r="B3" i="182"/>
  <c r="E3" i="222"/>
  <c r="E3" i="223"/>
  <c r="E3" i="300"/>
  <c r="E3" i="302"/>
  <c r="E3" i="301"/>
  <c r="E3" i="224"/>
  <c r="M2" i="197"/>
  <c r="M2" i="196"/>
  <c r="M2" i="183"/>
  <c r="Q4" i="297"/>
  <c r="Q4" i="299"/>
  <c r="Q4" i="221"/>
  <c r="Q4" i="298"/>
  <c r="Q4" i="219"/>
  <c r="Q4" i="220"/>
  <c r="K3" i="182"/>
  <c r="K3" i="194"/>
  <c r="K3" i="195"/>
  <c r="R3" i="302"/>
  <c r="R3" i="224"/>
  <c r="R3" i="222"/>
  <c r="R3" i="301"/>
  <c r="R3" i="300"/>
  <c r="R3" i="223"/>
  <c r="E3" i="310"/>
  <c r="E3" i="232"/>
  <c r="E3" i="311"/>
  <c r="E3" i="309"/>
  <c r="E3" i="233"/>
  <c r="E3" i="231"/>
  <c r="R4" i="182"/>
  <c r="R4" i="195"/>
  <c r="R4" i="194"/>
  <c r="W4" i="183"/>
  <c r="W4" i="197"/>
  <c r="W4" i="196"/>
  <c r="E2" i="201"/>
  <c r="E2" i="184"/>
  <c r="E2" i="200"/>
  <c r="U2" i="203"/>
  <c r="U2" i="185"/>
  <c r="U2" i="202"/>
  <c r="N4" i="203"/>
  <c r="N4" i="202"/>
  <c r="N4" i="185"/>
  <c r="H2" i="202"/>
  <c r="H2" i="203"/>
  <c r="H2" i="185"/>
  <c r="H4" i="203"/>
  <c r="H4" i="202"/>
  <c r="H4" i="185"/>
  <c r="D2" i="194"/>
  <c r="D2" i="195"/>
  <c r="D2" i="182"/>
  <c r="E3" i="196"/>
  <c r="E3" i="197"/>
  <c r="E3" i="183"/>
  <c r="P3" i="197"/>
  <c r="P3" i="183"/>
  <c r="P3" i="196"/>
  <c r="P4" i="231"/>
  <c r="P4" i="311"/>
  <c r="P4" i="309"/>
  <c r="P4" i="232"/>
  <c r="P4" i="233"/>
  <c r="P4" i="310"/>
  <c r="Y4" i="184"/>
  <c r="Y4" i="201"/>
  <c r="Y4" i="200"/>
  <c r="F4" i="201"/>
  <c r="F4" i="184"/>
  <c r="F4" i="200"/>
  <c r="B4" i="183"/>
  <c r="B4" i="196"/>
  <c r="B4" i="197"/>
  <c r="U4" i="202"/>
  <c r="U4" i="203"/>
  <c r="U4" i="185"/>
  <c r="T3" i="184"/>
  <c r="T3" i="201"/>
  <c r="T3" i="200"/>
  <c r="M3" i="183"/>
  <c r="M3" i="197"/>
  <c r="M3" i="196"/>
  <c r="Q3" i="184"/>
  <c r="Q3" i="201"/>
  <c r="Q3" i="200"/>
  <c r="P4" i="182"/>
  <c r="P4" i="195"/>
  <c r="P4" i="194"/>
  <c r="O4" i="194"/>
  <c r="O4" i="195"/>
  <c r="O4" i="182"/>
  <c r="S2" i="203"/>
  <c r="S2" i="185"/>
  <c r="S2" i="202"/>
  <c r="Y2" i="220"/>
  <c r="Y2" i="221"/>
  <c r="Y2" i="219"/>
  <c r="Y2" i="299"/>
  <c r="Y2" i="297"/>
  <c r="Y2" i="298"/>
  <c r="S4" i="311"/>
  <c r="S4" i="310"/>
  <c r="S4" i="309"/>
  <c r="S4" i="231"/>
  <c r="S4" i="232"/>
  <c r="S4" i="233"/>
  <c r="O3" i="222"/>
  <c r="O3" i="300"/>
  <c r="O3" i="301"/>
  <c r="O3" i="224"/>
  <c r="O3" i="223"/>
  <c r="O3" i="302"/>
  <c r="T3" i="230"/>
  <c r="T3" i="228"/>
  <c r="T3" i="307"/>
  <c r="T3" i="308"/>
  <c r="T3" i="306"/>
  <c r="T3" i="229"/>
  <c r="C3" i="184"/>
  <c r="C3" i="201"/>
  <c r="C3" i="200"/>
  <c r="J4" i="182"/>
  <c r="J4" i="194"/>
  <c r="J4" i="195"/>
  <c r="U4" i="195"/>
  <c r="U4" i="194"/>
  <c r="U4" i="182"/>
  <c r="I4" i="185"/>
  <c r="I4" i="203"/>
  <c r="I4" i="202"/>
  <c r="E3" i="184"/>
  <c r="E3" i="200"/>
  <c r="E3" i="201"/>
  <c r="M3" i="203"/>
  <c r="M3" i="185"/>
  <c r="M3" i="202"/>
  <c r="V4" i="203"/>
  <c r="V4" i="202"/>
  <c r="V4" i="185"/>
  <c r="J4" i="203"/>
  <c r="J4" i="202"/>
  <c r="J4" i="185"/>
  <c r="C4" i="301"/>
  <c r="C4" i="302"/>
  <c r="C4" i="300"/>
  <c r="C4" i="222"/>
  <c r="C4" i="224"/>
  <c r="C4" i="223"/>
  <c r="M3" i="306"/>
  <c r="M3" i="307"/>
  <c r="M3" i="230"/>
  <c r="M3" i="228"/>
  <c r="M3" i="229"/>
  <c r="M3" i="308"/>
  <c r="J2" i="222"/>
  <c r="J2" i="300"/>
  <c r="J2" i="302"/>
  <c r="J2" i="301"/>
  <c r="J2" i="224"/>
  <c r="J2" i="223"/>
  <c r="U3" i="232"/>
  <c r="U3" i="311"/>
  <c r="U3" i="309"/>
  <c r="U3" i="310"/>
  <c r="U3" i="231"/>
  <c r="U3" i="233"/>
  <c r="Q3" i="311"/>
  <c r="Q3" i="310"/>
  <c r="Q3" i="233"/>
  <c r="Q3" i="231"/>
  <c r="Q3" i="232"/>
  <c r="Q3" i="309"/>
  <c r="D3" i="231"/>
  <c r="D3" i="232"/>
  <c r="D3" i="311"/>
  <c r="D3" i="309"/>
  <c r="D3" i="310"/>
  <c r="D3" i="233"/>
  <c r="L3" i="230"/>
  <c r="L3" i="306"/>
  <c r="L3" i="308"/>
  <c r="L3" i="307"/>
  <c r="L3" i="228"/>
  <c r="L3" i="229"/>
  <c r="V4" i="297"/>
  <c r="V4" i="298"/>
  <c r="V4" i="220"/>
  <c r="V4" i="219"/>
  <c r="V4" i="221"/>
  <c r="V4" i="299"/>
  <c r="O2" i="230"/>
  <c r="O2" i="228"/>
  <c r="O2" i="229"/>
  <c r="O2" i="308"/>
  <c r="O2" i="306"/>
  <c r="O2" i="307"/>
  <c r="S2" i="298"/>
  <c r="S2" i="297"/>
  <c r="S2" i="299"/>
  <c r="S2" i="221"/>
  <c r="S2" i="219"/>
  <c r="S2" i="220"/>
  <c r="B3" i="302"/>
  <c r="B3" i="301"/>
  <c r="B3" i="300"/>
  <c r="B3" i="224"/>
  <c r="B3" i="222"/>
  <c r="B3" i="223"/>
  <c r="T3" i="233"/>
  <c r="T3" i="309"/>
  <c r="T3" i="231"/>
  <c r="T3" i="232"/>
  <c r="T3" i="311"/>
  <c r="T3" i="310"/>
  <c r="C4" i="298"/>
  <c r="C4" i="299"/>
  <c r="C4" i="297"/>
  <c r="C4" i="220"/>
  <c r="C4" i="219"/>
  <c r="C4" i="221"/>
  <c r="J2" i="307"/>
  <c r="J2" i="306"/>
  <c r="J2" i="308"/>
  <c r="J2" i="230"/>
  <c r="J2" i="228"/>
  <c r="J2" i="229"/>
  <c r="F2" i="223"/>
  <c r="F2" i="300"/>
  <c r="F2" i="302"/>
  <c r="F2" i="224"/>
  <c r="F2" i="222"/>
  <c r="F2" i="301"/>
  <c r="B4" i="308"/>
  <c r="B4" i="306"/>
  <c r="B4" i="307"/>
  <c r="B4" i="230"/>
  <c r="B4" i="228"/>
  <c r="B4" i="229"/>
  <c r="C4" i="310"/>
  <c r="C4" i="311"/>
  <c r="C4" i="309"/>
  <c r="C4" i="233"/>
  <c r="C4" i="231"/>
  <c r="C4" i="232"/>
  <c r="H2" i="194"/>
  <c r="H2" i="182"/>
  <c r="H2" i="195"/>
  <c r="P2" i="298"/>
  <c r="P2" i="297"/>
  <c r="P2" i="299"/>
  <c r="P2" i="221"/>
  <c r="P2" i="219"/>
  <c r="P2" i="220"/>
  <c r="W2" i="196"/>
  <c r="W2" i="197"/>
  <c r="W2" i="183"/>
  <c r="I2" i="184"/>
  <c r="I2" i="200"/>
  <c r="I2" i="201"/>
  <c r="V4" i="182"/>
  <c r="V4" i="195"/>
  <c r="V4" i="194"/>
  <c r="Y2" i="194"/>
  <c r="Y2" i="182"/>
  <c r="Y2" i="195"/>
  <c r="S4" i="200"/>
  <c r="S4" i="201"/>
  <c r="S4" i="184"/>
  <c r="Q2" i="203"/>
  <c r="Q2" i="185"/>
  <c r="Q2" i="202"/>
  <c r="U4" i="200"/>
  <c r="U4" i="201"/>
  <c r="U4" i="184"/>
  <c r="E3" i="229"/>
  <c r="E3" i="308"/>
  <c r="E3" i="306"/>
  <c r="E3" i="307"/>
  <c r="E3" i="228"/>
  <c r="E3" i="230"/>
  <c r="D4" i="309"/>
  <c r="D4" i="311"/>
  <c r="D4" i="310"/>
  <c r="D4" i="231"/>
  <c r="D4" i="232"/>
  <c r="D4" i="233"/>
  <c r="B4" i="311"/>
  <c r="B4" i="309"/>
  <c r="B4" i="233"/>
  <c r="B4" i="231"/>
  <c r="B4" i="232"/>
  <c r="B4" i="310"/>
  <c r="D2" i="220"/>
  <c r="D2" i="298"/>
  <c r="D2" i="297"/>
  <c r="D2" i="221"/>
  <c r="D2" i="219"/>
  <c r="D2" i="299"/>
  <c r="V3" i="200"/>
  <c r="V3" i="184"/>
  <c r="V3" i="201"/>
  <c r="E2" i="196"/>
  <c r="E2" i="197"/>
  <c r="E2" i="183"/>
  <c r="X2" i="195"/>
  <c r="X2" i="182"/>
  <c r="X2" i="194"/>
  <c r="H3" i="184"/>
  <c r="H3" i="200"/>
  <c r="H3" i="201"/>
  <c r="O3" i="197"/>
  <c r="O3" i="183"/>
  <c r="O3" i="196"/>
  <c r="E3" i="185"/>
  <c r="E3" i="203"/>
  <c r="E3" i="202"/>
  <c r="T2" i="182"/>
  <c r="T2" i="195"/>
  <c r="T2" i="194"/>
  <c r="V3" i="301"/>
  <c r="V3" i="302"/>
  <c r="V3" i="300"/>
  <c r="V3" i="224"/>
  <c r="V3" i="223"/>
  <c r="V3" i="222"/>
  <c r="F3" i="297"/>
  <c r="F3" i="298"/>
  <c r="F3" i="299"/>
  <c r="F3" i="221"/>
  <c r="F3" i="219"/>
  <c r="F3" i="220"/>
  <c r="Y4" i="311"/>
  <c r="Y4" i="309"/>
  <c r="Y4" i="310"/>
  <c r="Y4" i="232"/>
  <c r="Y4" i="233"/>
  <c r="Y4" i="231"/>
  <c r="D4" i="297"/>
  <c r="D4" i="298"/>
  <c r="D4" i="299"/>
  <c r="D4" i="220"/>
  <c r="D4" i="221"/>
  <c r="D4" i="219"/>
  <c r="Y2" i="301"/>
  <c r="Y2" i="302"/>
  <c r="Y2" i="224"/>
  <c r="Y2" i="223"/>
  <c r="Y2" i="222"/>
  <c r="Y2" i="300"/>
  <c r="B4" i="200"/>
  <c r="B4" i="201"/>
  <c r="B4" i="184"/>
  <c r="V2" i="183"/>
  <c r="V2" i="196"/>
  <c r="V2" i="197"/>
  <c r="G3" i="185"/>
  <c r="G3" i="202"/>
  <c r="G3" i="203"/>
  <c r="J3" i="203"/>
  <c r="J3" i="202"/>
  <c r="J3" i="185"/>
  <c r="C2" i="302"/>
  <c r="C2" i="301"/>
  <c r="C2" i="300"/>
  <c r="C2" i="224"/>
  <c r="C2" i="223"/>
  <c r="C2" i="222"/>
  <c r="L3" i="196"/>
  <c r="L3" i="197"/>
  <c r="L3" i="183"/>
  <c r="N2" i="195"/>
  <c r="N2" i="194"/>
  <c r="N2" i="182"/>
  <c r="I4" i="184"/>
  <c r="I4" i="201"/>
  <c r="I4" i="200"/>
  <c r="W3" i="184"/>
  <c r="W3" i="201"/>
  <c r="W3" i="200"/>
  <c r="F3" i="194"/>
  <c r="F3" i="182"/>
  <c r="F3" i="195"/>
  <c r="N3" i="194"/>
  <c r="N3" i="195"/>
  <c r="N3" i="182"/>
  <c r="K3" i="184"/>
  <c r="K3" i="200"/>
  <c r="K3" i="201"/>
  <c r="J2" i="194"/>
  <c r="J2" i="195"/>
  <c r="J2" i="182"/>
  <c r="L2" i="196"/>
  <c r="L2" i="197"/>
  <c r="L2" i="183"/>
  <c r="T2" i="196"/>
  <c r="T2" i="183"/>
  <c r="T2" i="197"/>
  <c r="T4" i="203"/>
  <c r="T4" i="202"/>
  <c r="T4" i="185"/>
  <c r="J2" i="202"/>
  <c r="J2" i="185"/>
  <c r="J2" i="203"/>
  <c r="F2" i="203"/>
  <c r="F2" i="185"/>
  <c r="F2" i="202"/>
  <c r="D3" i="203"/>
  <c r="D3" i="185"/>
  <c r="D3" i="202"/>
  <c r="X2" i="201"/>
  <c r="X2" i="200"/>
  <c r="X2" i="184"/>
  <c r="K4" i="202"/>
  <c r="K4" i="203"/>
  <c r="K4" i="185"/>
  <c r="E2" i="301"/>
  <c r="E2" i="222"/>
  <c r="E2" i="302"/>
  <c r="E2" i="224"/>
  <c r="E2" i="223"/>
  <c r="E2" i="300"/>
  <c r="L4" i="300"/>
  <c r="L4" i="222"/>
  <c r="L4" i="223"/>
  <c r="L4" i="302"/>
  <c r="L4" i="224"/>
  <c r="L4" i="301"/>
  <c r="J4" i="307"/>
  <c r="J4" i="308"/>
  <c r="J4" i="306"/>
  <c r="J4" i="230"/>
  <c r="J4" i="228"/>
  <c r="J4" i="229"/>
  <c r="P2" i="231"/>
  <c r="P2" i="232"/>
  <c r="P2" i="310"/>
  <c r="P2" i="311"/>
  <c r="P2" i="309"/>
  <c r="P2" i="233"/>
  <c r="L2" i="311"/>
  <c r="L2" i="309"/>
  <c r="L2" i="310"/>
  <c r="L2" i="233"/>
  <c r="L2" i="231"/>
  <c r="L2" i="232"/>
  <c r="K3" i="311"/>
  <c r="K3" i="233"/>
  <c r="K3" i="232"/>
  <c r="K3" i="309"/>
  <c r="K3" i="310"/>
  <c r="K3" i="231"/>
  <c r="G2" i="232"/>
  <c r="G2" i="311"/>
  <c r="G2" i="310"/>
  <c r="G2" i="233"/>
  <c r="G2" i="309"/>
  <c r="G2" i="231"/>
  <c r="Q4" i="308"/>
  <c r="Q4" i="306"/>
  <c r="Q4" i="230"/>
  <c r="Q4" i="228"/>
  <c r="Q4" i="229"/>
  <c r="Q4" i="307"/>
  <c r="G2" i="299"/>
  <c r="G2" i="220"/>
  <c r="G2" i="219"/>
  <c r="G2" i="297"/>
  <c r="G2" i="221"/>
  <c r="G2" i="298"/>
  <c r="S2" i="230"/>
  <c r="S2" i="228"/>
  <c r="S2" i="229"/>
  <c r="S2" i="306"/>
  <c r="S2" i="308"/>
  <c r="S2" i="307"/>
  <c r="M4" i="221"/>
  <c r="M4" i="219"/>
  <c r="M4" i="298"/>
  <c r="M4" i="299"/>
  <c r="M4" i="297"/>
  <c r="M4" i="220"/>
  <c r="X2" i="221"/>
  <c r="X2" i="299"/>
  <c r="X2" i="219"/>
  <c r="X2" i="297"/>
  <c r="X2" i="220"/>
  <c r="X2" i="298"/>
  <c r="E2" i="311"/>
  <c r="E2" i="233"/>
  <c r="E2" i="309"/>
  <c r="E2" i="231"/>
  <c r="E2" i="232"/>
  <c r="E2" i="310"/>
  <c r="R4" i="298"/>
  <c r="R4" i="219"/>
  <c r="R4" i="297"/>
  <c r="R4" i="299"/>
  <c r="R4" i="220"/>
  <c r="R4" i="221"/>
  <c r="P4" i="307"/>
  <c r="P4" i="228"/>
  <c r="P4" i="308"/>
  <c r="P4" i="306"/>
  <c r="P4" i="230"/>
  <c r="P4" i="229"/>
  <c r="U2" i="220"/>
  <c r="U2" i="297"/>
  <c r="U2" i="299"/>
  <c r="U2" i="298"/>
  <c r="U2" i="221"/>
  <c r="U2" i="219"/>
  <c r="T4" i="224"/>
  <c r="T4" i="300"/>
  <c r="T4" i="301"/>
  <c r="T4" i="302"/>
  <c r="T4" i="223"/>
  <c r="T4" i="222"/>
  <c r="O3" i="307"/>
  <c r="O3" i="230"/>
  <c r="O3" i="308"/>
  <c r="O3" i="228"/>
  <c r="O3" i="306"/>
  <c r="O3" i="229"/>
  <c r="W4" i="202"/>
  <c r="W4" i="185"/>
  <c r="W4" i="203"/>
  <c r="J3" i="182"/>
  <c r="J3" i="194"/>
  <c r="J3" i="195"/>
  <c r="R3" i="182"/>
  <c r="R3" i="195"/>
  <c r="R3" i="194"/>
  <c r="K2" i="219"/>
  <c r="K2" i="220"/>
  <c r="K2" i="221"/>
  <c r="K2" i="299"/>
  <c r="K2" i="297"/>
  <c r="K2" i="298"/>
  <c r="G3" i="195"/>
  <c r="G3" i="194"/>
  <c r="G3" i="182"/>
  <c r="M2" i="185"/>
  <c r="M2" i="203"/>
  <c r="M2" i="202"/>
  <c r="H4" i="195"/>
  <c r="H4" i="182"/>
  <c r="H4" i="194"/>
  <c r="Q3" i="194"/>
  <c r="Q3" i="182"/>
  <c r="Q3" i="195"/>
  <c r="R4" i="311"/>
  <c r="R4" i="309"/>
  <c r="R4" i="231"/>
  <c r="R4" i="233"/>
  <c r="R4" i="232"/>
  <c r="R4" i="310"/>
  <c r="H3" i="185"/>
  <c r="H3" i="202"/>
  <c r="H3" i="203"/>
  <c r="X2" i="223"/>
  <c r="X2" i="301"/>
  <c r="X2" i="302"/>
  <c r="X2" i="300"/>
  <c r="X2" i="222"/>
  <c r="X2" i="224"/>
  <c r="F2" i="194"/>
  <c r="F2" i="182"/>
  <c r="F2" i="195"/>
  <c r="O2" i="184"/>
  <c r="O2" i="200"/>
  <c r="O2" i="201"/>
  <c r="Q2" i="184"/>
  <c r="Q2" i="201"/>
  <c r="Q2" i="200"/>
  <c r="J4" i="200"/>
  <c r="J4" i="201"/>
  <c r="J4" i="184"/>
  <c r="P2" i="196"/>
  <c r="P2" i="197"/>
  <c r="P2" i="183"/>
  <c r="C3" i="196"/>
  <c r="C3" i="183"/>
  <c r="C3" i="197"/>
  <c r="T2" i="185"/>
  <c r="T2" i="202"/>
  <c r="T2" i="203"/>
  <c r="X4" i="197"/>
  <c r="X4" i="183"/>
  <c r="X4" i="196"/>
  <c r="H3" i="196"/>
  <c r="H3" i="183"/>
  <c r="H3" i="197"/>
  <c r="S4" i="182"/>
  <c r="S4" i="195"/>
  <c r="S4" i="194"/>
  <c r="D3" i="184"/>
  <c r="D3" i="200"/>
  <c r="D3" i="201"/>
  <c r="P3" i="201"/>
  <c r="P3" i="200"/>
  <c r="P3" i="184"/>
  <c r="Y3" i="201"/>
  <c r="Y3" i="200"/>
  <c r="Y3" i="184"/>
  <c r="G3" i="201"/>
  <c r="G3" i="184"/>
  <c r="G3" i="200"/>
  <c r="K3" i="197"/>
  <c r="K3" i="183"/>
  <c r="K3" i="196"/>
  <c r="D2" i="202"/>
  <c r="D2" i="185"/>
  <c r="D2" i="203"/>
  <c r="K3" i="185"/>
  <c r="K3" i="202"/>
  <c r="K3" i="203"/>
  <c r="W4" i="195"/>
  <c r="W4" i="194"/>
  <c r="W4" i="182"/>
  <c r="Y2" i="196"/>
  <c r="Y2" i="183"/>
  <c r="Y2" i="197"/>
  <c r="D3" i="194"/>
  <c r="D3" i="182"/>
  <c r="D3" i="195"/>
  <c r="L4" i="185"/>
  <c r="L4" i="202"/>
  <c r="L4" i="203"/>
  <c r="L3" i="184"/>
  <c r="L3" i="200"/>
  <c r="L3" i="201"/>
  <c r="O2" i="185"/>
  <c r="O2" i="202"/>
  <c r="O2" i="203"/>
  <c r="N2" i="185"/>
  <c r="N2" i="203"/>
  <c r="N2" i="202"/>
  <c r="T3" i="197"/>
  <c r="T3" i="183"/>
  <c r="T3" i="196"/>
  <c r="R2" i="200"/>
  <c r="R2" i="201"/>
  <c r="R2" i="184"/>
  <c r="I4" i="301"/>
  <c r="I4" i="222"/>
  <c r="I4" i="302"/>
  <c r="I4" i="300"/>
  <c r="I4" i="223"/>
  <c r="I4" i="224"/>
  <c r="P3" i="223"/>
  <c r="P3" i="301"/>
  <c r="P3" i="302"/>
  <c r="P3" i="224"/>
  <c r="P3" i="300"/>
  <c r="P3" i="222"/>
  <c r="T3" i="301"/>
  <c r="T3" i="224"/>
  <c r="T3" i="302"/>
  <c r="T3" i="223"/>
  <c r="T3" i="300"/>
  <c r="T3" i="222"/>
  <c r="G4" i="306"/>
  <c r="G4" i="307"/>
  <c r="G4" i="230"/>
  <c r="G4" i="308"/>
  <c r="G4" i="229"/>
  <c r="G4" i="228"/>
  <c r="M4" i="229"/>
  <c r="M4" i="308"/>
  <c r="M4" i="230"/>
  <c r="M4" i="228"/>
  <c r="M4" i="306"/>
  <c r="M4" i="307"/>
  <c r="M2" i="311"/>
  <c r="M2" i="309"/>
  <c r="M2" i="233"/>
  <c r="M2" i="231"/>
  <c r="M2" i="232"/>
  <c r="M2" i="310"/>
  <c r="S2" i="231"/>
  <c r="S2" i="232"/>
  <c r="S2" i="309"/>
  <c r="S2" i="310"/>
  <c r="S2" i="233"/>
  <c r="S2" i="311"/>
  <c r="Y4" i="307"/>
  <c r="Y4" i="306"/>
  <c r="Y4" i="230"/>
  <c r="Y4" i="228"/>
  <c r="Y4" i="229"/>
  <c r="Y4" i="308"/>
  <c r="E2" i="297"/>
  <c r="E2" i="299"/>
  <c r="E2" i="221"/>
  <c r="E2" i="219"/>
  <c r="E2" i="220"/>
  <c r="E2" i="298"/>
  <c r="J3" i="233"/>
  <c r="J3" i="232"/>
  <c r="J3" i="309"/>
  <c r="J3" i="310"/>
  <c r="J3" i="311"/>
  <c r="J3" i="231"/>
  <c r="K4" i="297"/>
  <c r="K4" i="299"/>
  <c r="K4" i="219"/>
  <c r="K4" i="221"/>
  <c r="K4" i="298"/>
  <c r="K4" i="220"/>
  <c r="V2" i="298"/>
  <c r="V2" i="219"/>
  <c r="V2" i="220"/>
  <c r="V2" i="299"/>
  <c r="V2" i="221"/>
  <c r="V2" i="297"/>
  <c r="F4" i="228"/>
  <c r="F4" i="230"/>
  <c r="F4" i="229"/>
  <c r="F4" i="306"/>
  <c r="F4" i="308"/>
  <c r="F4" i="307"/>
  <c r="Q2" i="298"/>
  <c r="Q2" i="297"/>
  <c r="Q2" i="299"/>
  <c r="Q2" i="220"/>
  <c r="Q2" i="219"/>
  <c r="Q2" i="221"/>
  <c r="G2" i="308"/>
  <c r="G2" i="230"/>
  <c r="G2" i="228"/>
  <c r="G2" i="306"/>
  <c r="G2" i="229"/>
  <c r="G2" i="307"/>
  <c r="V3" i="299"/>
  <c r="V3" i="221"/>
  <c r="V3" i="220"/>
  <c r="V3" i="297"/>
  <c r="V3" i="298"/>
  <c r="V3" i="219"/>
  <c r="H3" i="302"/>
  <c r="H3" i="300"/>
  <c r="H3" i="301"/>
  <c r="H3" i="224"/>
  <c r="H3" i="222"/>
  <c r="H3" i="223"/>
  <c r="W4" i="306"/>
  <c r="W4" i="230"/>
  <c r="W4" i="229"/>
  <c r="W4" i="307"/>
  <c r="W4" i="228"/>
  <c r="W4" i="308"/>
  <c r="G3" i="183"/>
  <c r="G3" i="196"/>
  <c r="G3" i="197"/>
  <c r="Y2" i="203"/>
  <c r="Y2" i="202"/>
  <c r="Y2" i="185"/>
  <c r="V3" i="185"/>
  <c r="V3" i="203"/>
  <c r="V3" i="202"/>
  <c r="F3" i="183"/>
  <c r="F3" i="196"/>
  <c r="F3" i="197"/>
  <c r="Q2" i="194"/>
  <c r="Q2" i="195"/>
  <c r="Q2" i="182"/>
  <c r="U3" i="195"/>
  <c r="U3" i="182"/>
  <c r="U3" i="194"/>
  <c r="R4" i="200"/>
  <c r="R4" i="184"/>
  <c r="R4" i="201"/>
  <c r="F2" i="200"/>
  <c r="F2" i="184"/>
  <c r="F2" i="201"/>
  <c r="E4" i="201"/>
  <c r="E4" i="200"/>
  <c r="E4" i="184"/>
  <c r="I3" i="200"/>
  <c r="I3" i="201"/>
  <c r="I3" i="184"/>
  <c r="C4" i="185"/>
  <c r="C4" i="202"/>
  <c r="C4" i="203"/>
  <c r="M4" i="200"/>
  <c r="M4" i="201"/>
  <c r="M4" i="184"/>
  <c r="E4" i="298"/>
  <c r="E4" i="219"/>
  <c r="E4" i="221"/>
  <c r="E4" i="220"/>
  <c r="E4" i="299"/>
  <c r="E4" i="297"/>
  <c r="B4" i="298"/>
  <c r="B4" i="299"/>
  <c r="B4" i="219"/>
  <c r="B4" i="221"/>
  <c r="B4" i="220"/>
  <c r="B4" i="297"/>
  <c r="I3" i="297"/>
  <c r="I3" i="221"/>
  <c r="I3" i="298"/>
  <c r="I3" i="220"/>
  <c r="I3" i="219"/>
  <c r="I3" i="299"/>
  <c r="D3" i="230"/>
  <c r="D3" i="308"/>
  <c r="D3" i="229"/>
  <c r="D3" i="306"/>
  <c r="D3" i="228"/>
  <c r="D3" i="307"/>
  <c r="M2" i="308"/>
  <c r="M2" i="229"/>
  <c r="M2" i="228"/>
  <c r="M2" i="230"/>
  <c r="M2" i="306"/>
  <c r="M2" i="307"/>
  <c r="J4" i="309"/>
  <c r="J4" i="232"/>
  <c r="J4" i="231"/>
  <c r="J4" i="233"/>
  <c r="J4" i="310"/>
  <c r="J4" i="311"/>
  <c r="R3" i="308"/>
  <c r="R3" i="229"/>
  <c r="R3" i="306"/>
  <c r="R3" i="230"/>
  <c r="R3" i="228"/>
  <c r="R3" i="307"/>
  <c r="X3" i="302"/>
  <c r="X3" i="301"/>
  <c r="X3" i="222"/>
  <c r="X3" i="300"/>
  <c r="X3" i="223"/>
  <c r="X3" i="224"/>
  <c r="Q3" i="306"/>
  <c r="Q3" i="307"/>
  <c r="Q3" i="230"/>
  <c r="Q3" i="308"/>
  <c r="Q3" i="228"/>
  <c r="Q3" i="229"/>
  <c r="D3" i="301"/>
  <c r="D3" i="224"/>
  <c r="D3" i="302"/>
  <c r="D3" i="300"/>
  <c r="D3" i="223"/>
  <c r="D3" i="222"/>
  <c r="U4" i="233"/>
  <c r="U4" i="311"/>
  <c r="U4" i="232"/>
  <c r="U4" i="310"/>
  <c r="U4" i="309"/>
  <c r="U4" i="231"/>
  <c r="Y3" i="232"/>
  <c r="Y3" i="311"/>
  <c r="Y3" i="231"/>
  <c r="Y3" i="233"/>
  <c r="Y3" i="310"/>
  <c r="Y3" i="309"/>
  <c r="W4" i="232"/>
  <c r="W4" i="309"/>
  <c r="W4" i="311"/>
  <c r="W4" i="231"/>
  <c r="W4" i="233"/>
  <c r="W4" i="310"/>
  <c r="U3" i="298"/>
  <c r="U3" i="220"/>
  <c r="U3" i="221"/>
  <c r="U3" i="219"/>
  <c r="U3" i="297"/>
  <c r="U3" i="299"/>
  <c r="T2" i="301"/>
  <c r="T2" i="224"/>
  <c r="T2" i="302"/>
  <c r="T2" i="222"/>
  <c r="T2" i="300"/>
  <c r="T2" i="223"/>
  <c r="T3" i="299"/>
  <c r="T3" i="297"/>
  <c r="T3" i="221"/>
  <c r="T3" i="298"/>
  <c r="T3" i="219"/>
  <c r="T3" i="220"/>
  <c r="Y4" i="302"/>
  <c r="Y4" i="223"/>
  <c r="Y4" i="301"/>
  <c r="Y4" i="300"/>
  <c r="Y4" i="224"/>
  <c r="Y4" i="222"/>
  <c r="Y2" i="308"/>
  <c r="Y2" i="228"/>
  <c r="Y2" i="230"/>
  <c r="Y2" i="229"/>
  <c r="Y2" i="307"/>
  <c r="Y2" i="306"/>
</calcChain>
</file>

<file path=xl/sharedStrings.xml><?xml version="1.0" encoding="utf-8"?>
<sst xmlns="http://schemas.openxmlformats.org/spreadsheetml/2006/main" count="178" uniqueCount="19">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</sst>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9\case9_base.xlsx" TargetMode="External"/><Relationship Id="rId1" Type="http://schemas.openxmlformats.org/officeDocument/2006/relationships/externalLinkPath" Target="case9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0.01</v>
          </cell>
        </row>
        <row r="3">
          <cell r="B3">
            <v>2.5000000000000001E-2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28.640709882946304</v>
          </cell>
          <cell r="C2">
            <v>26.714573281418307</v>
          </cell>
          <cell r="D2">
            <v>25.312879159841337</v>
          </cell>
          <cell r="E2">
            <v>25.133776452667234</v>
          </cell>
          <cell r="F2">
            <v>25.436946861179031</v>
          </cell>
          <cell r="G2">
            <v>27.960696815854309</v>
          </cell>
          <cell r="H2">
            <v>33.363925378103289</v>
          </cell>
          <cell r="I2">
            <v>40.159994232752233</v>
          </cell>
          <cell r="J2">
            <v>43.723321027778113</v>
          </cell>
          <cell r="K2">
            <v>44.268543395713934</v>
          </cell>
          <cell r="L2">
            <v>43.073883742328519</v>
          </cell>
          <cell r="M2">
            <v>43.295892296382085</v>
          </cell>
          <cell r="N2">
            <v>43.260312945175158</v>
          </cell>
          <cell r="O2">
            <v>42.553895205510344</v>
          </cell>
          <cell r="P2">
            <v>40.128767731659636</v>
          </cell>
          <cell r="Q2">
            <v>38.979063710676506</v>
          </cell>
          <cell r="R2">
            <v>40.594711565011977</v>
          </cell>
          <cell r="S2">
            <v>45</v>
          </cell>
          <cell r="T2">
            <v>44.836875711706767</v>
          </cell>
          <cell r="U2">
            <v>43.908591159821562</v>
          </cell>
          <cell r="V2">
            <v>43.153477019322303</v>
          </cell>
          <cell r="W2">
            <v>40.446415007398876</v>
          </cell>
          <cell r="X2">
            <v>35.383087776062744</v>
          </cell>
          <cell r="Y2">
            <v>32.101442185583167</v>
          </cell>
        </row>
        <row r="3">
          <cell r="B3">
            <v>28.318710831598349</v>
          </cell>
          <cell r="C3">
            <v>26.315204214245814</v>
          </cell>
          <cell r="D3">
            <v>23.814013426539436</v>
          </cell>
          <cell r="E3">
            <v>25.613338402094083</v>
          </cell>
          <cell r="F3">
            <v>25.524009277571608</v>
          </cell>
          <cell r="G3">
            <v>26.608704012448104</v>
          </cell>
          <cell r="H3">
            <v>39.599618813370633</v>
          </cell>
          <cell r="I3">
            <v>44.104324438231103</v>
          </cell>
          <cell r="J3">
            <v>48.353801657343247</v>
          </cell>
          <cell r="K3">
            <v>48.379322308964795</v>
          </cell>
          <cell r="L3">
            <v>45.699473268620906</v>
          </cell>
          <cell r="M3">
            <v>50</v>
          </cell>
          <cell r="N3">
            <v>47.154254412376474</v>
          </cell>
          <cell r="O3">
            <v>44.142609525564225</v>
          </cell>
          <cell r="P3">
            <v>42.802683636622866</v>
          </cell>
          <cell r="Q3">
            <v>39.995217650477144</v>
          </cell>
          <cell r="R3">
            <v>40.020741039637507</v>
          </cell>
          <cell r="S3">
            <v>42.368805198038565</v>
          </cell>
          <cell r="T3">
            <v>42.368805198038565</v>
          </cell>
          <cell r="U3">
            <v>43.006857051434061</v>
          </cell>
          <cell r="V3">
            <v>41.845586666813716</v>
          </cell>
          <cell r="W3">
            <v>37.813044567870669</v>
          </cell>
          <cell r="X3">
            <v>31.981180223726628</v>
          </cell>
          <cell r="Y3">
            <v>30.947518572291692</v>
          </cell>
        </row>
        <row r="4">
          <cell r="B4">
            <v>41.161923557384661</v>
          </cell>
          <cell r="C4">
            <v>36.216924903815787</v>
          </cell>
          <cell r="D4">
            <v>34.096561117866841</v>
          </cell>
          <cell r="E4">
            <v>33.691648371190951</v>
          </cell>
          <cell r="F4">
            <v>35.265166706644465</v>
          </cell>
          <cell r="G4">
            <v>38.0759327548637</v>
          </cell>
          <cell r="H4">
            <v>45.945274418750067</v>
          </cell>
          <cell r="I4">
            <v>51.363857914252421</v>
          </cell>
          <cell r="J4">
            <v>54.36397226733289</v>
          </cell>
          <cell r="K4">
            <v>56.213389721513067</v>
          </cell>
          <cell r="L4">
            <v>56.727717165012599</v>
          </cell>
          <cell r="M4">
            <v>56.13602693224356</v>
          </cell>
          <cell r="N4">
            <v>55.817499446474862</v>
          </cell>
          <cell r="O4">
            <v>54.666430938587787</v>
          </cell>
          <cell r="P4">
            <v>52.926301971725778</v>
          </cell>
          <cell r="Q4">
            <v>51.96798375759154</v>
          </cell>
          <cell r="R4">
            <v>53.823207181536652</v>
          </cell>
          <cell r="S4">
            <v>60.935494732253488</v>
          </cell>
          <cell r="T4">
            <v>62.130997688214556</v>
          </cell>
          <cell r="U4">
            <v>62.5</v>
          </cell>
          <cell r="V4">
            <v>60.64144136208904</v>
          </cell>
          <cell r="W4">
            <v>57.869420599424572</v>
          </cell>
          <cell r="X4">
            <v>52.76844322838636</v>
          </cell>
          <cell r="Y4">
            <v>46.642389516869741</v>
          </cell>
        </row>
      </sheetData>
      <sheetData sheetId="7">
        <row r="2">
          <cell r="B2">
            <v>29.499931179434693</v>
          </cell>
          <cell r="C2">
            <v>27.516010479860856</v>
          </cell>
          <cell r="D2">
            <v>26.072265534636578</v>
          </cell>
          <cell r="E2">
            <v>25.88778974624725</v>
          </cell>
          <cell r="F2">
            <v>26.200055267014402</v>
          </cell>
          <cell r="G2">
            <v>28.799517720329941</v>
          </cell>
          <cell r="H2">
            <v>34.364843139446386</v>
          </cell>
          <cell r="I2">
            <v>41.364794059734798</v>
          </cell>
          <cell r="J2">
            <v>45.035020658611458</v>
          </cell>
          <cell r="K2">
            <v>45.596599697585361</v>
          </cell>
          <cell r="L2">
            <v>44.366100254598379</v>
          </cell>
          <cell r="M2">
            <v>44.594769065273553</v>
          </cell>
          <cell r="N2">
            <v>44.55812233353042</v>
          </cell>
          <cell r="O2">
            <v>43.830512061675655</v>
          </cell>
          <cell r="P2">
            <v>41.332630763609423</v>
          </cell>
          <cell r="Q2">
            <v>40.148435621996803</v>
          </cell>
          <cell r="R2">
            <v>41.812552911962335</v>
          </cell>
          <cell r="S2">
            <v>46.35</v>
          </cell>
          <cell r="T2">
            <v>46.181981983057973</v>
          </cell>
          <cell r="U2">
            <v>45.225848894616213</v>
          </cell>
          <cell r="V2">
            <v>44.448081329901974</v>
          </cell>
          <cell r="W2">
            <v>41.659807457620843</v>
          </cell>
          <cell r="X2">
            <v>36.444580409344631</v>
          </cell>
          <cell r="Y2">
            <v>33.064485451150667</v>
          </cell>
        </row>
        <row r="3">
          <cell r="B3">
            <v>29.168272156546298</v>
          </cell>
          <cell r="C3">
            <v>27.104660340673188</v>
          </cell>
          <cell r="D3">
            <v>24.528433829335619</v>
          </cell>
          <cell r="E3">
            <v>26.381738554156907</v>
          </cell>
          <cell r="F3">
            <v>26.289729555898756</v>
          </cell>
          <cell r="G3">
            <v>27.406965132821547</v>
          </cell>
          <cell r="H3">
            <v>40.787607377771756</v>
          </cell>
          <cell r="I3">
            <v>45.427454171378031</v>
          </cell>
          <cell r="J3">
            <v>49.804415707063548</v>
          </cell>
          <cell r="K3">
            <v>49.830701978233741</v>
          </cell>
          <cell r="L3">
            <v>47.070457466679535</v>
          </cell>
          <cell r="M3">
            <v>51.5</v>
          </cell>
          <cell r="N3">
            <v>48.568882044747767</v>
          </cell>
          <cell r="O3">
            <v>45.466887811331155</v>
          </cell>
          <cell r="P3">
            <v>44.08676414572156</v>
          </cell>
          <cell r="Q3">
            <v>41.195074179991458</v>
          </cell>
          <cell r="R3">
            <v>41.221363270826636</v>
          </cell>
          <cell r="S3">
            <v>43.639869353979726</v>
          </cell>
          <cell r="T3">
            <v>43.639869353979726</v>
          </cell>
          <cell r="U3">
            <v>44.297062762977085</v>
          </cell>
          <cell r="V3">
            <v>43.100954266818128</v>
          </cell>
          <cell r="W3">
            <v>38.94743590490679</v>
          </cell>
          <cell r="X3">
            <v>32.94061563043843</v>
          </cell>
          <cell r="Y3">
            <v>31.875944129460443</v>
          </cell>
        </row>
        <row r="4">
          <cell r="B4">
            <v>42.396781264106203</v>
          </cell>
          <cell r="C4">
            <v>37.303432650930269</v>
          </cell>
          <cell r="D4">
            <v>35.119457951402843</v>
          </cell>
          <cell r="E4">
            <v>34.702397822326681</v>
          </cell>
          <cell r="F4">
            <v>36.323121707843796</v>
          </cell>
          <cell r="G4">
            <v>39.218210737509615</v>
          </cell>
          <cell r="H4">
            <v>47.323632651312565</v>
          </cell>
          <cell r="I4">
            <v>52.904773651679996</v>
          </cell>
          <cell r="J4">
            <v>55.994891435352876</v>
          </cell>
          <cell r="K4">
            <v>57.899791413158461</v>
          </cell>
          <cell r="L4">
            <v>58.429548679962977</v>
          </cell>
          <cell r="M4">
            <v>57.820107740210865</v>
          </cell>
          <cell r="N4">
            <v>57.492024429869112</v>
          </cell>
          <cell r="O4">
            <v>56.306423866745419</v>
          </cell>
          <cell r="P4">
            <v>54.514091030877552</v>
          </cell>
          <cell r="Q4">
            <v>53.52702327031929</v>
          </cell>
          <cell r="R4">
            <v>55.437903396982755</v>
          </cell>
          <cell r="S4">
            <v>62.763559574221098</v>
          </cell>
          <cell r="T4">
            <v>63.994927618860999</v>
          </cell>
          <cell r="U4">
            <v>64.375</v>
          </cell>
          <cell r="V4">
            <v>62.460684602951716</v>
          </cell>
          <cell r="W4">
            <v>59.605503217407311</v>
          </cell>
          <cell r="X4">
            <v>54.351496525237955</v>
          </cell>
          <cell r="Y4">
            <v>48.041661202375835</v>
          </cell>
        </row>
      </sheetData>
      <sheetData sheetId="8">
        <row r="2">
          <cell r="B2">
            <v>28.067895685287372</v>
          </cell>
          <cell r="C2">
            <v>26.180281815789936</v>
          </cell>
          <cell r="D2">
            <v>24.80662157664451</v>
          </cell>
          <cell r="E2">
            <v>24.631100923613889</v>
          </cell>
          <cell r="F2">
            <v>24.928207923955451</v>
          </cell>
          <cell r="G2">
            <v>27.401482879537223</v>
          </cell>
          <cell r="H2">
            <v>32.696646870541223</v>
          </cell>
          <cell r="I2">
            <v>39.356794348097182</v>
          </cell>
          <cell r="J2">
            <v>42.848854607222549</v>
          </cell>
          <cell r="K2">
            <v>43.383172527799658</v>
          </cell>
          <cell r="L2">
            <v>42.212406067481943</v>
          </cell>
          <cell r="M2">
            <v>42.429974450454445</v>
          </cell>
          <cell r="N2">
            <v>42.39510668627166</v>
          </cell>
          <cell r="O2">
            <v>41.702817301400131</v>
          </cell>
          <cell r="P2">
            <v>39.326192377026437</v>
          </cell>
          <cell r="Q2">
            <v>38.199482436462979</v>
          </cell>
          <cell r="R2">
            <v>39.782817333711733</v>
          </cell>
          <cell r="S2">
            <v>44.1</v>
          </cell>
          <cell r="T2">
            <v>43.940138197472628</v>
          </cell>
          <cell r="U2">
            <v>43.03041933662513</v>
          </cell>
          <cell r="V2">
            <v>42.290407478935855</v>
          </cell>
          <cell r="W2">
            <v>39.637486707250901</v>
          </cell>
          <cell r="X2">
            <v>34.675426020541487</v>
          </cell>
          <cell r="Y2">
            <v>31.459413341871503</v>
          </cell>
        </row>
        <row r="3">
          <cell r="B3">
            <v>27.752336614966381</v>
          </cell>
          <cell r="C3">
            <v>25.788900129960897</v>
          </cell>
          <cell r="D3">
            <v>23.337733158008646</v>
          </cell>
          <cell r="E3">
            <v>25.101071634052204</v>
          </cell>
          <cell r="F3">
            <v>25.013529092020175</v>
          </cell>
          <cell r="G3">
            <v>26.07652993219914</v>
          </cell>
          <cell r="H3">
            <v>38.807626437103224</v>
          </cell>
          <cell r="I3">
            <v>43.222237949466482</v>
          </cell>
          <cell r="J3">
            <v>47.386725624196387</v>
          </cell>
          <cell r="K3">
            <v>47.411735862785498</v>
          </cell>
          <cell r="L3">
            <v>44.785483803248489</v>
          </cell>
          <cell r="M3">
            <v>49</v>
          </cell>
          <cell r="N3">
            <v>46.211169324128946</v>
          </cell>
          <cell r="O3">
            <v>43.259757335052939</v>
          </cell>
          <cell r="P3">
            <v>41.946629963890409</v>
          </cell>
          <cell r="Q3">
            <v>39.1953132974676</v>
          </cell>
          <cell r="R3">
            <v>39.220326218844761</v>
          </cell>
          <cell r="S3">
            <v>41.521429094077796</v>
          </cell>
          <cell r="T3">
            <v>41.521429094077796</v>
          </cell>
          <cell r="U3">
            <v>42.14671991040538</v>
          </cell>
          <cell r="V3">
            <v>41.008674933477437</v>
          </cell>
          <cell r="W3">
            <v>37.056783676513255</v>
          </cell>
          <cell r="X3">
            <v>31.341556619252099</v>
          </cell>
          <cell r="Y3">
            <v>30.328568200845858</v>
          </cell>
        </row>
        <row r="4">
          <cell r="B4">
            <v>40.338685086236971</v>
          </cell>
          <cell r="C4">
            <v>35.492586405739473</v>
          </cell>
          <cell r="D4">
            <v>33.414629895509499</v>
          </cell>
          <cell r="E4">
            <v>33.017815403767131</v>
          </cell>
          <cell r="F4">
            <v>34.559863372511572</v>
          </cell>
          <cell r="G4">
            <v>37.314414099766424</v>
          </cell>
          <cell r="H4">
            <v>45.026368930375057</v>
          </cell>
          <cell r="I4">
            <v>50.336580755967368</v>
          </cell>
          <cell r="J4">
            <v>53.276692821986231</v>
          </cell>
          <cell r="K4">
            <v>55.089121927082807</v>
          </cell>
          <cell r="L4">
            <v>55.593162821712347</v>
          </cell>
          <cell r="M4">
            <v>55.01330639359869</v>
          </cell>
          <cell r="N4">
            <v>54.70114945754537</v>
          </cell>
          <cell r="O4">
            <v>53.57310231981603</v>
          </cell>
          <cell r="P4">
            <v>51.867775932291266</v>
          </cell>
          <cell r="Q4">
            <v>50.928624082439704</v>
          </cell>
          <cell r="R4">
            <v>52.746743037905922</v>
          </cell>
          <cell r="S4">
            <v>59.716784837608415</v>
          </cell>
          <cell r="T4">
            <v>60.888377734450266</v>
          </cell>
          <cell r="U4">
            <v>61.25</v>
          </cell>
          <cell r="V4">
            <v>59.428612534847261</v>
          </cell>
          <cell r="W4">
            <v>56.712032187436073</v>
          </cell>
          <cell r="X4">
            <v>51.713074363818635</v>
          </cell>
          <cell r="Y4">
            <v>45.70954172653235</v>
          </cell>
        </row>
      </sheetData>
      <sheetData sheetId="9">
        <row r="2">
          <cell r="B2">
            <v>-12.469785513080238</v>
          </cell>
          <cell r="C2">
            <v>-13.552944458482951</v>
          </cell>
          <cell r="D2">
            <v>-14.59839275357499</v>
          </cell>
          <cell r="E2">
            <v>-14.492120196648649</v>
          </cell>
          <cell r="F2">
            <v>-15</v>
          </cell>
          <cell r="G2">
            <v>-13.35282359736305</v>
          </cell>
          <cell r="H2">
            <v>-9.9436551462545548</v>
          </cell>
          <cell r="I2">
            <v>-4.0930063124960201</v>
          </cell>
          <cell r="J2">
            <v>-1.2053668195189318</v>
          </cell>
          <cell r="K2">
            <v>-0.18855958103093676</v>
          </cell>
          <cell r="L2">
            <v>-1.6927804232274042</v>
          </cell>
          <cell r="M2">
            <v>-1.2444992949422855</v>
          </cell>
          <cell r="N2">
            <v>-1.7225564045393726</v>
          </cell>
          <cell r="O2">
            <v>-1.7376609171962816</v>
          </cell>
          <cell r="P2">
            <v>-4.3928558767051147</v>
          </cell>
          <cell r="Q2">
            <v>-6.3264040784546287</v>
          </cell>
          <cell r="R2">
            <v>-5.6261809952244768</v>
          </cell>
          <cell r="S2">
            <v>-1.9205124586372087</v>
          </cell>
          <cell r="T2">
            <v>-2.7936569679470304</v>
          </cell>
          <cell r="U2">
            <v>-3.5117603225567375</v>
          </cell>
          <cell r="V2">
            <v>-5.5163531393218799</v>
          </cell>
          <cell r="W2">
            <v>-7.1605846200922834</v>
          </cell>
          <cell r="X2">
            <v>-9.6068981828398492</v>
          </cell>
          <cell r="Y2">
            <v>-10.813381136149594</v>
          </cell>
        </row>
        <row r="3">
          <cell r="B3">
            <v>14.127545889467058</v>
          </cell>
          <cell r="C3">
            <v>17.5</v>
          </cell>
          <cell r="D3">
            <v>17.5</v>
          </cell>
          <cell r="E3">
            <v>17.5</v>
          </cell>
          <cell r="F3">
            <v>17.5</v>
          </cell>
          <cell r="G3">
            <v>14.179431683319915</v>
          </cell>
          <cell r="H3">
            <v>6.4314389736126669</v>
          </cell>
          <cell r="I3">
            <v>0.8279811071244515</v>
          </cell>
          <cell r="J3">
            <v>-4.8446504074823817</v>
          </cell>
          <cell r="K3">
            <v>-4.8446504074823817</v>
          </cell>
          <cell r="L3">
            <v>-0.41722598524226717</v>
          </cell>
          <cell r="M3">
            <v>-5.0521935828938114</v>
          </cell>
          <cell r="N3">
            <v>-5.0521935828938114</v>
          </cell>
          <cell r="O3">
            <v>-3.9107469480985446</v>
          </cell>
          <cell r="P3">
            <v>-0.4864070437127439</v>
          </cell>
          <cell r="Q3">
            <v>2.9379217305387932</v>
          </cell>
          <cell r="R3">
            <v>4.0793646552893064</v>
          </cell>
          <cell r="S3">
            <v>4.0793646552893064</v>
          </cell>
          <cell r="T3">
            <v>4.0793646552893064</v>
          </cell>
          <cell r="U3">
            <v>4.0793646552893064</v>
          </cell>
          <cell r="V3">
            <v>4.0793646552893064</v>
          </cell>
          <cell r="W3">
            <v>8.5067890385788196</v>
          </cell>
          <cell r="X3">
            <v>13.00339451928941</v>
          </cell>
          <cell r="Y3">
            <v>13.00339451928941</v>
          </cell>
        </row>
        <row r="4">
          <cell r="B4">
            <v>9.5862253418707848</v>
          </cell>
          <cell r="C4">
            <v>7.3945508941769083</v>
          </cell>
          <cell r="D4">
            <v>6.3301139872096703</v>
          </cell>
          <cell r="E4">
            <v>6.1944372172834452</v>
          </cell>
          <cell r="F4">
            <v>7.0403543352236237</v>
          </cell>
          <cell r="G4">
            <v>8.7415700230074709</v>
          </cell>
          <cell r="H4">
            <v>13.562617537809391</v>
          </cell>
          <cell r="I4">
            <v>16.557360904182715</v>
          </cell>
          <cell r="J4">
            <v>19.129685301172859</v>
          </cell>
          <cell r="K4">
            <v>21.065303619522883</v>
          </cell>
          <cell r="L4">
            <v>21.243078629058768</v>
          </cell>
          <cell r="M4">
            <v>20.862173033119678</v>
          </cell>
          <cell r="N4">
            <v>20.95102394649771</v>
          </cell>
          <cell r="O4">
            <v>20.737230794477721</v>
          </cell>
          <cell r="P4">
            <v>18.707375853174536</v>
          </cell>
          <cell r="Q4">
            <v>17.77368689804371</v>
          </cell>
          <cell r="R4">
            <v>18.342498955643656</v>
          </cell>
          <cell r="S4">
            <v>25</v>
          </cell>
          <cell r="T4">
            <v>24.963707582812827</v>
          </cell>
          <cell r="U4">
            <v>24.201932642157256</v>
          </cell>
          <cell r="V4">
            <v>22.401441623691078</v>
          </cell>
          <cell r="W4">
            <v>19.922348287051417</v>
          </cell>
          <cell r="X4">
            <v>16.249130246379966</v>
          </cell>
          <cell r="Y4">
            <v>12.466213225438899</v>
          </cell>
        </row>
      </sheetData>
      <sheetData sheetId="10">
        <row r="2">
          <cell r="B2">
            <v>-12.843879078472645</v>
          </cell>
          <cell r="C2">
            <v>-13.959532792237439</v>
          </cell>
          <cell r="D2">
            <v>-15.03634453618224</v>
          </cell>
          <cell r="E2">
            <v>-14.92688380254811</v>
          </cell>
          <cell r="F2">
            <v>-15.450000000000001</v>
          </cell>
          <cell r="G2">
            <v>-13.753408305283942</v>
          </cell>
          <cell r="H2">
            <v>-10.24196480064219</v>
          </cell>
          <cell r="I2">
            <v>-4.2157965018709005</v>
          </cell>
          <cell r="J2">
            <v>-1.2415278241044996</v>
          </cell>
          <cell r="K2">
            <v>-0.19421636846186485</v>
          </cell>
          <cell r="L2">
            <v>-1.7435638359242263</v>
          </cell>
          <cell r="M2">
            <v>-1.2818342737905541</v>
          </cell>
          <cell r="N2">
            <v>-1.774233096675554</v>
          </cell>
          <cell r="O2">
            <v>-1.7897907447121701</v>
          </cell>
          <cell r="P2">
            <v>-4.5246415530062682</v>
          </cell>
          <cell r="Q2">
            <v>-6.5161962008082677</v>
          </cell>
          <cell r="R2">
            <v>-5.7949664250812116</v>
          </cell>
          <cell r="S2">
            <v>-1.9781278323963249</v>
          </cell>
          <cell r="T2">
            <v>-2.8774666769854416</v>
          </cell>
          <cell r="U2">
            <v>-3.6171131322334396</v>
          </cell>
          <cell r="V2">
            <v>-5.6818437335015366</v>
          </cell>
          <cell r="W2">
            <v>-7.375402158695052</v>
          </cell>
          <cell r="X2">
            <v>-9.8951051283250457</v>
          </cell>
          <cell r="Y2">
            <v>-11.137782570234082</v>
          </cell>
        </row>
        <row r="3">
          <cell r="B3">
            <v>14.55137226615107</v>
          </cell>
          <cell r="C3">
            <v>18.025000000000002</v>
          </cell>
          <cell r="D3">
            <v>18.025000000000002</v>
          </cell>
          <cell r="E3">
            <v>18.025000000000002</v>
          </cell>
          <cell r="F3">
            <v>18.025000000000002</v>
          </cell>
          <cell r="G3">
            <v>14.604814633819514</v>
          </cell>
          <cell r="H3">
            <v>6.6243821428210472</v>
          </cell>
          <cell r="I3">
            <v>0.85282054033818511</v>
          </cell>
          <cell r="J3">
            <v>-4.9899899197068533</v>
          </cell>
          <cell r="K3">
            <v>-4.9899899197068533</v>
          </cell>
          <cell r="L3">
            <v>-0.42974276479953516</v>
          </cell>
          <cell r="M3">
            <v>-5.2037593903806263</v>
          </cell>
          <cell r="N3">
            <v>-5.2037593903806263</v>
          </cell>
          <cell r="O3">
            <v>-4.0280693565415007</v>
          </cell>
          <cell r="P3">
            <v>-0.50099925502412623</v>
          </cell>
          <cell r="Q3">
            <v>3.0260593824549575</v>
          </cell>
          <cell r="R3">
            <v>4.2017455949479858</v>
          </cell>
          <cell r="S3">
            <v>4.2017455949479858</v>
          </cell>
          <cell r="T3">
            <v>4.2017455949479858</v>
          </cell>
          <cell r="U3">
            <v>4.2017455949479858</v>
          </cell>
          <cell r="V3">
            <v>4.2017455949479858</v>
          </cell>
          <cell r="W3">
            <v>8.7619927097361838</v>
          </cell>
          <cell r="X3">
            <v>13.393496354868093</v>
          </cell>
          <cell r="Y3">
            <v>13.393496354868093</v>
          </cell>
        </row>
        <row r="4">
          <cell r="B4">
            <v>9.8738121021269087</v>
          </cell>
          <cell r="C4">
            <v>7.6163874210022158</v>
          </cell>
          <cell r="D4">
            <v>6.5200174068259606</v>
          </cell>
          <cell r="E4">
            <v>6.3802703338019491</v>
          </cell>
          <cell r="F4">
            <v>7.2515649652803322</v>
          </cell>
          <cell r="G4">
            <v>9.0038171236976954</v>
          </cell>
          <cell r="H4">
            <v>13.969496063943673</v>
          </cell>
          <cell r="I4">
            <v>17.054081731308198</v>
          </cell>
          <cell r="J4">
            <v>19.703575860208048</v>
          </cell>
          <cell r="K4">
            <v>21.697262728108569</v>
          </cell>
          <cell r="L4">
            <v>21.880370987930529</v>
          </cell>
          <cell r="M4">
            <v>21.488038224113268</v>
          </cell>
          <cell r="N4">
            <v>21.57955466489264</v>
          </cell>
          <cell r="O4">
            <v>21.359347718312051</v>
          </cell>
          <cell r="P4">
            <v>19.268597128769773</v>
          </cell>
          <cell r="Q4">
            <v>18.306897504985024</v>
          </cell>
          <cell r="R4">
            <v>18.892773924312966</v>
          </cell>
          <cell r="S4">
            <v>25.75</v>
          </cell>
          <cell r="T4">
            <v>25.712618810297212</v>
          </cell>
          <cell r="U4">
            <v>24.927990621421976</v>
          </cell>
          <cell r="V4">
            <v>23.07348487240181</v>
          </cell>
          <cell r="W4">
            <v>20.520018735662958</v>
          </cell>
          <cell r="X4">
            <v>16.736604153771367</v>
          </cell>
          <cell r="Y4">
            <v>12.840199622202068</v>
          </cell>
        </row>
      </sheetData>
      <sheetData sheetId="11">
        <row r="2">
          <cell r="B2">
            <v>-12.220389802818632</v>
          </cell>
          <cell r="C2">
            <v>-13.281885569313291</v>
          </cell>
          <cell r="D2">
            <v>-14.30642489850349</v>
          </cell>
          <cell r="E2">
            <v>-14.202277792715677</v>
          </cell>
          <cell r="F2">
            <v>-14.7</v>
          </cell>
          <cell r="G2">
            <v>-13.08576712541579</v>
          </cell>
          <cell r="H2">
            <v>-9.7447820433294616</v>
          </cell>
          <cell r="I2">
            <v>-4.0111461862460995</v>
          </cell>
          <cell r="J2">
            <v>-1.181259483128553</v>
          </cell>
          <cell r="K2">
            <v>-0.18478838941031803</v>
          </cell>
          <cell r="L2">
            <v>-1.6589248147628561</v>
          </cell>
          <cell r="M2">
            <v>-1.2196093090434397</v>
          </cell>
          <cell r="N2">
            <v>-1.6881052764485851</v>
          </cell>
          <cell r="O2">
            <v>-1.7029076988523559</v>
          </cell>
          <cell r="P2">
            <v>-4.3049987591710126</v>
          </cell>
          <cell r="Q2">
            <v>-6.1998759968855355</v>
          </cell>
          <cell r="R2">
            <v>-5.5136573753199869</v>
          </cell>
          <cell r="S2">
            <v>-1.8821022094644642</v>
          </cell>
          <cell r="T2">
            <v>-2.73778382858809</v>
          </cell>
          <cell r="U2">
            <v>-3.4415251161056029</v>
          </cell>
          <cell r="V2">
            <v>-5.4060260765354426</v>
          </cell>
          <cell r="W2">
            <v>-7.0173729276904373</v>
          </cell>
          <cell r="X2">
            <v>-9.4147602191830515</v>
          </cell>
          <cell r="Y2">
            <v>-10.597113513426603</v>
          </cell>
        </row>
        <row r="3">
          <cell r="B3">
            <v>13.844994971677718</v>
          </cell>
          <cell r="C3">
            <v>17.149999999999999</v>
          </cell>
          <cell r="D3">
            <v>17.149999999999999</v>
          </cell>
          <cell r="E3">
            <v>17.149999999999999</v>
          </cell>
          <cell r="F3">
            <v>17.149999999999999</v>
          </cell>
          <cell r="G3">
            <v>13.895843049653516</v>
          </cell>
          <cell r="H3">
            <v>6.302810194140414</v>
          </cell>
          <cell r="I3">
            <v>0.81142148498196243</v>
          </cell>
          <cell r="J3">
            <v>-4.7477573993327349</v>
          </cell>
          <cell r="K3">
            <v>-4.7477573993327349</v>
          </cell>
          <cell r="L3">
            <v>-0.40888146553742183</v>
          </cell>
          <cell r="M3">
            <v>-4.9511497112359351</v>
          </cell>
          <cell r="N3">
            <v>-4.9511497112359351</v>
          </cell>
          <cell r="O3">
            <v>-3.8325320091365733</v>
          </cell>
          <cell r="P3">
            <v>-0.47667890283848902</v>
          </cell>
          <cell r="Q3">
            <v>2.8791632959280173</v>
          </cell>
          <cell r="R3">
            <v>3.9977773621835202</v>
          </cell>
          <cell r="S3">
            <v>3.9977773621835202</v>
          </cell>
          <cell r="T3">
            <v>3.9977773621835202</v>
          </cell>
          <cell r="U3">
            <v>3.9977773621835202</v>
          </cell>
          <cell r="V3">
            <v>3.9977773621835202</v>
          </cell>
          <cell r="W3">
            <v>8.3366532578072423</v>
          </cell>
          <cell r="X3">
            <v>12.743326628903622</v>
          </cell>
          <cell r="Y3">
            <v>12.743326628903622</v>
          </cell>
        </row>
        <row r="4">
          <cell r="B4">
            <v>9.3945008350333676</v>
          </cell>
          <cell r="C4">
            <v>7.2466598762933714</v>
          </cell>
          <cell r="D4">
            <v>6.2035117074654771</v>
          </cell>
          <cell r="E4">
            <v>6.0705484729377766</v>
          </cell>
          <cell r="F4">
            <v>6.8995472485191511</v>
          </cell>
          <cell r="G4">
            <v>8.5667386225473212</v>
          </cell>
          <cell r="H4">
            <v>13.291365187053202</v>
          </cell>
          <cell r="I4">
            <v>16.226213686099062</v>
          </cell>
          <cell r="J4">
            <v>18.747091595149403</v>
          </cell>
          <cell r="K4">
            <v>20.643997547132422</v>
          </cell>
          <cell r="L4">
            <v>20.818217056477593</v>
          </cell>
          <cell r="M4">
            <v>20.444929572457283</v>
          </cell>
          <cell r="N4">
            <v>20.532003467567755</v>
          </cell>
          <cell r="O4">
            <v>20.322486178588168</v>
          </cell>
          <cell r="P4">
            <v>18.333228336111045</v>
          </cell>
          <cell r="Q4">
            <v>17.418213160082839</v>
          </cell>
          <cell r="R4">
            <v>17.975648976530785</v>
          </cell>
          <cell r="S4">
            <v>24.5</v>
          </cell>
          <cell r="T4">
            <v>24.464433431156571</v>
          </cell>
          <cell r="U4">
            <v>23.71789398931411</v>
          </cell>
          <cell r="V4">
            <v>21.953412791217257</v>
          </cell>
          <cell r="W4">
            <v>19.52390132131039</v>
          </cell>
          <cell r="X4">
            <v>15.924147641452368</v>
          </cell>
          <cell r="Y4">
            <v>12.21688896093012</v>
          </cell>
        </row>
      </sheetData>
      <sheetData sheetId="12">
        <row r="2">
          <cell r="B2">
            <v>29.804176869297603</v>
          </cell>
          <cell r="C2">
            <v>26.644820270777611</v>
          </cell>
          <cell r="D2">
            <v>25.411595180390687</v>
          </cell>
          <cell r="E2">
            <v>25.353147791464139</v>
          </cell>
          <cell r="F2">
            <v>25.039313582222675</v>
          </cell>
          <cell r="G2">
            <v>26.165973821904611</v>
          </cell>
          <cell r="H2">
            <v>29.430377367433447</v>
          </cell>
          <cell r="I2">
            <v>36.732334527504271</v>
          </cell>
          <cell r="J2">
            <v>39.367123462487584</v>
          </cell>
          <cell r="K2">
            <v>41.249793296271953</v>
          </cell>
          <cell r="L2">
            <v>42.613662696283143</v>
          </cell>
          <cell r="M2">
            <v>41.488990378462901</v>
          </cell>
          <cell r="N2">
            <v>42.144125178070063</v>
          </cell>
          <cell r="O2">
            <v>42.992097653227766</v>
          </cell>
          <cell r="P2">
            <v>39.479340247125904</v>
          </cell>
          <cell r="Q2">
            <v>36.428881355961025</v>
          </cell>
          <cell r="R2">
            <v>37.805851311810983</v>
          </cell>
          <cell r="S2">
            <v>39.734333964177125</v>
          </cell>
          <cell r="T2">
            <v>42.111111160488811</v>
          </cell>
          <cell r="U2">
            <v>41.372677006938666</v>
          </cell>
          <cell r="V2">
            <v>39.85772609006446</v>
          </cell>
          <cell r="W2">
            <v>41.307497267714197</v>
          </cell>
          <cell r="X2">
            <v>34.612315009335632</v>
          </cell>
          <cell r="Y2">
            <v>34.755218765474922</v>
          </cell>
        </row>
        <row r="3">
          <cell r="B3">
            <v>28.875350957191564</v>
          </cell>
          <cell r="C3">
            <v>27.891355389404048</v>
          </cell>
          <cell r="D3">
            <v>25.050316632719948</v>
          </cell>
          <cell r="E3">
            <v>25.982571774500563</v>
          </cell>
          <cell r="F3">
            <v>25.103250102643042</v>
          </cell>
          <cell r="G3">
            <v>27.844198263445165</v>
          </cell>
          <cell r="H3">
            <v>36.289512364289422</v>
          </cell>
          <cell r="I3">
            <v>42.769788910744744</v>
          </cell>
          <cell r="J3">
            <v>46.473808680087728</v>
          </cell>
          <cell r="K3">
            <v>45.159921141297353</v>
          </cell>
          <cell r="L3">
            <v>42.634595816865414</v>
          </cell>
          <cell r="M3">
            <v>46.5</v>
          </cell>
          <cell r="N3">
            <v>44.729999659053554</v>
          </cell>
          <cell r="O3">
            <v>42.891339429203121</v>
          </cell>
          <cell r="P3">
            <v>42.251485069560395</v>
          </cell>
          <cell r="Q3">
            <v>40.546316489666197</v>
          </cell>
          <cell r="R3">
            <v>37.68679268613819</v>
          </cell>
          <cell r="S3">
            <v>41.229757874939587</v>
          </cell>
          <cell r="T3">
            <v>41.405066520114509</v>
          </cell>
          <cell r="U3">
            <v>40.281515628413231</v>
          </cell>
          <cell r="V3">
            <v>38.517973643105648</v>
          </cell>
          <cell r="W3">
            <v>37.941956418315435</v>
          </cell>
          <cell r="X3">
            <v>34.925716207720136</v>
          </cell>
          <cell r="Y3">
            <v>32.345827987123428</v>
          </cell>
        </row>
        <row r="4">
          <cell r="B4">
            <v>40.138293234919523</v>
          </cell>
          <cell r="C4">
            <v>34.945146189419937</v>
          </cell>
          <cell r="D4">
            <v>35.238338785050757</v>
          </cell>
          <cell r="E4">
            <v>32.442569312376285</v>
          </cell>
          <cell r="F4">
            <v>34.614280706719995</v>
          </cell>
          <cell r="G4">
            <v>34.120402260241164</v>
          </cell>
          <cell r="H4">
            <v>39.887077093422469</v>
          </cell>
          <cell r="I4">
            <v>44.302198024984683</v>
          </cell>
          <cell r="J4">
            <v>51.252381832168346</v>
          </cell>
          <cell r="K4">
            <v>52.588558489906255</v>
          </cell>
          <cell r="L4">
            <v>54.479497589850986</v>
          </cell>
          <cell r="M4">
            <v>57.45934099700068</v>
          </cell>
          <cell r="N4">
            <v>57.834456662186497</v>
          </cell>
          <cell r="O4">
            <v>57.395412652249817</v>
          </cell>
          <cell r="P4">
            <v>54.188584333481991</v>
          </cell>
          <cell r="Q4">
            <v>54.751525291537526</v>
          </cell>
          <cell r="R4">
            <v>54.536650589645262</v>
          </cell>
          <cell r="S4">
            <v>56.295189884377749</v>
          </cell>
          <cell r="T4">
            <v>56.248056207175203</v>
          </cell>
          <cell r="U4">
            <v>55.102772670021572</v>
          </cell>
          <cell r="V4">
            <v>53.811540954047096</v>
          </cell>
          <cell r="W4">
            <v>56.384843977543227</v>
          </cell>
          <cell r="X4">
            <v>51.819161667131951</v>
          </cell>
          <cell r="Y4">
            <v>47.11949991002956</v>
          </cell>
        </row>
      </sheetData>
      <sheetData sheetId="13">
        <row r="2">
          <cell r="B2">
            <v>30.698302175376529</v>
          </cell>
          <cell r="C2">
            <v>27.444164878900942</v>
          </cell>
          <cell r="D2">
            <v>26.173943035802409</v>
          </cell>
          <cell r="E2">
            <v>26.113742225208064</v>
          </cell>
          <cell r="F2">
            <v>25.790492989689358</v>
          </cell>
          <cell r="G2">
            <v>26.950953036561749</v>
          </cell>
          <cell r="H2">
            <v>30.313288688456449</v>
          </cell>
          <cell r="I2">
            <v>37.834304563329397</v>
          </cell>
          <cell r="J2">
            <v>40.54813716636221</v>
          </cell>
          <cell r="K2">
            <v>42.487287095160113</v>
          </cell>
          <cell r="L2">
            <v>43.892072577171639</v>
          </cell>
          <cell r="M2">
            <v>42.733660089816794</v>
          </cell>
          <cell r="N2">
            <v>43.408448933412167</v>
          </cell>
          <cell r="O2">
            <v>44.281860582824599</v>
          </cell>
          <cell r="P2">
            <v>40.663720454539686</v>
          </cell>
          <cell r="Q2">
            <v>37.521747796639858</v>
          </cell>
          <cell r="R2">
            <v>38.940026851165314</v>
          </cell>
          <cell r="S2">
            <v>40.926363983102441</v>
          </cell>
          <cell r="T2">
            <v>43.374444495303479</v>
          </cell>
          <cell r="U2">
            <v>42.613857317146824</v>
          </cell>
          <cell r="V2">
            <v>41.053457872766394</v>
          </cell>
          <cell r="W2">
            <v>42.546722185745622</v>
          </cell>
          <cell r="X2">
            <v>35.650684459615697</v>
          </cell>
          <cell r="Y2">
            <v>35.797875328439176</v>
          </cell>
        </row>
        <row r="3">
          <cell r="B3">
            <v>29.74161148590731</v>
          </cell>
          <cell r="C3">
            <v>28.728096051086172</v>
          </cell>
          <cell r="D3">
            <v>25.801826131701549</v>
          </cell>
          <cell r="E3">
            <v>26.762048927735581</v>
          </cell>
          <cell r="F3">
            <v>25.856347605722334</v>
          </cell>
          <cell r="G3">
            <v>28.679524211348518</v>
          </cell>
          <cell r="H3">
            <v>37.378197735218102</v>
          </cell>
          <cell r="I3">
            <v>44.052882578067084</v>
          </cell>
          <cell r="J3">
            <v>47.868022940490363</v>
          </cell>
          <cell r="K3">
            <v>46.514718775536281</v>
          </cell>
          <cell r="L3">
            <v>43.913633691371381</v>
          </cell>
          <cell r="M3">
            <v>47.895000000000003</v>
          </cell>
          <cell r="N3">
            <v>46.071899648825159</v>
          </cell>
          <cell r="O3">
            <v>44.178079612079216</v>
          </cell>
          <cell r="P3">
            <v>43.519029621647206</v>
          </cell>
          <cell r="Q3">
            <v>41.762705984356181</v>
          </cell>
          <cell r="R3">
            <v>38.817396466722343</v>
          </cell>
          <cell r="S3">
            <v>42.466650611187781</v>
          </cell>
          <cell r="T3">
            <v>42.647218515717945</v>
          </cell>
          <cell r="U3">
            <v>41.489961097265635</v>
          </cell>
          <cell r="V3">
            <v>39.673512852398822</v>
          </cell>
          <cell r="W3">
            <v>39.080215110864899</v>
          </cell>
          <cell r="X3">
            <v>35.973487693951739</v>
          </cell>
          <cell r="Y3">
            <v>33.316202826737126</v>
          </cell>
        </row>
        <row r="4">
          <cell r="B4">
            <v>41.34244203196711</v>
          </cell>
          <cell r="C4">
            <v>35.99350057510253</v>
          </cell>
          <cell r="D4">
            <v>36.295488948602284</v>
          </cell>
          <cell r="E4">
            <v>33.415846391747579</v>
          </cell>
          <cell r="F4">
            <v>35.652709127921597</v>
          </cell>
          <cell r="G4">
            <v>35.144014328048399</v>
          </cell>
          <cell r="H4">
            <v>41.08368940622514</v>
          </cell>
          <cell r="I4">
            <v>45.631263965734227</v>
          </cell>
          <cell r="J4">
            <v>52.7899532871334</v>
          </cell>
          <cell r="K4">
            <v>54.166215244603443</v>
          </cell>
          <cell r="L4">
            <v>56.113882517546521</v>
          </cell>
          <cell r="M4">
            <v>59.183121226910707</v>
          </cell>
          <cell r="N4">
            <v>59.5694903620521</v>
          </cell>
          <cell r="O4">
            <v>59.117275031817307</v>
          </cell>
          <cell r="P4">
            <v>55.814241863486451</v>
          </cell>
          <cell r="Q4">
            <v>56.394071050283657</v>
          </cell>
          <cell r="R4">
            <v>56.172750107334622</v>
          </cell>
          <cell r="S4">
            <v>57.984045580909083</v>
          </cell>
          <cell r="T4">
            <v>57.935497893390462</v>
          </cell>
          <cell r="U4">
            <v>56.755855850122224</v>
          </cell>
          <cell r="V4">
            <v>55.425887182668511</v>
          </cell>
          <cell r="W4">
            <v>58.076389296869522</v>
          </cell>
          <cell r="X4">
            <v>53.373736517145907</v>
          </cell>
          <cell r="Y4">
            <v>48.533084907330448</v>
          </cell>
        </row>
      </sheetData>
      <sheetData sheetId="14">
        <row r="2">
          <cell r="B2">
            <v>29.208093331911648</v>
          </cell>
          <cell r="C2">
            <v>26.111923865362058</v>
          </cell>
          <cell r="D2">
            <v>24.903363276782876</v>
          </cell>
          <cell r="E2">
            <v>24.846084835634855</v>
          </cell>
          <cell r="F2">
            <v>24.538527310578218</v>
          </cell>
          <cell r="G2">
            <v>25.642654345466518</v>
          </cell>
          <cell r="H2">
            <v>28.841769820084778</v>
          </cell>
          <cell r="I2">
            <v>35.997687836954178</v>
          </cell>
          <cell r="J2">
            <v>38.579780993237826</v>
          </cell>
          <cell r="K2">
            <v>40.424797430346516</v>
          </cell>
          <cell r="L2">
            <v>41.761389442357483</v>
          </cell>
          <cell r="M2">
            <v>40.659210570893649</v>
          </cell>
          <cell r="N2">
            <v>41.301242674508664</v>
          </cell>
          <cell r="O2">
            <v>42.132255700163206</v>
          </cell>
          <cell r="P2">
            <v>38.689753442183388</v>
          </cell>
          <cell r="Q2">
            <v>35.700303728841803</v>
          </cell>
          <cell r="R2">
            <v>37.049734285574765</v>
          </cell>
          <cell r="S2">
            <v>38.939647284893582</v>
          </cell>
          <cell r="T2">
            <v>41.26888893727903</v>
          </cell>
          <cell r="U2">
            <v>40.545223466799889</v>
          </cell>
          <cell r="V2">
            <v>39.060571568263171</v>
          </cell>
          <cell r="W2">
            <v>40.481347322359916</v>
          </cell>
          <cell r="X2">
            <v>33.920068709148914</v>
          </cell>
          <cell r="Y2">
            <v>34.060114390165424</v>
          </cell>
        </row>
        <row r="3">
          <cell r="B3">
            <v>28.297843938047734</v>
          </cell>
          <cell r="C3">
            <v>27.333528281615965</v>
          </cell>
          <cell r="D3">
            <v>24.549310300065549</v>
          </cell>
          <cell r="E3">
            <v>25.462920339010552</v>
          </cell>
          <cell r="F3">
            <v>24.601185100590182</v>
          </cell>
          <cell r="G3">
            <v>27.287314298176256</v>
          </cell>
          <cell r="H3">
            <v>35.563722117003636</v>
          </cell>
          <cell r="I3">
            <v>41.914393132529845</v>
          </cell>
          <cell r="J3">
            <v>45.544332506485972</v>
          </cell>
          <cell r="K3">
            <v>44.256722718471408</v>
          </cell>
          <cell r="L3">
            <v>41.781903900528107</v>
          </cell>
          <cell r="M3">
            <v>45.57</v>
          </cell>
          <cell r="N3">
            <v>43.83539966587248</v>
          </cell>
          <cell r="O3">
            <v>42.033512640619058</v>
          </cell>
          <cell r="P3">
            <v>41.40645536816919</v>
          </cell>
          <cell r="Q3">
            <v>39.735390159872871</v>
          </cell>
          <cell r="R3">
            <v>36.933056832415431</v>
          </cell>
          <cell r="S3">
            <v>40.405162717440795</v>
          </cell>
          <cell r="T3">
            <v>40.576965189712219</v>
          </cell>
          <cell r="U3">
            <v>39.47588531584497</v>
          </cell>
          <cell r="V3">
            <v>37.747614170243537</v>
          </cell>
          <cell r="W3">
            <v>37.183117289949124</v>
          </cell>
          <cell r="X3">
            <v>34.227201883565733</v>
          </cell>
          <cell r="Y3">
            <v>31.69891142738096</v>
          </cell>
        </row>
        <row r="4">
          <cell r="B4">
            <v>39.335527370221129</v>
          </cell>
          <cell r="C4">
            <v>34.246243265631534</v>
          </cell>
          <cell r="D4">
            <v>34.53357200934974</v>
          </cell>
          <cell r="E4">
            <v>31.793717926128764</v>
          </cell>
          <cell r="F4">
            <v>33.92199509258559</v>
          </cell>
          <cell r="G4">
            <v>33.437994215036341</v>
          </cell>
          <cell r="H4">
            <v>39.089335551554022</v>
          </cell>
          <cell r="I4">
            <v>43.416154064484985</v>
          </cell>
          <cell r="J4">
            <v>50.227334195524975</v>
          </cell>
          <cell r="K4">
            <v>51.536787320108125</v>
          </cell>
          <cell r="L4">
            <v>53.38990763805397</v>
          </cell>
          <cell r="M4">
            <v>56.310154177060667</v>
          </cell>
          <cell r="N4">
            <v>56.677767528942766</v>
          </cell>
          <cell r="O4">
            <v>56.247504399204821</v>
          </cell>
          <cell r="P4">
            <v>53.104812646812348</v>
          </cell>
          <cell r="Q4">
            <v>53.656494785706776</v>
          </cell>
          <cell r="R4">
            <v>53.445917577852356</v>
          </cell>
          <cell r="S4">
            <v>55.169286086690185</v>
          </cell>
          <cell r="T4">
            <v>55.1230950830317</v>
          </cell>
          <cell r="U4">
            <v>54.00071721662114</v>
          </cell>
          <cell r="V4">
            <v>52.735310134966156</v>
          </cell>
          <cell r="W4">
            <v>55.257147097992359</v>
          </cell>
          <cell r="X4">
            <v>50.782778433789311</v>
          </cell>
          <cell r="Y4">
            <v>46.177109911828964</v>
          </cell>
        </row>
      </sheetData>
      <sheetData sheetId="15">
        <row r="2">
          <cell r="B2">
            <v>-11.088841925983788</v>
          </cell>
          <cell r="C2">
            <v>-13.065323033043761</v>
          </cell>
          <cell r="D2">
            <v>-14.684923998850405</v>
          </cell>
          <cell r="E2">
            <v>-13.830347092910559</v>
          </cell>
          <cell r="F2">
            <v>-13.969399347096569</v>
          </cell>
          <cell r="G2">
            <v>-13.733839083829603</v>
          </cell>
          <cell r="H2">
            <v>-11.42434438615695</v>
          </cell>
          <cell r="I2">
            <v>-2.7372853032067219</v>
          </cell>
          <cell r="J2">
            <v>3.067458834337967</v>
          </cell>
          <cell r="K2">
            <v>5.5999989790138986</v>
          </cell>
          <cell r="L2">
            <v>3.6701180867174648</v>
          </cell>
          <cell r="M2">
            <v>5.0444104809313339</v>
          </cell>
          <cell r="N2">
            <v>4.4223529988851746</v>
          </cell>
          <cell r="O2">
            <v>4.4212663008034578</v>
          </cell>
          <cell r="P2">
            <v>1.0160953442116454</v>
          </cell>
          <cell r="Q2">
            <v>-1.8396861042081714</v>
          </cell>
          <cell r="R2">
            <v>-0.79459390599102997</v>
          </cell>
          <cell r="S2">
            <v>1.137649286212379</v>
          </cell>
          <cell r="T2">
            <v>6.8719547083179386E-2</v>
          </cell>
          <cell r="U2">
            <v>-1.4718026832605351</v>
          </cell>
          <cell r="V2">
            <v>-2.987202385176956</v>
          </cell>
          <cell r="W2">
            <v>-3.2933486610726868</v>
          </cell>
          <cell r="X2">
            <v>-6.3080766097708816</v>
          </cell>
          <cell r="Y2">
            <v>-7.9487186287736025</v>
          </cell>
        </row>
        <row r="3">
          <cell r="B3">
            <v>-2.0416492018416124</v>
          </cell>
          <cell r="C3">
            <v>-0.62549122389476985</v>
          </cell>
          <cell r="D3">
            <v>-2.6193939123207386</v>
          </cell>
          <cell r="E3">
            <v>-3.8149999999999995</v>
          </cell>
          <cell r="F3">
            <v>-2.8000000000000007</v>
          </cell>
          <cell r="G3">
            <v>-4.2802514138049919</v>
          </cell>
          <cell r="H3">
            <v>-1.4658471276391805</v>
          </cell>
          <cell r="I3">
            <v>1.1643132923190587</v>
          </cell>
          <cell r="J3">
            <v>0.66692099127970028</v>
          </cell>
          <cell r="K3">
            <v>0.80169965916860464</v>
          </cell>
          <cell r="L3">
            <v>2.1379066004862848</v>
          </cell>
          <cell r="M3">
            <v>1.2887270380343245</v>
          </cell>
          <cell r="N3">
            <v>2.3609502665246009</v>
          </cell>
          <cell r="O3">
            <v>3.3430240018811648</v>
          </cell>
          <cell r="P3">
            <v>2.4042439160597446</v>
          </cell>
          <cell r="Q3">
            <v>3.2723933788967976</v>
          </cell>
          <cell r="R3">
            <v>1.2337607500799099</v>
          </cell>
          <cell r="S3">
            <v>1.1521734569741238</v>
          </cell>
          <cell r="T3">
            <v>1.2337607500799099</v>
          </cell>
          <cell r="U3">
            <v>1.1368511337022784</v>
          </cell>
          <cell r="V3">
            <v>-0.58773988762411578</v>
          </cell>
          <cell r="W3">
            <v>0.53037799112387607</v>
          </cell>
          <cell r="X3">
            <v>-2.9395683403642692</v>
          </cell>
          <cell r="Y3">
            <v>-2.6512951820839734</v>
          </cell>
        </row>
        <row r="4">
          <cell r="B4">
            <v>9.4393191010555899</v>
          </cell>
          <cell r="C4">
            <v>7.4966547713080836</v>
          </cell>
          <cell r="D4">
            <v>6.9597908049056638</v>
          </cell>
          <cell r="E4">
            <v>6.4288857936403154</v>
          </cell>
          <cell r="F4">
            <v>6.859975883228171</v>
          </cell>
          <cell r="G4">
            <v>5.3109564507033715</v>
          </cell>
          <cell r="H4">
            <v>9.085447883450259</v>
          </cell>
          <cell r="I4">
            <v>13.092182632975129</v>
          </cell>
          <cell r="J4">
            <v>17.717818939306181</v>
          </cell>
          <cell r="K4">
            <v>20.848274955873382</v>
          </cell>
          <cell r="L4">
            <v>21.195241729266453</v>
          </cell>
          <cell r="M4">
            <v>21.511095728825421</v>
          </cell>
          <cell r="N4">
            <v>23.100164598932942</v>
          </cell>
          <cell r="O4">
            <v>22.244892317791091</v>
          </cell>
          <cell r="P4">
            <v>20.660467992445859</v>
          </cell>
          <cell r="Q4">
            <v>20.502954463113181</v>
          </cell>
          <cell r="R4">
            <v>19.903721709814427</v>
          </cell>
          <cell r="S4">
            <v>20.929236545383567</v>
          </cell>
          <cell r="T4">
            <v>20.783883202483562</v>
          </cell>
          <cell r="U4">
            <v>20.53977177214384</v>
          </cell>
          <cell r="V4">
            <v>17.673466241030393</v>
          </cell>
          <cell r="W4">
            <v>19.175684953740713</v>
          </cell>
          <cell r="X4">
            <v>16.189065446942021</v>
          </cell>
          <cell r="Y4">
            <v>13.449246788708443</v>
          </cell>
        </row>
      </sheetData>
      <sheetData sheetId="16">
        <row r="2">
          <cell r="B2">
            <v>-11.421507183763302</v>
          </cell>
          <cell r="C2">
            <v>-13.457282724035073</v>
          </cell>
          <cell r="D2">
            <v>-15.125471718815918</v>
          </cell>
          <cell r="E2">
            <v>-14.245257505697877</v>
          </cell>
          <cell r="F2">
            <v>-14.388481327509467</v>
          </cell>
          <cell r="G2">
            <v>-14.145854256344492</v>
          </cell>
          <cell r="H2">
            <v>-11.767074717741659</v>
          </cell>
          <cell r="I2">
            <v>-2.8194038623029241</v>
          </cell>
          <cell r="J2">
            <v>3.1594825993681059</v>
          </cell>
          <cell r="K2">
            <v>5.7679989483843155</v>
          </cell>
          <cell r="L2">
            <v>3.780221629318989</v>
          </cell>
          <cell r="M2">
            <v>5.1957427953592745</v>
          </cell>
          <cell r="N2">
            <v>4.5550235888517303</v>
          </cell>
          <cell r="O2">
            <v>4.5539042898275621</v>
          </cell>
          <cell r="P2">
            <v>1.0465782045379948</v>
          </cell>
          <cell r="Q2">
            <v>-1.8948766873344167</v>
          </cell>
          <cell r="R2">
            <v>-0.81843172317076096</v>
          </cell>
          <cell r="S2">
            <v>1.1717787647987503</v>
          </cell>
          <cell r="T2">
            <v>7.0781133495674775E-2</v>
          </cell>
          <cell r="U2">
            <v>-1.5159567637583511</v>
          </cell>
          <cell r="V2">
            <v>-3.0768184567322647</v>
          </cell>
          <cell r="W2">
            <v>-3.3921491209048673</v>
          </cell>
          <cell r="X2">
            <v>-6.4973189080640088</v>
          </cell>
          <cell r="Y2">
            <v>-8.1871801876368107</v>
          </cell>
        </row>
        <row r="3">
          <cell r="B3">
            <v>-2.1028986778968606</v>
          </cell>
          <cell r="C3">
            <v>-0.64425596061161305</v>
          </cell>
          <cell r="D3">
            <v>-2.6979757296903606</v>
          </cell>
          <cell r="E3">
            <v>-3.9294499999999997</v>
          </cell>
          <cell r="F3">
            <v>-2.8840000000000003</v>
          </cell>
          <cell r="G3">
            <v>-4.4086589562191421</v>
          </cell>
          <cell r="H3">
            <v>-1.5098225414683557</v>
          </cell>
          <cell r="I3">
            <v>1.1992426910886305</v>
          </cell>
          <cell r="J3">
            <v>0.68692862101809127</v>
          </cell>
          <cell r="K3">
            <v>0.82575064894366279</v>
          </cell>
          <cell r="L3">
            <v>2.2020437985008732</v>
          </cell>
          <cell r="M3">
            <v>1.3273888491753543</v>
          </cell>
          <cell r="N3">
            <v>2.4317787745203394</v>
          </cell>
          <cell r="O3">
            <v>3.4433147219375995</v>
          </cell>
          <cell r="P3">
            <v>2.4763712335415375</v>
          </cell>
          <cell r="Q3">
            <v>3.3705651802637018</v>
          </cell>
          <cell r="R3">
            <v>1.2707735725823071</v>
          </cell>
          <cell r="S3">
            <v>1.1867386606833474</v>
          </cell>
          <cell r="T3">
            <v>1.2707735725823071</v>
          </cell>
          <cell r="U3">
            <v>1.1709566677133467</v>
          </cell>
          <cell r="V3">
            <v>-0.60537208425283928</v>
          </cell>
          <cell r="W3">
            <v>0.54628933085759235</v>
          </cell>
          <cell r="X3">
            <v>-3.0277553905751975</v>
          </cell>
          <cell r="Y3">
            <v>-2.7308340375464923</v>
          </cell>
        </row>
        <row r="4">
          <cell r="B4">
            <v>9.722498674087257</v>
          </cell>
          <cell r="C4">
            <v>7.7215544144473265</v>
          </cell>
          <cell r="D4">
            <v>7.1685845290528336</v>
          </cell>
          <cell r="E4">
            <v>6.6217523674495249</v>
          </cell>
          <cell r="F4">
            <v>7.0657751597250167</v>
          </cell>
          <cell r="G4">
            <v>5.4702851442244729</v>
          </cell>
          <cell r="H4">
            <v>9.3580113199537678</v>
          </cell>
          <cell r="I4">
            <v>13.484948111964384</v>
          </cell>
          <cell r="J4">
            <v>18.249353507485367</v>
          </cell>
          <cell r="K4">
            <v>21.473723204549586</v>
          </cell>
          <cell r="L4">
            <v>21.831098981144446</v>
          </cell>
          <cell r="M4">
            <v>22.156428600690184</v>
          </cell>
          <cell r="N4">
            <v>23.793169536900933</v>
          </cell>
          <cell r="O4">
            <v>22.912239087324824</v>
          </cell>
          <cell r="P4">
            <v>21.280282032219233</v>
          </cell>
          <cell r="Q4">
            <v>21.118043097006577</v>
          </cell>
          <cell r="R4">
            <v>20.500833361108857</v>
          </cell>
          <cell r="S4">
            <v>21.557113641745072</v>
          </cell>
          <cell r="T4">
            <v>21.407399698558073</v>
          </cell>
          <cell r="U4">
            <v>21.155964925308155</v>
          </cell>
          <cell r="V4">
            <v>18.203670228261306</v>
          </cell>
          <cell r="W4">
            <v>19.750955502352934</v>
          </cell>
          <cell r="X4">
            <v>16.674737410350279</v>
          </cell>
          <cell r="Y4">
            <v>13.852724192369697</v>
          </cell>
        </row>
      </sheetData>
      <sheetData sheetId="17">
        <row r="2">
          <cell r="B2">
            <v>-10.867065087464113</v>
          </cell>
          <cell r="C2">
            <v>-12.804016572382885</v>
          </cell>
          <cell r="D2">
            <v>-14.391225518873396</v>
          </cell>
          <cell r="E2">
            <v>-13.553740151052347</v>
          </cell>
          <cell r="F2">
            <v>-13.690011360154639</v>
          </cell>
          <cell r="G2">
            <v>-13.459162302153011</v>
          </cell>
          <cell r="H2">
            <v>-11.19585749843381</v>
          </cell>
          <cell r="I2">
            <v>-2.6825395971425876</v>
          </cell>
          <cell r="J2">
            <v>3.0061096576512076</v>
          </cell>
          <cell r="K2">
            <v>5.4879989994336205</v>
          </cell>
          <cell r="L2">
            <v>3.5967157249831154</v>
          </cell>
          <cell r="M2">
            <v>4.9435222713127063</v>
          </cell>
          <cell r="N2">
            <v>4.3339059389074706</v>
          </cell>
          <cell r="O2">
            <v>4.3328409747873895</v>
          </cell>
          <cell r="P2">
            <v>0.99577343732741241</v>
          </cell>
          <cell r="Q2">
            <v>-1.8028923821240079</v>
          </cell>
          <cell r="R2">
            <v>-0.77870202787120935</v>
          </cell>
          <cell r="S2">
            <v>1.1148963004881314</v>
          </cell>
          <cell r="T2">
            <v>6.7345156141515802E-2</v>
          </cell>
          <cell r="U2">
            <v>-1.4423666295953244</v>
          </cell>
          <cell r="V2">
            <v>-2.9274583374734164</v>
          </cell>
          <cell r="W2">
            <v>-3.2274816878512329</v>
          </cell>
          <cell r="X2">
            <v>-6.1819150775754643</v>
          </cell>
          <cell r="Y2">
            <v>-7.7897442561981309</v>
          </cell>
        </row>
        <row r="3">
          <cell r="B3">
            <v>-2.0008162178047799</v>
          </cell>
          <cell r="C3">
            <v>-0.61298139941687446</v>
          </cell>
          <cell r="D3">
            <v>-2.5670060340743235</v>
          </cell>
          <cell r="E3">
            <v>-3.7386999999999992</v>
          </cell>
          <cell r="F3">
            <v>-2.7440000000000002</v>
          </cell>
          <cell r="G3">
            <v>-4.194646385528892</v>
          </cell>
          <cell r="H3">
            <v>-1.4365301850863967</v>
          </cell>
          <cell r="I3">
            <v>1.1410270264726776</v>
          </cell>
          <cell r="J3">
            <v>0.65358257145410625</v>
          </cell>
          <cell r="K3">
            <v>0.78566566598523246</v>
          </cell>
          <cell r="L3">
            <v>2.0951484684765593</v>
          </cell>
          <cell r="M3">
            <v>1.2629524972736379</v>
          </cell>
          <cell r="N3">
            <v>2.3137312611941092</v>
          </cell>
          <cell r="O3">
            <v>3.2761635218435416</v>
          </cell>
          <cell r="P3">
            <v>2.35615903773855</v>
          </cell>
          <cell r="Q3">
            <v>3.2069455113188612</v>
          </cell>
          <cell r="R3">
            <v>1.2090855350783116</v>
          </cell>
          <cell r="S3">
            <v>1.1291299878346415</v>
          </cell>
          <cell r="T3">
            <v>1.2090855350783116</v>
          </cell>
          <cell r="U3">
            <v>1.1141141110282329</v>
          </cell>
          <cell r="V3">
            <v>-0.57598508987163344</v>
          </cell>
          <cell r="W3">
            <v>0.51977043130139855</v>
          </cell>
          <cell r="X3">
            <v>-2.8807769735569835</v>
          </cell>
          <cell r="Y3">
            <v>-2.5982692784422938</v>
          </cell>
        </row>
        <row r="4">
          <cell r="B4">
            <v>9.2505327190344762</v>
          </cell>
          <cell r="C4">
            <v>7.3467216758819216</v>
          </cell>
          <cell r="D4">
            <v>6.8205949888075503</v>
          </cell>
          <cell r="E4">
            <v>6.3003080777675091</v>
          </cell>
          <cell r="F4">
            <v>6.7227763655636084</v>
          </cell>
          <cell r="G4">
            <v>5.2047373216893043</v>
          </cell>
          <cell r="H4">
            <v>8.9037389257812549</v>
          </cell>
          <cell r="I4">
            <v>12.830338980315629</v>
          </cell>
          <cell r="J4">
            <v>17.363462560520055</v>
          </cell>
          <cell r="K4">
            <v>20.431309456755915</v>
          </cell>
          <cell r="L4">
            <v>20.771336894681124</v>
          </cell>
          <cell r="M4">
            <v>21.080873814248914</v>
          </cell>
          <cell r="N4">
            <v>22.638161306954281</v>
          </cell>
          <cell r="O4">
            <v>21.799994471435269</v>
          </cell>
          <cell r="P4">
            <v>20.247258632596939</v>
          </cell>
          <cell r="Q4">
            <v>20.092895373850919</v>
          </cell>
          <cell r="R4">
            <v>19.505647275618138</v>
          </cell>
          <cell r="S4">
            <v>20.510651814475896</v>
          </cell>
          <cell r="T4">
            <v>20.368205538433891</v>
          </cell>
          <cell r="U4">
            <v>20.128976336700962</v>
          </cell>
          <cell r="V4">
            <v>17.319996916209789</v>
          </cell>
          <cell r="W4">
            <v>18.792171254665899</v>
          </cell>
          <cell r="X4">
            <v>15.865284138003178</v>
          </cell>
          <cell r="Y4">
            <v>13.180261852934274</v>
          </cell>
        </row>
      </sheetData>
      <sheetData sheetId="18">
        <row r="2">
          <cell r="B2">
            <v>32.817375945180018</v>
          </cell>
          <cell r="C2">
            <v>29.816054647595806</v>
          </cell>
          <cell r="D2">
            <v>29.295245664706428</v>
          </cell>
          <cell r="E2">
            <v>29.220409083340382</v>
          </cell>
          <cell r="F2">
            <v>29.222712823617609</v>
          </cell>
          <cell r="G2">
            <v>28.964275690097171</v>
          </cell>
          <cell r="H2">
            <v>31.269521157901131</v>
          </cell>
          <cell r="I2">
            <v>37.124561006189111</v>
          </cell>
          <cell r="J2">
            <v>42.311443296985573</v>
          </cell>
          <cell r="K2">
            <v>43.611591410751721</v>
          </cell>
          <cell r="L2">
            <v>43.170253740394109</v>
          </cell>
          <cell r="M2">
            <v>44.391048414605869</v>
          </cell>
          <cell r="N2">
            <v>45</v>
          </cell>
          <cell r="O2">
            <v>44.167584304461947</v>
          </cell>
          <cell r="P2">
            <v>42.441726729097923</v>
          </cell>
          <cell r="Q2">
            <v>40.733520449221196</v>
          </cell>
          <cell r="R2">
            <v>41.444186883530428</v>
          </cell>
          <cell r="S2">
            <v>41.853645097091622</v>
          </cell>
          <cell r="T2">
            <v>42.03129827269828</v>
          </cell>
          <cell r="U2">
            <v>41.335487053836879</v>
          </cell>
          <cell r="V2">
            <v>41.459681983858381</v>
          </cell>
          <cell r="W2">
            <v>43.176857843221036</v>
          </cell>
          <cell r="X2">
            <v>40.246057516386649</v>
          </cell>
          <cell r="Y2">
            <v>36.893336517241856</v>
          </cell>
        </row>
        <row r="3">
          <cell r="B3">
            <v>33.274803251773768</v>
          </cell>
          <cell r="C3">
            <v>30.29770808896906</v>
          </cell>
          <cell r="D3">
            <v>28.814738182842035</v>
          </cell>
          <cell r="E3">
            <v>27.788929416265447</v>
          </cell>
          <cell r="F3">
            <v>27.788929416265447</v>
          </cell>
          <cell r="G3">
            <v>29.795954262951184</v>
          </cell>
          <cell r="H3">
            <v>37.333448032961321</v>
          </cell>
          <cell r="I3">
            <v>45.941338459596224</v>
          </cell>
          <cell r="J3">
            <v>47.948365710769622</v>
          </cell>
          <cell r="K3">
            <v>46.944850889217129</v>
          </cell>
          <cell r="L3">
            <v>46.922554552261445</v>
          </cell>
          <cell r="M3">
            <v>50</v>
          </cell>
          <cell r="N3">
            <v>50</v>
          </cell>
          <cell r="O3">
            <v>50</v>
          </cell>
          <cell r="P3">
            <v>47.491214142084559</v>
          </cell>
          <cell r="Q3">
            <v>44.960127160211236</v>
          </cell>
          <cell r="R3">
            <v>41.882686499474886</v>
          </cell>
          <cell r="S3">
            <v>41.882686499474886</v>
          </cell>
          <cell r="T3">
            <v>41.882686499474886</v>
          </cell>
          <cell r="U3">
            <v>41.882686499474886</v>
          </cell>
          <cell r="V3">
            <v>41.882686499474886</v>
          </cell>
          <cell r="W3">
            <v>41.882686499474886</v>
          </cell>
          <cell r="X3">
            <v>40.377425040255353</v>
          </cell>
          <cell r="Y3">
            <v>37.779446643027327</v>
          </cell>
        </row>
        <row r="4">
          <cell r="B4">
            <v>44.865864987387084</v>
          </cell>
          <cell r="C4">
            <v>39.495523010342957</v>
          </cell>
          <cell r="D4">
            <v>37.347251859751694</v>
          </cell>
          <cell r="E4">
            <v>36.162740690435101</v>
          </cell>
          <cell r="F4">
            <v>38.335890154838715</v>
          </cell>
          <cell r="G4">
            <v>35.113211958178042</v>
          </cell>
          <cell r="H4">
            <v>41.181390873337726</v>
          </cell>
          <cell r="I4">
            <v>47.798535510840388</v>
          </cell>
          <cell r="J4">
            <v>53.84827683750818</v>
          </cell>
          <cell r="K4">
            <v>57.793534551430149</v>
          </cell>
          <cell r="L4">
            <v>59.64305265787354</v>
          </cell>
          <cell r="M4">
            <v>60.586991450795175</v>
          </cell>
          <cell r="N4">
            <v>61.776626940151822</v>
          </cell>
          <cell r="O4">
            <v>62.282600162562005</v>
          </cell>
          <cell r="P4">
            <v>62.5</v>
          </cell>
          <cell r="Q4">
            <v>60.143799765726357</v>
          </cell>
          <cell r="R4">
            <v>60.173902963837676</v>
          </cell>
          <cell r="S4">
            <v>57.827884042529625</v>
          </cell>
          <cell r="T4">
            <v>58.132149240630504</v>
          </cell>
          <cell r="U4">
            <v>58.610095416705747</v>
          </cell>
          <cell r="V4">
            <v>58.128308238547049</v>
          </cell>
          <cell r="W4">
            <v>60.212093727850366</v>
          </cell>
          <cell r="X4">
            <v>58.828061556194697</v>
          </cell>
          <cell r="Y4">
            <v>52.576544886746582</v>
          </cell>
        </row>
      </sheetData>
      <sheetData sheetId="19">
        <row r="2">
          <cell r="B2">
            <v>33.80189722353542</v>
          </cell>
          <cell r="C2">
            <v>30.710536287023682</v>
          </cell>
          <cell r="D2">
            <v>30.174103034647622</v>
          </cell>
          <cell r="E2">
            <v>30.097021355840596</v>
          </cell>
          <cell r="F2">
            <v>30.099394208326139</v>
          </cell>
          <cell r="G2">
            <v>29.833203960800088</v>
          </cell>
          <cell r="H2">
            <v>32.207606792638167</v>
          </cell>
          <cell r="I2">
            <v>38.238297836374784</v>
          </cell>
          <cell r="J2">
            <v>43.580786595895141</v>
          </cell>
          <cell r="K2">
            <v>44.919939153074274</v>
          </cell>
          <cell r="L2">
            <v>44.465361352605932</v>
          </cell>
          <cell r="M2">
            <v>45.722779867044046</v>
          </cell>
          <cell r="N2">
            <v>46.35</v>
          </cell>
          <cell r="O2">
            <v>45.492611833595802</v>
          </cell>
          <cell r="P2">
            <v>43.714978530970861</v>
          </cell>
          <cell r="Q2">
            <v>41.955526062697835</v>
          </cell>
          <cell r="R2">
            <v>42.68751249003634</v>
          </cell>
          <cell r="S2">
            <v>43.109254450004372</v>
          </cell>
          <cell r="T2">
            <v>43.29223722087923</v>
          </cell>
          <cell r="U2">
            <v>42.575551665451982</v>
          </cell>
          <cell r="V2">
            <v>42.703472443374132</v>
          </cell>
          <cell r="W2">
            <v>44.472163578517666</v>
          </cell>
          <cell r="X2">
            <v>41.45343924187825</v>
          </cell>
          <cell r="Y2">
            <v>38.000136612759107</v>
          </cell>
        </row>
        <row r="3">
          <cell r="B3">
            <v>34.27304734932698</v>
          </cell>
          <cell r="C3">
            <v>31.206639331638129</v>
          </cell>
          <cell r="D3">
            <v>29.679180328327298</v>
          </cell>
          <cell r="E3">
            <v>28.622597298753412</v>
          </cell>
          <cell r="F3">
            <v>28.622597298753412</v>
          </cell>
          <cell r="G3">
            <v>30.689832890839725</v>
          </cell>
          <cell r="H3">
            <v>38.45345147395016</v>
          </cell>
          <cell r="I3">
            <v>47.319578613384117</v>
          </cell>
          <cell r="J3">
            <v>49.386816682092714</v>
          </cell>
          <cell r="K3">
            <v>48.353196415893649</v>
          </cell>
          <cell r="L3">
            <v>48.330231188829295</v>
          </cell>
          <cell r="M3">
            <v>51.5</v>
          </cell>
          <cell r="N3">
            <v>51.5</v>
          </cell>
          <cell r="O3">
            <v>51.5</v>
          </cell>
          <cell r="P3">
            <v>48.915950566347099</v>
          </cell>
          <cell r="Q3">
            <v>46.308930975017574</v>
          </cell>
          <cell r="R3">
            <v>43.139167094459133</v>
          </cell>
          <cell r="S3">
            <v>43.139167094459133</v>
          </cell>
          <cell r="T3">
            <v>43.139167094459133</v>
          </cell>
          <cell r="U3">
            <v>43.139167094459133</v>
          </cell>
          <cell r="V3">
            <v>43.139167094459133</v>
          </cell>
          <cell r="W3">
            <v>43.139167094459133</v>
          </cell>
          <cell r="X3">
            <v>41.588747791463014</v>
          </cell>
          <cell r="Y3">
            <v>38.912830042318149</v>
          </cell>
        </row>
        <row r="4">
          <cell r="B4">
            <v>46.211840937008702</v>
          </cell>
          <cell r="C4">
            <v>40.680388700653246</v>
          </cell>
          <cell r="D4">
            <v>38.467669415544243</v>
          </cell>
          <cell r="E4">
            <v>37.247622911148156</v>
          </cell>
          <cell r="F4">
            <v>39.485966859483874</v>
          </cell>
          <cell r="G4">
            <v>36.166608316923387</v>
          </cell>
          <cell r="H4">
            <v>42.416832599537855</v>
          </cell>
          <cell r="I4">
            <v>49.2324915761656</v>
          </cell>
          <cell r="J4">
            <v>55.463725142633429</v>
          </cell>
          <cell r="K4">
            <v>59.527340587973057</v>
          </cell>
          <cell r="L4">
            <v>61.432344237609755</v>
          </cell>
          <cell r="M4">
            <v>62.404601194319028</v>
          </cell>
          <cell r="N4">
            <v>63.629925748356378</v>
          </cell>
          <cell r="O4">
            <v>64.151078167438868</v>
          </cell>
          <cell r="P4">
            <v>64.375</v>
          </cell>
          <cell r="Q4">
            <v>61.948113758698142</v>
          </cell>
          <cell r="R4">
            <v>61.979120052752805</v>
          </cell>
          <cell r="S4">
            <v>59.562720563805513</v>
          </cell>
          <cell r="T4">
            <v>59.876113717849421</v>
          </cell>
          <cell r="U4">
            <v>60.368398279206922</v>
          </cell>
          <cell r="V4">
            <v>59.872157485703461</v>
          </cell>
          <cell r="W4">
            <v>62.018456539685879</v>
          </cell>
          <cell r="X4">
            <v>60.592903402880538</v>
          </cell>
          <cell r="Y4">
            <v>54.153841233348977</v>
          </cell>
        </row>
      </sheetData>
      <sheetData sheetId="20">
        <row r="2">
          <cell r="B2">
            <v>32.161028426276417</v>
          </cell>
          <cell r="C2">
            <v>29.219733554643891</v>
          </cell>
          <cell r="D2">
            <v>28.709340751412302</v>
          </cell>
          <cell r="E2">
            <v>28.636000901673572</v>
          </cell>
          <cell r="F2">
            <v>28.638258567145257</v>
          </cell>
          <cell r="G2">
            <v>28.384990176295229</v>
          </cell>
          <cell r="H2">
            <v>30.644130734743111</v>
          </cell>
          <cell r="I2">
            <v>36.38206978606533</v>
          </cell>
          <cell r="J2">
            <v>41.465214431045865</v>
          </cell>
          <cell r="K2">
            <v>42.739359582536679</v>
          </cell>
          <cell r="L2">
            <v>42.30684866558623</v>
          </cell>
          <cell r="M2">
            <v>43.503227446313751</v>
          </cell>
          <cell r="N2">
            <v>44.1</v>
          </cell>
          <cell r="O2">
            <v>43.284232618372705</v>
          </cell>
          <cell r="P2">
            <v>41.592892194515962</v>
          </cell>
          <cell r="Q2">
            <v>39.918850040236777</v>
          </cell>
          <cell r="R2">
            <v>40.615303145859812</v>
          </cell>
          <cell r="S2">
            <v>41.016572195149791</v>
          </cell>
          <cell r="T2">
            <v>41.190672307244313</v>
          </cell>
          <cell r="U2">
            <v>40.508777312760138</v>
          </cell>
          <cell r="V2">
            <v>40.630488344181209</v>
          </cell>
          <cell r="W2">
            <v>42.313320686356619</v>
          </cell>
          <cell r="X2">
            <v>39.44113636605892</v>
          </cell>
          <cell r="Y2">
            <v>36.155469786897015</v>
          </cell>
        </row>
        <row r="3">
          <cell r="B3">
            <v>32.609307186738292</v>
          </cell>
          <cell r="C3">
            <v>29.69175392718968</v>
          </cell>
          <cell r="D3">
            <v>28.238443419185195</v>
          </cell>
          <cell r="E3">
            <v>27.233150827940133</v>
          </cell>
          <cell r="F3">
            <v>27.233150827940133</v>
          </cell>
          <cell r="G3">
            <v>29.200035177692165</v>
          </cell>
          <cell r="H3">
            <v>36.586779072302093</v>
          </cell>
          <cell r="I3">
            <v>45.022511690404301</v>
          </cell>
          <cell r="J3">
            <v>46.989398396554236</v>
          </cell>
          <cell r="K3">
            <v>46.005953871432787</v>
          </cell>
          <cell r="L3">
            <v>45.984103461216222</v>
          </cell>
          <cell r="M3">
            <v>49</v>
          </cell>
          <cell r="N3">
            <v>49</v>
          </cell>
          <cell r="O3">
            <v>49</v>
          </cell>
          <cell r="P3">
            <v>46.541389859242862</v>
          </cell>
          <cell r="Q3">
            <v>44.060924617007011</v>
          </cell>
          <cell r="R3">
            <v>41.045032769485388</v>
          </cell>
          <cell r="S3">
            <v>41.045032769485388</v>
          </cell>
          <cell r="T3">
            <v>41.045032769485388</v>
          </cell>
          <cell r="U3">
            <v>41.045032769485388</v>
          </cell>
          <cell r="V3">
            <v>41.045032769485388</v>
          </cell>
          <cell r="W3">
            <v>41.045032769485388</v>
          </cell>
          <cell r="X3">
            <v>39.569876539450249</v>
          </cell>
          <cell r="Y3">
            <v>37.02385771016678</v>
          </cell>
        </row>
        <row r="4">
          <cell r="B4">
            <v>43.968547687639344</v>
          </cell>
          <cell r="C4">
            <v>38.705612550136102</v>
          </cell>
          <cell r="D4">
            <v>36.600306822556654</v>
          </cell>
          <cell r="E4">
            <v>35.439485876626406</v>
          </cell>
          <cell r="F4">
            <v>37.56917235174194</v>
          </cell>
          <cell r="G4">
            <v>34.410947719014487</v>
          </cell>
          <cell r="H4">
            <v>40.357763055870976</v>
          </cell>
          <cell r="I4">
            <v>46.842564800623578</v>
          </cell>
          <cell r="J4">
            <v>52.771311300758015</v>
          </cell>
          <cell r="K4">
            <v>56.637663860401545</v>
          </cell>
          <cell r="L4">
            <v>58.450191604716068</v>
          </cell>
          <cell r="M4">
            <v>59.375251621779263</v>
          </cell>
          <cell r="N4">
            <v>60.541094401348786</v>
          </cell>
          <cell r="O4">
            <v>61.036948159310768</v>
          </cell>
          <cell r="P4">
            <v>61.25</v>
          </cell>
          <cell r="Q4">
            <v>58.940923770411821</v>
          </cell>
          <cell r="R4">
            <v>58.970424904560922</v>
          </cell>
          <cell r="S4">
            <v>56.671326361679036</v>
          </cell>
          <cell r="T4">
            <v>56.96950625581789</v>
          </cell>
          <cell r="U4">
            <v>57.43789350837163</v>
          </cell>
          <cell r="V4">
            <v>56.965742073776106</v>
          </cell>
          <cell r="W4">
            <v>59.00785185329336</v>
          </cell>
          <cell r="X4">
            <v>57.651500325070799</v>
          </cell>
          <cell r="Y4">
            <v>51.525013989011654</v>
          </cell>
        </row>
      </sheetData>
      <sheetData sheetId="21">
        <row r="2">
          <cell r="B2">
            <v>-10.460555889122473</v>
          </cell>
          <cell r="C2">
            <v>-13.60000711137498</v>
          </cell>
          <cell r="D2">
            <v>-14.989832438442269</v>
          </cell>
          <cell r="E2">
            <v>-13.679007427684805</v>
          </cell>
          <cell r="F2">
            <v>-14.662055579958459</v>
          </cell>
          <cell r="G2">
            <v>-15</v>
          </cell>
          <cell r="H2">
            <v>-13.000354277337081</v>
          </cell>
          <cell r="I2">
            <v>-2.0225630497432934</v>
          </cell>
          <cell r="J2">
            <v>6.4922785620283223</v>
          </cell>
          <cell r="K2">
            <v>9.4514956358025533</v>
          </cell>
          <cell r="L2">
            <v>7.4297205539571705</v>
          </cell>
          <cell r="M2">
            <v>9.8965917745325651</v>
          </cell>
          <cell r="N2">
            <v>8.7824322348813109</v>
          </cell>
          <cell r="O2">
            <v>9.0468606034475183</v>
          </cell>
          <cell r="P2">
            <v>4.6678480617715037</v>
          </cell>
          <cell r="Q2">
            <v>1.1800884944323786</v>
          </cell>
          <cell r="R2">
            <v>2.6252266815345489</v>
          </cell>
          <cell r="S2">
            <v>3.188742745063061</v>
          </cell>
          <cell r="T2">
            <v>1.9210974177443787</v>
          </cell>
          <cell r="U2">
            <v>-0.35837393675904172</v>
          </cell>
          <cell r="V2">
            <v>-1.39903428216524</v>
          </cell>
          <cell r="W2">
            <v>-0.97334439700275344</v>
          </cell>
          <cell r="X2">
            <v>-4.6679092230400974</v>
          </cell>
          <cell r="Y2">
            <v>-6.3183951985649145</v>
          </cell>
        </row>
        <row r="3">
          <cell r="B3">
            <v>-13.238700041483979</v>
          </cell>
          <cell r="C3">
            <v>-13.238700041483979</v>
          </cell>
          <cell r="D3">
            <v>-15.369350020741987</v>
          </cell>
          <cell r="E3">
            <v>-17.5</v>
          </cell>
          <cell r="F3">
            <v>-17.5</v>
          </cell>
          <cell r="G3">
            <v>-17.5</v>
          </cell>
          <cell r="H3">
            <v>-6.9778717969972428</v>
          </cell>
          <cell r="I3">
            <v>1.4463903636619411</v>
          </cell>
          <cell r="J3">
            <v>4.5932017328260173</v>
          </cell>
          <cell r="K3">
            <v>4.5932017328260173</v>
          </cell>
          <cell r="L3">
            <v>4.1998437124476347</v>
          </cell>
          <cell r="M3">
            <v>5.9043552318562922</v>
          </cell>
          <cell r="N3">
            <v>8.0022247716433341</v>
          </cell>
          <cell r="O3">
            <v>8.248077956938614</v>
          </cell>
          <cell r="P3">
            <v>4.6259786379411887</v>
          </cell>
          <cell r="Q3">
            <v>3.6098172295789577</v>
          </cell>
          <cell r="R3">
            <v>-0.58592188690745695</v>
          </cell>
          <cell r="S3">
            <v>-0.58592188690745695</v>
          </cell>
          <cell r="T3">
            <v>-0.58592188690745695</v>
          </cell>
          <cell r="U3">
            <v>-0.58592188690745695</v>
          </cell>
          <cell r="V3">
            <v>-3.7327367719711662</v>
          </cell>
          <cell r="W3">
            <v>-4.7816750669924017</v>
          </cell>
          <cell r="X3">
            <v>-13.369807661944664</v>
          </cell>
          <cell r="Y3">
            <v>-13.369807661944664</v>
          </cell>
        </row>
        <row r="4">
          <cell r="B4">
            <v>10.686627055883104</v>
          </cell>
          <cell r="C4">
            <v>8.1880271442666093</v>
          </cell>
          <cell r="D4">
            <v>7.7593821892689059</v>
          </cell>
          <cell r="E4">
            <v>6.7768420089803687</v>
          </cell>
          <cell r="F4">
            <v>7.8014863947853508</v>
          </cell>
          <cell r="G4">
            <v>3.6207907522596137</v>
          </cell>
          <cell r="H4">
            <v>6.3174342491118045</v>
          </cell>
          <cell r="I4">
            <v>12.13969632964368</v>
          </cell>
          <cell r="J4">
            <v>17.659552313749185</v>
          </cell>
          <cell r="K4">
            <v>20.984459895034021</v>
          </cell>
          <cell r="L4">
            <v>22.908570953690287</v>
          </cell>
          <cell r="M4">
            <v>23.744937648225861</v>
          </cell>
          <cell r="N4">
            <v>24.812272019843068</v>
          </cell>
          <cell r="O4">
            <v>25</v>
          </cell>
          <cell r="P4">
            <v>24.822550505179802</v>
          </cell>
          <cell r="Q4">
            <v>23.996243323270871</v>
          </cell>
          <cell r="R4">
            <v>22.836253635655485</v>
          </cell>
          <cell r="S4">
            <v>20.264603803871577</v>
          </cell>
          <cell r="T4">
            <v>20.17084909066174</v>
          </cell>
          <cell r="U4">
            <v>19.188566278503806</v>
          </cell>
          <cell r="V4">
            <v>17.296536957439471</v>
          </cell>
          <cell r="W4">
            <v>20.735169960805727</v>
          </cell>
          <cell r="X4">
            <v>18.579467024338225</v>
          </cell>
          <cell r="Y4">
            <v>14.952007043816234</v>
          </cell>
        </row>
      </sheetData>
      <sheetData sheetId="22">
        <row r="2">
          <cell r="B2">
            <v>-10.774372565796146</v>
          </cell>
          <cell r="C2">
            <v>-14.00800732471623</v>
          </cell>
          <cell r="D2">
            <v>-15.439527411595538</v>
          </cell>
          <cell r="E2">
            <v>-14.089377650515351</v>
          </cell>
          <cell r="F2">
            <v>-15.101917247357211</v>
          </cell>
          <cell r="G2">
            <v>-15.450000000000001</v>
          </cell>
          <cell r="H2">
            <v>-13.390364905657194</v>
          </cell>
          <cell r="I2">
            <v>-2.0832399412355924</v>
          </cell>
          <cell r="J2">
            <v>6.6870469188891724</v>
          </cell>
          <cell r="K2">
            <v>9.7350405048766291</v>
          </cell>
          <cell r="L2">
            <v>7.6526121705758863</v>
          </cell>
          <cell r="M2">
            <v>10.193489527768541</v>
          </cell>
          <cell r="N2">
            <v>9.0459052019277504</v>
          </cell>
          <cell r="O2">
            <v>9.318266421550943</v>
          </cell>
          <cell r="P2">
            <v>4.807883503624649</v>
          </cell>
          <cell r="Q2">
            <v>1.21549114926535</v>
          </cell>
          <cell r="R2">
            <v>2.7039834819805852</v>
          </cell>
          <cell r="S2">
            <v>3.284405027414953</v>
          </cell>
          <cell r="T2">
            <v>1.97873034027671</v>
          </cell>
          <cell r="U2">
            <v>-0.36912515486181302</v>
          </cell>
          <cell r="V2">
            <v>-1.4410053106301972</v>
          </cell>
          <cell r="W2">
            <v>-1.002544728912836</v>
          </cell>
          <cell r="X2">
            <v>-4.8079464997313011</v>
          </cell>
          <cell r="Y2">
            <v>-6.5079470545218614</v>
          </cell>
        </row>
        <row r="3">
          <cell r="B3">
            <v>-13.635861042728497</v>
          </cell>
          <cell r="C3">
            <v>-13.635861042728497</v>
          </cell>
          <cell r="D3">
            <v>-15.830430521364248</v>
          </cell>
          <cell r="E3">
            <v>-18.025000000000002</v>
          </cell>
          <cell r="F3">
            <v>-18.025000000000002</v>
          </cell>
          <cell r="G3">
            <v>-18.025000000000002</v>
          </cell>
          <cell r="H3">
            <v>-7.18720795090716</v>
          </cell>
          <cell r="I3">
            <v>1.4897820745717996</v>
          </cell>
          <cell r="J3">
            <v>4.730997784810798</v>
          </cell>
          <cell r="K3">
            <v>4.730997784810798</v>
          </cell>
          <cell r="L3">
            <v>4.3258390238210636</v>
          </cell>
          <cell r="M3">
            <v>6.0814858888119803</v>
          </cell>
          <cell r="N3">
            <v>8.2422915147926332</v>
          </cell>
          <cell r="O3">
            <v>8.4955202956467719</v>
          </cell>
          <cell r="P3">
            <v>4.7647579970794247</v>
          </cell>
          <cell r="Q3">
            <v>3.7181117464663269</v>
          </cell>
          <cell r="R3">
            <v>-0.6034995435146806</v>
          </cell>
          <cell r="S3">
            <v>-0.6034995435146806</v>
          </cell>
          <cell r="T3">
            <v>-0.6034995435146806</v>
          </cell>
          <cell r="U3">
            <v>-0.6034995435146806</v>
          </cell>
          <cell r="V3">
            <v>-3.8447188751303014</v>
          </cell>
          <cell r="W3">
            <v>-4.9251253190021744</v>
          </cell>
          <cell r="X3">
            <v>-13.770901891803005</v>
          </cell>
          <cell r="Y3">
            <v>-13.770901891803005</v>
          </cell>
        </row>
        <row r="4">
          <cell r="B4">
            <v>11.007225867559598</v>
          </cell>
          <cell r="C4">
            <v>8.4336679585946062</v>
          </cell>
          <cell r="D4">
            <v>7.9921636549469728</v>
          </cell>
          <cell r="E4">
            <v>6.9801472692497795</v>
          </cell>
          <cell r="F4">
            <v>8.0355309866289115</v>
          </cell>
          <cell r="G4">
            <v>3.7294144748274021</v>
          </cell>
          <cell r="H4">
            <v>6.5069572765851582</v>
          </cell>
          <cell r="I4">
            <v>12.503887219532992</v>
          </cell>
          <cell r="J4">
            <v>18.189338883161664</v>
          </cell>
          <cell r="K4">
            <v>21.613993691885042</v>
          </cell>
          <cell r="L4">
            <v>23.595828082300997</v>
          </cell>
          <cell r="M4">
            <v>24.457285777672638</v>
          </cell>
          <cell r="N4">
            <v>25.556640180438361</v>
          </cell>
          <cell r="O4">
            <v>25.75</v>
          </cell>
          <cell r="P4">
            <v>25.567227020335199</v>
          </cell>
          <cell r="Q4">
            <v>24.716130622968997</v>
          </cell>
          <cell r="R4">
            <v>23.52134124472515</v>
          </cell>
          <cell r="S4">
            <v>20.872541917987725</v>
          </cell>
          <cell r="T4">
            <v>20.775974563381595</v>
          </cell>
          <cell r="U4">
            <v>19.76422326685892</v>
          </cell>
          <cell r="V4">
            <v>17.815433066162655</v>
          </cell>
          <cell r="W4">
            <v>21.357225059629901</v>
          </cell>
          <cell r="X4">
            <v>19.136851035068371</v>
          </cell>
          <cell r="Y4">
            <v>15.400567255130722</v>
          </cell>
        </row>
      </sheetData>
      <sheetData sheetId="23">
        <row r="2">
          <cell r="B2">
            <v>-10.251344771340023</v>
          </cell>
          <cell r="C2">
            <v>-13.328006969147481</v>
          </cell>
          <cell r="D2">
            <v>-14.690035789673422</v>
          </cell>
          <cell r="E2">
            <v>-13.405427279131109</v>
          </cell>
          <cell r="F2">
            <v>-14.36881446835929</v>
          </cell>
          <cell r="G2">
            <v>-14.7</v>
          </cell>
          <cell r="H2">
            <v>-12.740347191790338</v>
          </cell>
          <cell r="I2">
            <v>-1.9821117887484276</v>
          </cell>
          <cell r="J2">
            <v>6.3624329907877559</v>
          </cell>
          <cell r="K2">
            <v>9.2624657230865015</v>
          </cell>
          <cell r="L2">
            <v>7.2811261428780272</v>
          </cell>
          <cell r="M2">
            <v>9.6986599390419137</v>
          </cell>
          <cell r="N2">
            <v>8.6067835901836851</v>
          </cell>
          <cell r="O2">
            <v>8.8659233913785673</v>
          </cell>
          <cell r="P2">
            <v>4.5744911005360738</v>
          </cell>
          <cell r="Q2">
            <v>1.1564867245437309</v>
          </cell>
          <cell r="R2">
            <v>2.5727221479038578</v>
          </cell>
          <cell r="S2">
            <v>3.1249678901617997</v>
          </cell>
          <cell r="T2">
            <v>1.8826754693894914</v>
          </cell>
          <cell r="U2">
            <v>-0.35120645802386091</v>
          </cell>
          <cell r="V2">
            <v>-1.371053596521935</v>
          </cell>
          <cell r="W2">
            <v>-0.9538775090626983</v>
          </cell>
          <cell r="X2">
            <v>-4.5745510385792958</v>
          </cell>
          <cell r="Y2">
            <v>-6.1920272945936166</v>
          </cell>
        </row>
        <row r="3">
          <cell r="B3">
            <v>-12.973926040654298</v>
          </cell>
          <cell r="C3">
            <v>-12.973926040654298</v>
          </cell>
          <cell r="D3">
            <v>-15.061963020327148</v>
          </cell>
          <cell r="E3">
            <v>-17.149999999999999</v>
          </cell>
          <cell r="F3">
            <v>-17.149999999999999</v>
          </cell>
          <cell r="G3">
            <v>-17.149999999999999</v>
          </cell>
          <cell r="H3">
            <v>-6.8383143610572974</v>
          </cell>
          <cell r="I3">
            <v>1.4174625563887022</v>
          </cell>
          <cell r="J3">
            <v>4.5013376981694968</v>
          </cell>
          <cell r="K3">
            <v>4.5013376981694968</v>
          </cell>
          <cell r="L3">
            <v>4.1158468381986815</v>
          </cell>
          <cell r="M3">
            <v>5.7862681272191665</v>
          </cell>
          <cell r="N3">
            <v>7.8421802762104669</v>
          </cell>
          <cell r="O3">
            <v>8.0831163977998415</v>
          </cell>
          <cell r="P3">
            <v>4.533459065182365</v>
          </cell>
          <cell r="Q3">
            <v>3.5376208849873785</v>
          </cell>
          <cell r="R3">
            <v>-0.57420344916930777</v>
          </cell>
          <cell r="S3">
            <v>-0.57420344916930777</v>
          </cell>
          <cell r="T3">
            <v>-0.57420344916930777</v>
          </cell>
          <cell r="U3">
            <v>-0.57420344916930777</v>
          </cell>
          <cell r="V3">
            <v>-3.6580820365317428</v>
          </cell>
          <cell r="W3">
            <v>-4.6860415656525536</v>
          </cell>
          <cell r="X3">
            <v>-13.102411508705773</v>
          </cell>
          <cell r="Y3">
            <v>-13.102411508705773</v>
          </cell>
        </row>
        <row r="4">
          <cell r="B4">
            <v>10.472894514765443</v>
          </cell>
          <cell r="C4">
            <v>8.0242666013812762</v>
          </cell>
          <cell r="D4">
            <v>7.6041945454835265</v>
          </cell>
          <cell r="E4">
            <v>6.6413051688007609</v>
          </cell>
          <cell r="F4">
            <v>7.6454566668896442</v>
          </cell>
          <cell r="G4">
            <v>3.5483749372144215</v>
          </cell>
          <cell r="H4">
            <v>6.1910855641295681</v>
          </cell>
          <cell r="I4">
            <v>11.896902403050806</v>
          </cell>
          <cell r="J4">
            <v>17.306361267474202</v>
          </cell>
          <cell r="K4">
            <v>20.564770697133341</v>
          </cell>
          <cell r="L4">
            <v>22.450399534616484</v>
          </cell>
          <cell r="M4">
            <v>23.270038895261344</v>
          </cell>
          <cell r="N4">
            <v>24.316026579446206</v>
          </cell>
          <cell r="O4">
            <v>24.5</v>
          </cell>
          <cell r="P4">
            <v>24.326099495076207</v>
          </cell>
          <cell r="Q4">
            <v>23.516318456805454</v>
          </cell>
          <cell r="R4">
            <v>22.379528562942376</v>
          </cell>
          <cell r="S4">
            <v>19.859311727794147</v>
          </cell>
          <cell r="T4">
            <v>19.767432108848507</v>
          </cell>
          <cell r="U4">
            <v>18.804794952933733</v>
          </cell>
          <cell r="V4">
            <v>16.95060621829068</v>
          </cell>
          <cell r="W4">
            <v>20.320466561589612</v>
          </cell>
          <cell r="X4">
            <v>18.207877683851461</v>
          </cell>
          <cell r="Y4">
            <v>14.652966902939909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4.9164000000000003</v>
          </cell>
          <cell r="C2">
            <v>5.0804</v>
          </cell>
          <cell r="D2">
            <v>4.5491999999999999</v>
          </cell>
          <cell r="E2">
            <v>4.3120000000000003</v>
          </cell>
          <cell r="F2">
            <v>3.5327999999999999</v>
          </cell>
          <cell r="G2">
            <v>2.9984000000000002</v>
          </cell>
          <cell r="H2">
            <v>3.6667999999999998</v>
          </cell>
          <cell r="I2">
            <v>0.63680000000000003</v>
          </cell>
          <cell r="J2">
            <v>0.56000000000000005</v>
          </cell>
          <cell r="K2">
            <v>0.81640000000000001</v>
          </cell>
          <cell r="L2">
            <v>0.48080000000000001</v>
          </cell>
          <cell r="M2">
            <v>0.6008</v>
          </cell>
          <cell r="N2">
            <v>0.95720000000000005</v>
          </cell>
          <cell r="O2">
            <v>1.7636000000000001</v>
          </cell>
          <cell r="P2">
            <v>1.8815999999999999</v>
          </cell>
          <cell r="Q2">
            <v>1.8504</v>
          </cell>
          <cell r="R2">
            <v>1.038</v>
          </cell>
          <cell r="S2">
            <v>2.1143999999999998</v>
          </cell>
          <cell r="T2">
            <v>1.2407999999999999</v>
          </cell>
          <cell r="U2">
            <v>0.87239999999999995</v>
          </cell>
          <cell r="V2">
            <v>1.3248</v>
          </cell>
          <cell r="W2">
            <v>0.81879999999999997</v>
          </cell>
          <cell r="X2">
            <v>3.7372000000000001</v>
          </cell>
          <cell r="Y2">
            <v>4.5052000000000003</v>
          </cell>
        </row>
        <row r="3">
          <cell r="B3">
            <v>-11.1</v>
          </cell>
          <cell r="C3">
            <v>-11.8696</v>
          </cell>
          <cell r="D3">
            <v>-13.349600000000001</v>
          </cell>
          <cell r="E3">
            <v>-14.400399999999999</v>
          </cell>
          <cell r="F3">
            <v>-15.391999999999999</v>
          </cell>
          <cell r="G3">
            <v>-16.797999999999998</v>
          </cell>
          <cell r="H3">
            <v>-16.028400000000001</v>
          </cell>
          <cell r="I3">
            <v>-17.979759999999999</v>
          </cell>
          <cell r="J3">
            <v>-16.307359999999999</v>
          </cell>
          <cell r="K3">
            <v>-23.952839999999998</v>
          </cell>
          <cell r="L3">
            <v>-23.707360000000001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</v>
          </cell>
          <cell r="Q3">
            <v>-17.204239999999999</v>
          </cell>
          <cell r="R3">
            <v>-16.086960000000001</v>
          </cell>
          <cell r="S3">
            <v>-14.396240000000001</v>
          </cell>
          <cell r="T3">
            <v>-9.1377199999999998</v>
          </cell>
          <cell r="U3">
            <v>-10.22648</v>
          </cell>
          <cell r="V3">
            <v>-10.809839999999999</v>
          </cell>
          <cell r="W3">
            <v>-11.605399999999999</v>
          </cell>
          <cell r="X3">
            <v>-9.2203999999999997</v>
          </cell>
          <cell r="Y3">
            <v>-9.7975999999999992</v>
          </cell>
        </row>
        <row r="4">
          <cell r="B4">
            <v>10.69356</v>
          </cell>
          <cell r="C4">
            <v>11.44032</v>
          </cell>
          <cell r="D4">
            <v>12.82724</v>
          </cell>
          <cell r="E4">
            <v>13.802440000000001</v>
          </cell>
          <cell r="F4">
            <v>14.6914</v>
          </cell>
          <cell r="G4">
            <v>16.042000000000002</v>
          </cell>
          <cell r="H4">
            <v>15.294</v>
          </cell>
          <cell r="I4">
            <v>17.259160000000001</v>
          </cell>
          <cell r="J4">
            <v>15.80916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</v>
          </cell>
          <cell r="Q4">
            <v>13.671480000000001</v>
          </cell>
          <cell r="R4">
            <v>12.736039999999999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</v>
          </cell>
          <cell r="W4">
            <v>11.41456</v>
          </cell>
          <cell r="X4">
            <v>8.8819999999999997</v>
          </cell>
          <cell r="Y4">
            <v>9.4448000000000008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4" sqref="B4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2026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1.0615201506010001</v>
      </c>
    </row>
    <row r="6" spans="1:11" x14ac:dyDescent="0.3">
      <c r="A6" t="s">
        <v>10</v>
      </c>
      <c r="B6" s="7">
        <f>((1+[1]Main!$B$3)^($B$3-2020))*$B$4</f>
        <v>1.1596934182128902</v>
      </c>
    </row>
    <row r="7" spans="1:11" x14ac:dyDescent="0.3">
      <c r="A7" t="s">
        <v>12</v>
      </c>
      <c r="B7" s="2">
        <f>SUM('RES installed'!$C$2:$C$7)</f>
        <v>140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C8" sqref="C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>
        <v>4</v>
      </c>
      <c r="B2">
        <v>4</v>
      </c>
      <c r="C2" s="4">
        <v>30</v>
      </c>
    </row>
    <row r="3" spans="1:3" x14ac:dyDescent="0.3">
      <c r="A3">
        <v>5</v>
      </c>
      <c r="B3">
        <v>6</v>
      </c>
      <c r="C3" s="4">
        <v>20</v>
      </c>
    </row>
    <row r="4" spans="1:3" x14ac:dyDescent="0.3">
      <c r="A4">
        <v>6</v>
      </c>
      <c r="B4">
        <v>8</v>
      </c>
      <c r="C4" s="4">
        <v>30</v>
      </c>
    </row>
    <row r="5" spans="1:3" x14ac:dyDescent="0.3">
      <c r="A5">
        <v>7</v>
      </c>
      <c r="B5">
        <v>4</v>
      </c>
      <c r="C5" s="4">
        <v>30</v>
      </c>
    </row>
    <row r="6" spans="1:3" x14ac:dyDescent="0.3">
      <c r="A6">
        <v>8</v>
      </c>
      <c r="B6">
        <v>6</v>
      </c>
      <c r="C6" s="4">
        <v>10</v>
      </c>
    </row>
    <row r="7" spans="1:3" x14ac:dyDescent="0.3">
      <c r="A7">
        <v>9</v>
      </c>
      <c r="B7">
        <v>8</v>
      </c>
      <c r="C7" s="4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B2" sqref="B2:B4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21"/>
  <sheetViews>
    <sheetView workbookViewId="0">
      <selection activeCell="A7" sqref="A7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f>1/COUNT($A$2:$A$21)</f>
        <v>0.33333333333333331</v>
      </c>
    </row>
    <row r="3" spans="1:2" x14ac:dyDescent="0.3">
      <c r="A3">
        <v>2</v>
      </c>
      <c r="B3" s="1">
        <f t="shared" ref="B3:B4" si="0">1/COUNT($A$2:$A$21)</f>
        <v>0.33333333333333331</v>
      </c>
    </row>
    <row r="4" spans="1:2" x14ac:dyDescent="0.3">
      <c r="A4">
        <v>3</v>
      </c>
      <c r="B4" s="1">
        <f t="shared" si="0"/>
        <v>0.33333333333333331</v>
      </c>
    </row>
    <row r="5" spans="1:2" x14ac:dyDescent="0.3">
      <c r="B5" s="1"/>
    </row>
    <row r="6" spans="1:2" x14ac:dyDescent="0.3">
      <c r="B6" s="1"/>
    </row>
    <row r="7" spans="1:2" x14ac:dyDescent="0.3">
      <c r="B7" s="1"/>
    </row>
    <row r="8" spans="1:2" x14ac:dyDescent="0.3">
      <c r="B8" s="1"/>
    </row>
    <row r="9" spans="1:2" x14ac:dyDescent="0.3">
      <c r="B9" s="1"/>
    </row>
    <row r="10" spans="1:2" x14ac:dyDescent="0.3">
      <c r="B10" s="1"/>
    </row>
    <row r="11" spans="1:2" x14ac:dyDescent="0.3">
      <c r="B11" s="1"/>
    </row>
    <row r="12" spans="1:2" x14ac:dyDescent="0.3">
      <c r="B12" s="1"/>
    </row>
    <row r="13" spans="1:2" x14ac:dyDescent="0.3">
      <c r="B13" s="1"/>
    </row>
    <row r="14" spans="1:2" x14ac:dyDescent="0.3">
      <c r="B14" s="1"/>
    </row>
    <row r="15" spans="1:2" x14ac:dyDescent="0.3">
      <c r="B15" s="1"/>
    </row>
    <row r="16" spans="1:2" x14ac:dyDescent="0.3">
      <c r="B16" s="1"/>
    </row>
    <row r="17" spans="2:2" x14ac:dyDescent="0.3">
      <c r="B17" s="1"/>
    </row>
    <row r="18" spans="2:2" x14ac:dyDescent="0.3">
      <c r="B18" s="1"/>
    </row>
    <row r="19" spans="2:2" x14ac:dyDescent="0.3">
      <c r="B19" s="1"/>
    </row>
    <row r="20" spans="2:2" x14ac:dyDescent="0.3">
      <c r="B20" s="1"/>
    </row>
    <row r="21" spans="2:2" x14ac:dyDescent="0.3">
      <c r="B2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:Y4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5.7015167213018536</v>
      </c>
      <c r="C2" s="2">
        <f>'[1]EV Profiles'!C2*Main!$B$6</f>
        <v>5.8917064418887675</v>
      </c>
      <c r="D2" s="2">
        <f>'[1]EV Profiles'!D2*Main!$B$6</f>
        <v>5.27567729813408</v>
      </c>
      <c r="E2" s="2">
        <f>'[1]EV Profiles'!E2*Main!$B$6</f>
        <v>5.0005980193339825</v>
      </c>
      <c r="F2" s="2">
        <f>'[1]EV Profiles'!F2*Main!$B$6</f>
        <v>4.0969649078624988</v>
      </c>
      <c r="G2" s="2">
        <f>'[1]EV Profiles'!G2*Main!$B$6</f>
        <v>3.4772247451695302</v>
      </c>
      <c r="H2" s="2">
        <f>'[1]EV Profiles'!H2*Main!$B$6</f>
        <v>4.2523638259030259</v>
      </c>
      <c r="I2" s="2">
        <f>'[1]EV Profiles'!I2*Main!$B$6</f>
        <v>0.73849276871796854</v>
      </c>
      <c r="J2" s="2">
        <f>'[1]EV Profiles'!J2*Main!$B$6</f>
        <v>0.64942831419921854</v>
      </c>
      <c r="K2" s="2">
        <f>'[1]EV Profiles'!K2*Main!$B$6</f>
        <v>0.94677370662900351</v>
      </c>
      <c r="L2" s="2">
        <f>'[1]EV Profiles'!L2*Main!$B$6</f>
        <v>0.55758059547675765</v>
      </c>
      <c r="M2" s="2">
        <f>'[1]EV Profiles'!M2*Main!$B$6</f>
        <v>0.69674380566230443</v>
      </c>
      <c r="N2" s="2">
        <f>'[1]EV Profiles'!N2*Main!$B$6</f>
        <v>1.1100585399133784</v>
      </c>
      <c r="O2" s="2">
        <f>'[1]EV Profiles'!O2*Main!$B$6</f>
        <v>2.0452353123602531</v>
      </c>
      <c r="P2" s="2">
        <f>'[1]EV Profiles'!P2*Main!$B$6</f>
        <v>2.1820791357093743</v>
      </c>
      <c r="Q2" s="2">
        <f>'[1]EV Profiles'!Q2*Main!$B$6</f>
        <v>2.1458967010611318</v>
      </c>
      <c r="R2" s="2">
        <f>'[1]EV Profiles'!R2*Main!$B$6</f>
        <v>1.2037617681049801</v>
      </c>
      <c r="S2" s="2">
        <f>'[1]EV Profiles'!S2*Main!$B$6</f>
        <v>2.452055763469335</v>
      </c>
      <c r="T2" s="2">
        <f>'[1]EV Profiles'!T2*Main!$B$6</f>
        <v>1.438947593318554</v>
      </c>
      <c r="U2" s="2">
        <f>'[1]EV Profiles'!U2*Main!$B$6</f>
        <v>1.0117165380489253</v>
      </c>
      <c r="V2" s="2">
        <f>'[1]EV Profiles'!V2*Main!$B$6</f>
        <v>1.5363618404484369</v>
      </c>
      <c r="W2" s="2">
        <f>'[1]EV Profiles'!W2*Main!$B$6</f>
        <v>0.9495569708327144</v>
      </c>
      <c r="X2" s="2">
        <f>'[1]EV Profiles'!X2*Main!$B$6</f>
        <v>4.3340062425452137</v>
      </c>
      <c r="Y2" s="2">
        <f>'[1]EV Profiles'!Y2*Main!$B$6</f>
        <v>5.2246507877327133</v>
      </c>
    </row>
    <row r="3" spans="1:25" x14ac:dyDescent="0.3">
      <c r="A3" t="s">
        <v>17</v>
      </c>
      <c r="B3" s="2">
        <f>'[1]EV Profiles'!B3*Main!$B$6</f>
        <v>-12.872596942163081</v>
      </c>
      <c r="C3" s="2">
        <f>'[1]EV Profiles'!C3*Main!$B$6</f>
        <v>-13.765096996819722</v>
      </c>
      <c r="D3" s="2">
        <f>'[1]EV Profiles'!D3*Main!$B$6</f>
        <v>-15.481443255774799</v>
      </c>
      <c r="E3" s="2">
        <f>'[1]EV Profiles'!E3*Main!$B$6</f>
        <v>-16.700049099632903</v>
      </c>
      <c r="F3" s="2">
        <f>'[1]EV Profiles'!F3*Main!$B$6</f>
        <v>-17.850001093132803</v>
      </c>
      <c r="G3" s="2">
        <f>'[1]EV Profiles'!G3*Main!$B$6</f>
        <v>-19.480530039140127</v>
      </c>
      <c r="H3" s="2">
        <f>'[1]EV Profiles'!H3*Main!$B$6</f>
        <v>-18.588029984483491</v>
      </c>
      <c r="I3" s="2">
        <f>'[1]EV Profiles'!I3*Main!$B$6</f>
        <v>-20.851009333047394</v>
      </c>
      <c r="J3" s="2">
        <f>'[1]EV Profiles'!J3*Main!$B$6</f>
        <v>-18.911538060428157</v>
      </c>
      <c r="K3" s="2">
        <f>'[1]EV Profiles'!K3*Main!$B$6</f>
        <v>-27.777950895506443</v>
      </c>
      <c r="L3" s="2">
        <f>'[1]EV Profiles'!L3*Main!$B$6</f>
        <v>-27.493269355203545</v>
      </c>
      <c r="M3" s="2">
        <f>'[1]EV Profiles'!M3*Main!$B$6</f>
        <v>-25.133061310456672</v>
      </c>
      <c r="N3" s="2">
        <f>'[1]EV Profiles'!N3*Main!$B$6</f>
        <v>-24.09212049826878</v>
      </c>
      <c r="O3" s="2">
        <f>'[1]EV Profiles'!O3*Main!$B$6</f>
        <v>-23.260527541936682</v>
      </c>
      <c r="P3" s="2">
        <f>'[1]EV Profiles'!P3*Main!$B$6</f>
        <v>-21.924792662839074</v>
      </c>
      <c r="Q3" s="2">
        <f>'[1]EV Profiles'!Q3*Main!$B$6</f>
        <v>-19.951643893354934</v>
      </c>
      <c r="R3" s="2">
        <f>'[1]EV Profiles'!R3*Main!$B$6</f>
        <v>-18.655941631054038</v>
      </c>
      <c r="S3" s="2">
        <f>'[1]EV Profiles'!S3*Main!$B$6</f>
        <v>-16.695224775013138</v>
      </c>
      <c r="T3" s="2">
        <f>'[1]EV Profiles'!T3*Main!$B$6</f>
        <v>-10.596953741472291</v>
      </c>
      <c r="U3" s="2">
        <f>'[1]EV Profiles'!U3*Main!$B$6</f>
        <v>-11.859581547485758</v>
      </c>
      <c r="V3" s="2">
        <f>'[1]EV Profiles'!V3*Main!$B$6</f>
        <v>-12.536100299934429</v>
      </c>
      <c r="W3" s="2">
        <f>'[1]EV Profiles'!W3*Main!$B$6</f>
        <v>-13.458705995727875</v>
      </c>
      <c r="X3" s="2">
        <f>'[1]EV Profiles'!X3*Main!$B$6</f>
        <v>-10.692837193290133</v>
      </c>
      <c r="Y3" s="2">
        <f>'[1]EV Profiles'!Y3*Main!$B$6</f>
        <v>-11.362212234282612</v>
      </c>
    </row>
    <row r="4" spans="1:25" x14ac:dyDescent="0.3">
      <c r="A4" t="s">
        <v>18</v>
      </c>
      <c r="B4" s="2">
        <f>'[1]EV Profiles'!B4*Main!$B$6</f>
        <v>12.401251149264633</v>
      </c>
      <c r="C4" s="2">
        <f>'[1]EV Profiles'!C4*Main!$B$6</f>
        <v>13.267263806249291</v>
      </c>
      <c r="D4" s="2">
        <f>'[1]EV Profiles'!D4*Main!$B$6</f>
        <v>14.875665801837114</v>
      </c>
      <c r="E4" s="2">
        <f>'[1]EV Profiles'!E4*Main!$B$6</f>
        <v>16.006598823278324</v>
      </c>
      <c r="F4" s="2">
        <f>'[1]EV Profiles'!F4*Main!$B$6</f>
        <v>17.037519884332855</v>
      </c>
      <c r="G4" s="2">
        <f>'[1]EV Profiles'!G4*Main!$B$6</f>
        <v>18.603801814971185</v>
      </c>
      <c r="H4" s="2">
        <f>'[1]EV Profiles'!H4*Main!$B$6</f>
        <v>17.736351138147942</v>
      </c>
      <c r="I4" s="2">
        <f>'[1]EV Profiles'!I4*Main!$B$6</f>
        <v>20.015334255883186</v>
      </c>
      <c r="J4" s="2">
        <f>'[1]EV Profiles'!J4*Main!$B$6</f>
        <v>18.333778799474494</v>
      </c>
      <c r="K4" s="2">
        <f>'[1]EV Profiles'!K4*Main!$B$6</f>
        <v>20.920219836246339</v>
      </c>
      <c r="L4" s="2">
        <f>'[1]EV Profiles'!L4*Main!$B$6</f>
        <v>21.084942689369299</v>
      </c>
      <c r="M4" s="2">
        <f>'[1]EV Profiles'!M4*Main!$B$6</f>
        <v>19.737564488352835</v>
      </c>
      <c r="N4" s="2">
        <f>'[1]EV Profiles'!N4*Main!$B$6</f>
        <v>19.072317955929194</v>
      </c>
      <c r="O4" s="2">
        <f>'[1]EV Profiles'!O4*Main!$B$6</f>
        <v>18.58209235418224</v>
      </c>
      <c r="P4" s="2">
        <f>'[1]EV Profiles'!P4*Main!$B$6</f>
        <v>17.414327469778588</v>
      </c>
      <c r="Q4" s="2">
        <f>'[1]EV Profiles'!Q4*Main!$B$6</f>
        <v>15.854725373229165</v>
      </c>
      <c r="R4" s="2">
        <f>'[1]EV Profiles'!R4*Main!$B$6</f>
        <v>14.769901762096097</v>
      </c>
      <c r="S4" s="2">
        <f>'[1]EV Profiles'!S4*Main!$B$6</f>
        <v>13.200651016307143</v>
      </c>
      <c r="T4" s="2">
        <f>'[1]EV Profiles'!T4*Main!$B$6</f>
        <v>10.332126152489195</v>
      </c>
      <c r="U4" s="2">
        <f>'[1]EV Profiles'!U4*Main!$B$6</f>
        <v>11.564648317365856</v>
      </c>
      <c r="V4" s="2">
        <f>'[1]EV Profiles'!V4*Main!$B$6</f>
        <v>12.288760887697984</v>
      </c>
      <c r="W4" s="2">
        <f>'[1]EV Profiles'!W4*Main!$B$6</f>
        <v>13.237390103796127</v>
      </c>
      <c r="X4" s="2">
        <f>'[1]EV Profiles'!X4*Main!$B$6</f>
        <v>10.300396940566889</v>
      </c>
      <c r="Y4" s="2">
        <f>'[1]EV Profiles'!Y4*Main!$B$6</f>
        <v>10.953072396337106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30.402690668264714</v>
      </c>
      <c r="C2" s="2">
        <f>('[1]Pc, Winter, S1'!C2*Main!$B$5)+(_xlfn.IFNA(VLOOKUP($A2,'FL Ratio'!$A$3:$B$10,2,FALSE),0)*'FL Characterization'!C$2)</f>
        <v>28.358057852932614</v>
      </c>
      <c r="D2" s="2">
        <f>('[1]Pc, Winter, S1'!D2*Main!$B$5)+(_xlfn.IFNA(VLOOKUP($A2,'FL Ratio'!$A$3:$B$10,2,FALSE),0)*'FL Characterization'!D$2)</f>
        <v>26.870131297899693</v>
      </c>
      <c r="E2" s="2">
        <f>('[1]Pc, Winter, S1'!E2*Main!$B$5)+(_xlfn.IFNA(VLOOKUP($A2,'FL Ratio'!$A$3:$B$10,2,FALSE),0)*'FL Characterization'!E$2)</f>
        <v>26.680010165207193</v>
      </c>
      <c r="F2" s="2">
        <f>('[1]Pc, Winter, S1'!F2*Main!$B$5)+(_xlfn.IFNA(VLOOKUP($A2,'FL Ratio'!$A$3:$B$10,2,FALSE),0)*'FL Characterization'!F$2)</f>
        <v>27.001831662908401</v>
      </c>
      <c r="G2" s="2">
        <f>('[1]Pc, Winter, S1'!G2*Main!$B$5)+(_xlfn.IFNA(VLOOKUP($A2,'FL Ratio'!$A$3:$B$10,2,FALSE),0)*'FL Characterization'!G$2)</f>
        <v>29.680843094874572</v>
      </c>
      <c r="H2" s="2">
        <f>('[1]Pc, Winter, S1'!H2*Main!$B$5)+(_xlfn.IFNA(VLOOKUP($A2,'FL Ratio'!$A$3:$B$10,2,FALSE),0)*'FL Characterization'!H$2)</f>
        <v>35.416479092004735</v>
      </c>
      <c r="I2" s="2">
        <f>('[1]Pc, Winter, S1'!I2*Main!$B$5)+(_xlfn.IFNA(VLOOKUP($A2,'FL Ratio'!$A$3:$B$10,2,FALSE),0)*'FL Characterization'!I$2)</f>
        <v>42.630643126086447</v>
      </c>
      <c r="J2" s="2">
        <f>('[1]Pc, Winter, S1'!J2*Main!$B$5)+(_xlfn.IFNA(VLOOKUP($A2,'FL Ratio'!$A$3:$B$10,2,FALSE),0)*'FL Characterization'!J$2)</f>
        <v>46.413186322182895</v>
      </c>
      <c r="K2" s="2">
        <f>('[1]Pc, Winter, S1'!K2*Main!$B$5)+(_xlfn.IFNA(VLOOKUP($A2,'FL Ratio'!$A$3:$B$10,2,FALSE),0)*'FL Characterization'!K$2)</f>
        <v>46.991950852305166</v>
      </c>
      <c r="L2" s="2">
        <f>('[1]Pc, Winter, S1'!L2*Main!$B$5)+(_xlfn.IFNA(VLOOKUP($A2,'FL Ratio'!$A$3:$B$10,2,FALSE),0)*'FL Characterization'!L$2)</f>
        <v>45.723795557126543</v>
      </c>
      <c r="M2" s="2">
        <f>('[1]Pc, Winter, S1'!M2*Main!$B$5)+(_xlfn.IFNA(VLOOKUP($A2,'FL Ratio'!$A$3:$B$10,2,FALSE),0)*'FL Characterization'!M$2)</f>
        <v>45.959462110860194</v>
      </c>
      <c r="N2" s="2">
        <f>('[1]Pc, Winter, S1'!N2*Main!$B$5)+(_xlfn.IFNA(VLOOKUP($A2,'FL Ratio'!$A$3:$B$10,2,FALSE),0)*'FL Characterization'!N$2)</f>
        <v>45.921693912608731</v>
      </c>
      <c r="O2" s="2">
        <f>('[1]Pc, Winter, S1'!O2*Main!$B$5)+(_xlfn.IFNA(VLOOKUP($A2,'FL Ratio'!$A$3:$B$10,2,FALSE),0)*'FL Characterization'!O$2)</f>
        <v>45.171817247212516</v>
      </c>
      <c r="P2" s="2">
        <f>('[1]Pc, Winter, S1'!P2*Main!$B$5)+(_xlfn.IFNA(VLOOKUP($A2,'FL Ratio'!$A$3:$B$10,2,FALSE),0)*'FL Characterization'!P$2)</f>
        <v>42.597495565943888</v>
      </c>
      <c r="Q2" s="2">
        <f>('[1]Pc, Winter, S1'!Q2*Main!$B$5)+(_xlfn.IFNA(VLOOKUP($A2,'FL Ratio'!$A$3:$B$10,2,FALSE),0)*'FL Characterization'!Q$2)</f>
        <v>41.377061580443304</v>
      </c>
      <c r="R2" s="2">
        <f>('[1]Pc, Winter, S1'!R2*Main!$B$5)+(_xlfn.IFNA(VLOOKUP($A2,'FL Ratio'!$A$3:$B$10,2,FALSE),0)*'FL Characterization'!R$2)</f>
        <v>43.092104334095673</v>
      </c>
      <c r="S2" s="2">
        <f>('[1]Pc, Winter, S1'!S2*Main!$B$5)+(_xlfn.IFNA(VLOOKUP($A2,'FL Ratio'!$A$3:$B$10,2,FALSE),0)*'FL Characterization'!S$2)</f>
        <v>47.768406777045008</v>
      </c>
      <c r="T2" s="2">
        <f>('[1]Pc, Winter, S1'!T2*Main!$B$5)+(_xlfn.IFNA(VLOOKUP($A2,'FL Ratio'!$A$3:$B$10,2,FALSE),0)*'FL Characterization'!T$2)</f>
        <v>47.595247057969296</v>
      </c>
      <c r="U2" s="2">
        <f>('[1]Pc, Winter, S1'!U2*Main!$B$5)+(_xlfn.IFNA(VLOOKUP($A2,'FL Ratio'!$A$3:$B$10,2,FALSE),0)*'FL Characterization'!U$2)</f>
        <v>46.609854300651527</v>
      </c>
      <c r="V2" s="2">
        <f>('[1]Pc, Winter, S1'!V2*Main!$B$5)+(_xlfn.IFNA(VLOOKUP($A2,'FL Ratio'!$A$3:$B$10,2,FALSE),0)*'FL Characterization'!V$2)</f>
        <v>45.808285424507808</v>
      </c>
      <c r="W2" s="2">
        <f>('[1]Pc, Winter, S1'!W2*Main!$B$5)+(_xlfn.IFNA(VLOOKUP($A2,'FL Ratio'!$A$3:$B$10,2,FALSE),0)*'FL Characterization'!W$2)</f>
        <v>42.934684549924604</v>
      </c>
      <c r="X2" s="2">
        <f>('[1]Pc, Winter, S1'!X2*Main!$B$5)+(_xlfn.IFNA(VLOOKUP($A2,'FL Ratio'!$A$3:$B$10,2,FALSE),0)*'FL Characterization'!X$2)</f>
        <v>37.559860664774533</v>
      </c>
      <c r="Y2" s="2">
        <f>('[1]Pc, Winter, S1'!Y2*Main!$B$5)+(_xlfn.IFNA(VLOOKUP($A2,'FL Ratio'!$A$3:$B$10,2,FALSE),0)*'FL Characterization'!Y$2)</f>
        <v>34.076327743349545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31.961387760551737</v>
      </c>
      <c r="C3" s="2">
        <f>('[1]Pc, Winter, S1'!C3*Main!$B$5)+(_xlfn.IFNA(VLOOKUP($A3,'FL Ratio'!$A$3:$B$10,2,FALSE),0)*'FL Characterization'!C$2)</f>
        <v>29.898021687898545</v>
      </c>
      <c r="D3" s="2">
        <f>('[1]Pc, Winter, S1'!D3*Main!$B$5)+(_xlfn.IFNA(VLOOKUP($A3,'FL Ratio'!$A$3:$B$10,2,FALSE),0)*'FL Characterization'!D$2)</f>
        <v>27.037614218332408</v>
      </c>
      <c r="E3" s="2">
        <f>('[1]Pc, Winter, S1'!E3*Main!$B$5)+(_xlfn.IFNA(VLOOKUP($A3,'FL Ratio'!$A$3:$B$10,2,FALSE),0)*'FL Characterization'!E$2)</f>
        <v>28.855940844429952</v>
      </c>
      <c r="F3" s="2">
        <f>('[1]Pc, Winter, S1'!F3*Main!$B$5)+(_xlfn.IFNA(VLOOKUP($A3,'FL Ratio'!$A$3:$B$10,2,FALSE),0)*'FL Characterization'!F$2)</f>
        <v>28.459905141556639</v>
      </c>
      <c r="G3" s="2">
        <f>('[1]Pc, Winter, S1'!G3*Main!$B$5)+(_xlfn.IFNA(VLOOKUP($A3,'FL Ratio'!$A$3:$B$10,2,FALSE),0)*'FL Characterization'!G$2)</f>
        <v>29.40475040564786</v>
      </c>
      <c r="H3" s="2">
        <f>('[1]Pc, Winter, S1'!H3*Main!$B$5)+(_xlfn.IFNA(VLOOKUP($A3,'FL Ratio'!$A$3:$B$10,2,FALSE),0)*'FL Characterization'!H$2)</f>
        <v>43.45324793514574</v>
      </c>
      <c r="I3" s="2">
        <f>('[1]Pc, Winter, S1'!I3*Main!$B$5)+(_xlfn.IFNA(VLOOKUP($A3,'FL Ratio'!$A$3:$B$10,2,FALSE),0)*'FL Characterization'!I$2)</f>
        <v>47.063793376065775</v>
      </c>
      <c r="J3" s="2">
        <f>('[1]Pc, Winter, S1'!J3*Main!$B$5)+(_xlfn.IFNA(VLOOKUP($A3,'FL Ratio'!$A$3:$B$10,2,FALSE),0)*'FL Characterization'!J$2)</f>
        <v>51.545010922166966</v>
      </c>
      <c r="K3" s="2">
        <f>('[1]Pc, Winter, S1'!K3*Main!$B$5)+(_xlfn.IFNA(VLOOKUP($A3,'FL Ratio'!$A$3:$B$10,2,FALSE),0)*'FL Characterization'!K$2)</f>
        <v>51.671216738929637</v>
      </c>
      <c r="L3" s="2">
        <f>('[1]Pc, Winter, S1'!L3*Main!$B$5)+(_xlfn.IFNA(VLOOKUP($A3,'FL Ratio'!$A$3:$B$10,2,FALSE),0)*'FL Characterization'!L$2)</f>
        <v>48.696771944985095</v>
      </c>
      <c r="M3" s="2">
        <f>('[1]Pc, Winter, S1'!M3*Main!$B$5)+(_xlfn.IFNA(VLOOKUP($A3,'FL Ratio'!$A$3:$B$10,2,FALSE),0)*'FL Characterization'!M$2)</f>
        <v>53.308255465270776</v>
      </c>
      <c r="N3" s="2">
        <f>('[1]Pc, Winter, S1'!N3*Main!$B$5)+(_xlfn.IFNA(VLOOKUP($A3,'FL Ratio'!$A$3:$B$10,2,FALSE),0)*'FL Characterization'!N$2)</f>
        <v>50.425210758608216</v>
      </c>
      <c r="O3" s="2">
        <f>('[1]Pc, Winter, S1'!O3*Main!$B$5)+(_xlfn.IFNA(VLOOKUP($A3,'FL Ratio'!$A$3:$B$10,2,FALSE),0)*'FL Characterization'!O$2)</f>
        <v>47.540014615618162</v>
      </c>
      <c r="P3" s="2">
        <f>('[1]Pc, Winter, S1'!P3*Main!$B$5)+(_xlfn.IFNA(VLOOKUP($A3,'FL Ratio'!$A$3:$B$10,2,FALSE),0)*'FL Characterization'!P$2)</f>
        <v>46.163270891977994</v>
      </c>
      <c r="Q3" s="2">
        <f>('[1]Pc, Winter, S1'!Q3*Main!$B$5)+(_xlfn.IFNA(VLOOKUP($A3,'FL Ratio'!$A$3:$B$10,2,FALSE),0)*'FL Characterization'!Q$2)</f>
        <v>43.171028364007988</v>
      </c>
      <c r="R3" s="2">
        <f>('[1]Pc, Winter, S1'!R3*Main!$B$5)+(_xlfn.IFNA(VLOOKUP($A3,'FL Ratio'!$A$3:$B$10,2,FALSE),0)*'FL Characterization'!R$2)</f>
        <v>42.884076978261298</v>
      </c>
      <c r="S3" s="2">
        <f>('[1]Pc, Winter, S1'!S3*Main!$B$5)+(_xlfn.IFNA(VLOOKUP($A3,'FL Ratio'!$A$3:$B$10,2,FALSE),0)*'FL Characterization'!S$2)</f>
        <v>45.792692395762778</v>
      </c>
      <c r="T3" s="2">
        <f>('[1]Pc, Winter, S1'!T3*Main!$B$5)+(_xlfn.IFNA(VLOOKUP($A3,'FL Ratio'!$A$3:$B$10,2,FALSE),0)*'FL Characterization'!T$2)</f>
        <v>45.454989672379185</v>
      </c>
      <c r="U3" s="2">
        <f>('[1]Pc, Winter, S1'!U3*Main!$B$5)+(_xlfn.IFNA(VLOOKUP($A3,'FL Ratio'!$A$3:$B$10,2,FALSE),0)*'FL Characterization'!U$2)</f>
        <v>45.989884220130271</v>
      </c>
      <c r="V3" s="2">
        <f>('[1]Pc, Winter, S1'!V3*Main!$B$5)+(_xlfn.IFNA(VLOOKUP($A3,'FL Ratio'!$A$3:$B$10,2,FALSE),0)*'FL Characterization'!V$2)</f>
        <v>44.932054074026112</v>
      </c>
      <c r="W3" s="2">
        <f>('[1]Pc, Winter, S1'!W3*Main!$B$5)+(_xlfn.IFNA(VLOOKUP($A3,'FL Ratio'!$A$3:$B$10,2,FALSE),0)*'FL Characterization'!W$2)</f>
        <v>40.455827754645973</v>
      </c>
      <c r="X3" s="2">
        <f>('[1]Pc, Winter, S1'!X3*Main!$B$5)+(_xlfn.IFNA(VLOOKUP($A3,'FL Ratio'!$A$3:$B$10,2,FALSE),0)*'FL Characterization'!X$2)</f>
        <v>35.393335995003092</v>
      </c>
      <c r="Y3" s="2">
        <f>('[1]Pc, Winter, S1'!Y3*Main!$B$5)+(_xlfn.IFNA(VLOOKUP($A3,'FL Ratio'!$A$3:$B$10,2,FALSE),0)*'FL Characterization'!Y$2)</f>
        <v>34.592964838163894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45.594716867429106</v>
      </c>
      <c r="C4" s="2">
        <f>('[1]Pc, Winter, S1'!C4*Main!$B$5)+(_xlfn.IFNA(VLOOKUP($A4,'FL Ratio'!$A$3:$B$10,2,FALSE),0)*'FL Characterization'!C$2)</f>
        <v>40.408897725499898</v>
      </c>
      <c r="D4" s="2">
        <f>('[1]Pc, Winter, S1'!D4*Main!$B$5)+(_xlfn.IFNA(VLOOKUP($A4,'FL Ratio'!$A$3:$B$10,2,FALSE),0)*'FL Characterization'!D$2)</f>
        <v>37.952745792192239</v>
      </c>
      <c r="E4" s="2">
        <f>('[1]Pc, Winter, S1'!E4*Main!$B$5)+(_xlfn.IFNA(VLOOKUP($A4,'FL Ratio'!$A$3:$B$10,2,FALSE),0)*'FL Characterization'!E$2)</f>
        <v>37.431229659427224</v>
      </c>
      <c r="F4" s="2">
        <f>('[1]Pc, Winter, S1'!F4*Main!$B$5)+(_xlfn.IFNA(VLOOKUP($A4,'FL Ratio'!$A$3:$B$10,2,FALSE),0)*'FL Characterization'!F$2)</f>
        <v>38.800340042694103</v>
      </c>
      <c r="G4" s="2">
        <f>('[1]Pc, Winter, S1'!G4*Main!$B$5)+(_xlfn.IFNA(VLOOKUP($A4,'FL Ratio'!$A$3:$B$10,2,FALSE),0)*'FL Characterization'!G$2)</f>
        <v>41.577444787272974</v>
      </c>
      <c r="H4" s="2">
        <f>('[1]Pc, Winter, S1'!H4*Main!$B$5)+(_xlfn.IFNA(VLOOKUP($A4,'FL Ratio'!$A$3:$B$10,2,FALSE),0)*'FL Characterization'!H$2)</f>
        <v>50.189289229030194</v>
      </c>
      <c r="I4" s="2">
        <f>('[1]Pc, Winter, S1'!I4*Main!$B$5)+(_xlfn.IFNA(VLOOKUP($A4,'FL Ratio'!$A$3:$B$10,2,FALSE),0)*'FL Characterization'!I$2)</f>
        <v>54.769934444824926</v>
      </c>
      <c r="J4" s="2">
        <f>('[1]Pc, Winter, S1'!J4*Main!$B$5)+(_xlfn.IFNA(VLOOKUP($A4,'FL Ratio'!$A$3:$B$10,2,FALSE),0)*'FL Characterization'!J$2)</f>
        <v>57.924928133220881</v>
      </c>
      <c r="K4" s="2">
        <f>('[1]Pc, Winter, S1'!K4*Main!$B$5)+(_xlfn.IFNA(VLOOKUP($A4,'FL Ratio'!$A$3:$B$10,2,FALSE),0)*'FL Characterization'!K$2)</f>
        <v>59.987237158516265</v>
      </c>
      <c r="L4" s="2">
        <f>('[1]Pc, Winter, S1'!L4*Main!$B$5)+(_xlfn.IFNA(VLOOKUP($A4,'FL Ratio'!$A$3:$B$10,2,FALSE),0)*'FL Characterization'!L$2)</f>
        <v>60.403475066747362</v>
      </c>
      <c r="M4" s="2">
        <f>('[1]Pc, Winter, S1'!M4*Main!$B$5)+(_xlfn.IFNA(VLOOKUP($A4,'FL Ratio'!$A$3:$B$10,2,FALSE),0)*'FL Characterization'!M$2)</f>
        <v>59.821771698477754</v>
      </c>
      <c r="N4" s="2">
        <f>('[1]Pc, Winter, S1'!N4*Main!$B$5)+(_xlfn.IFNA(VLOOKUP($A4,'FL Ratio'!$A$3:$B$10,2,FALSE),0)*'FL Characterization'!N$2)</f>
        <v>59.621419931897691</v>
      </c>
      <c r="O4" s="2">
        <f>('[1]Pc, Winter, S1'!O4*Main!$B$5)+(_xlfn.IFNA(VLOOKUP($A4,'FL Ratio'!$A$3:$B$10,2,FALSE),0)*'FL Characterization'!O$2)</f>
        <v>58.711263106868962</v>
      </c>
      <c r="P4" s="2">
        <f>('[1]Pc, Winter, S1'!P4*Main!$B$5)+(_xlfn.IFNA(VLOOKUP($A4,'FL Ratio'!$A$3:$B$10,2,FALSE),0)*'FL Characterization'!P$2)</f>
        <v>56.909695751683486</v>
      </c>
      <c r="Q4" s="2">
        <f>('[1]Pc, Winter, S1'!Q4*Main!$B$5)+(_xlfn.IFNA(VLOOKUP($A4,'FL Ratio'!$A$3:$B$10,2,FALSE),0)*'FL Characterization'!Q$2)</f>
        <v>55.880360845142611</v>
      </c>
      <c r="R4" s="2">
        <f>('[1]Pc, Winter, S1'!R4*Main!$B$5)+(_xlfn.IFNA(VLOOKUP($A4,'FL Ratio'!$A$3:$B$10,2,FALSE),0)*'FL Characterization'!R$2)</f>
        <v>57.535672915875281</v>
      </c>
      <c r="S4" s="2">
        <f>('[1]Pc, Winter, S1'!S4*Main!$B$5)+(_xlfn.IFNA(VLOOKUP($A4,'FL Ratio'!$A$3:$B$10,2,FALSE),0)*'FL Characterization'!S$2)</f>
        <v>65.501607466284611</v>
      </c>
      <c r="T4" s="2">
        <f>('[1]Pc, Winter, S1'!T4*Main!$B$5)+(_xlfn.IFNA(VLOOKUP($A4,'FL Ratio'!$A$3:$B$10,2,FALSE),0)*'FL Characterization'!T$2)</f>
        <v>66.432955220756767</v>
      </c>
      <c r="U4" s="2">
        <f>('[1]Pc, Winter, S1'!U4*Main!$B$5)+(_xlfn.IFNA(VLOOKUP($A4,'FL Ratio'!$A$3:$B$10,2,FALSE),0)*'FL Characterization'!U$2)</f>
        <v>66.682248258578809</v>
      </c>
      <c r="V4" s="2">
        <f>('[1]Pc, Winter, S1'!V4*Main!$B$5)+(_xlfn.IFNA(VLOOKUP($A4,'FL Ratio'!$A$3:$B$10,2,FALSE),0)*'FL Characterization'!V$2)</f>
        <v>64.884232580829277</v>
      </c>
      <c r="W4" s="2">
        <f>('[1]Pc, Winter, S1'!W4*Main!$B$5)+(_xlfn.IFNA(VLOOKUP($A4,'FL Ratio'!$A$3:$B$10,2,FALSE),0)*'FL Characterization'!W$2)</f>
        <v>61.746075060171364</v>
      </c>
      <c r="X4" s="2">
        <f>('[1]Pc, Winter, S1'!X4*Main!$B$5)+(_xlfn.IFNA(VLOOKUP($A4,'FL Ratio'!$A$3:$B$10,2,FALSE),0)*'FL Characterization'!X$2)</f>
        <v>57.459434550292087</v>
      </c>
      <c r="Y4" s="2">
        <f>('[1]Pc, Winter, S1'!Y4*Main!$B$5)+(_xlfn.IFNA(VLOOKUP($A4,'FL Ratio'!$A$3:$B$10,2,FALSE),0)*'FL Characterization'!Y$2)</f>
        <v>51.253386606915647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30.402690668264714</v>
      </c>
      <c r="C2" s="2">
        <f>('[1]Pc, Winter, S1'!C2*Main!$B$5)+(_xlfn.IFNA(VLOOKUP($A2,'FL Ratio'!$A$3:$B$10,2,FALSE),0)*'FL Characterization'!C$2)</f>
        <v>28.358057852932614</v>
      </c>
      <c r="D2" s="2">
        <f>('[1]Pc, Winter, S1'!D2*Main!$B$5)+(_xlfn.IFNA(VLOOKUP($A2,'FL Ratio'!$A$3:$B$10,2,FALSE),0)*'FL Characterization'!D$2)</f>
        <v>26.870131297899693</v>
      </c>
      <c r="E2" s="2">
        <f>('[1]Pc, Winter, S1'!E2*Main!$B$5)+(_xlfn.IFNA(VLOOKUP($A2,'FL Ratio'!$A$3:$B$10,2,FALSE),0)*'FL Characterization'!E$2)</f>
        <v>26.680010165207193</v>
      </c>
      <c r="F2" s="2">
        <f>('[1]Pc, Winter, S1'!F2*Main!$B$5)+(_xlfn.IFNA(VLOOKUP($A2,'FL Ratio'!$A$3:$B$10,2,FALSE),0)*'FL Characterization'!F$2)</f>
        <v>27.001831662908401</v>
      </c>
      <c r="G2" s="2">
        <f>('[1]Pc, Winter, S1'!G2*Main!$B$5)+(_xlfn.IFNA(VLOOKUP($A2,'FL Ratio'!$A$3:$B$10,2,FALSE),0)*'FL Characterization'!G$2)</f>
        <v>29.680843094874572</v>
      </c>
      <c r="H2" s="2">
        <f>('[1]Pc, Winter, S1'!H2*Main!$B$5)+(_xlfn.IFNA(VLOOKUP($A2,'FL Ratio'!$A$3:$B$10,2,FALSE),0)*'FL Characterization'!H$2)</f>
        <v>35.416479092004735</v>
      </c>
      <c r="I2" s="2">
        <f>('[1]Pc, Winter, S1'!I2*Main!$B$5)+(_xlfn.IFNA(VLOOKUP($A2,'FL Ratio'!$A$3:$B$10,2,FALSE),0)*'FL Characterization'!I$2)</f>
        <v>42.630643126086447</v>
      </c>
      <c r="J2" s="2">
        <f>('[1]Pc, Winter, S1'!J2*Main!$B$5)+(_xlfn.IFNA(VLOOKUP($A2,'FL Ratio'!$A$3:$B$10,2,FALSE),0)*'FL Characterization'!J$2)</f>
        <v>46.413186322182895</v>
      </c>
      <c r="K2" s="2">
        <f>('[1]Pc, Winter, S1'!K2*Main!$B$5)+(_xlfn.IFNA(VLOOKUP($A2,'FL Ratio'!$A$3:$B$10,2,FALSE),0)*'FL Characterization'!K$2)</f>
        <v>46.991950852305166</v>
      </c>
      <c r="L2" s="2">
        <f>('[1]Pc, Winter, S1'!L2*Main!$B$5)+(_xlfn.IFNA(VLOOKUP($A2,'FL Ratio'!$A$3:$B$10,2,FALSE),0)*'FL Characterization'!L$2)</f>
        <v>45.723795557126543</v>
      </c>
      <c r="M2" s="2">
        <f>('[1]Pc, Winter, S1'!M2*Main!$B$5)+(_xlfn.IFNA(VLOOKUP($A2,'FL Ratio'!$A$3:$B$10,2,FALSE),0)*'FL Characterization'!M$2)</f>
        <v>45.959462110860194</v>
      </c>
      <c r="N2" s="2">
        <f>('[1]Pc, Winter, S1'!N2*Main!$B$5)+(_xlfn.IFNA(VLOOKUP($A2,'FL Ratio'!$A$3:$B$10,2,FALSE),0)*'FL Characterization'!N$2)</f>
        <v>45.921693912608731</v>
      </c>
      <c r="O2" s="2">
        <f>('[1]Pc, Winter, S1'!O2*Main!$B$5)+(_xlfn.IFNA(VLOOKUP($A2,'FL Ratio'!$A$3:$B$10,2,FALSE),0)*'FL Characterization'!O$2)</f>
        <v>45.171817247212516</v>
      </c>
      <c r="P2" s="2">
        <f>('[1]Pc, Winter, S1'!P2*Main!$B$5)+(_xlfn.IFNA(VLOOKUP($A2,'FL Ratio'!$A$3:$B$10,2,FALSE),0)*'FL Characterization'!P$2)</f>
        <v>42.597495565943888</v>
      </c>
      <c r="Q2" s="2">
        <f>('[1]Pc, Winter, S1'!Q2*Main!$B$5)+(_xlfn.IFNA(VLOOKUP($A2,'FL Ratio'!$A$3:$B$10,2,FALSE),0)*'FL Characterization'!Q$2)</f>
        <v>41.377061580443304</v>
      </c>
      <c r="R2" s="2">
        <f>('[1]Pc, Winter, S1'!R2*Main!$B$5)+(_xlfn.IFNA(VLOOKUP($A2,'FL Ratio'!$A$3:$B$10,2,FALSE),0)*'FL Characterization'!R$2)</f>
        <v>43.092104334095673</v>
      </c>
      <c r="S2" s="2">
        <f>('[1]Pc, Winter, S1'!S2*Main!$B$5)+(_xlfn.IFNA(VLOOKUP($A2,'FL Ratio'!$A$3:$B$10,2,FALSE),0)*'FL Characterization'!S$2)</f>
        <v>47.768406777045008</v>
      </c>
      <c r="T2" s="2">
        <f>('[1]Pc, Winter, S1'!T2*Main!$B$5)+(_xlfn.IFNA(VLOOKUP($A2,'FL Ratio'!$A$3:$B$10,2,FALSE),0)*'FL Characterization'!T$2)</f>
        <v>47.595247057969296</v>
      </c>
      <c r="U2" s="2">
        <f>('[1]Pc, Winter, S1'!U2*Main!$B$5)+(_xlfn.IFNA(VLOOKUP($A2,'FL Ratio'!$A$3:$B$10,2,FALSE),0)*'FL Characterization'!U$2)</f>
        <v>46.609854300651527</v>
      </c>
      <c r="V2" s="2">
        <f>('[1]Pc, Winter, S1'!V2*Main!$B$5)+(_xlfn.IFNA(VLOOKUP($A2,'FL Ratio'!$A$3:$B$10,2,FALSE),0)*'FL Characterization'!V$2)</f>
        <v>45.808285424507808</v>
      </c>
      <c r="W2" s="2">
        <f>('[1]Pc, Winter, S1'!W2*Main!$B$5)+(_xlfn.IFNA(VLOOKUP($A2,'FL Ratio'!$A$3:$B$10,2,FALSE),0)*'FL Characterization'!W$2)</f>
        <v>42.934684549924604</v>
      </c>
      <c r="X2" s="2">
        <f>('[1]Pc, Winter, S1'!X2*Main!$B$5)+(_xlfn.IFNA(VLOOKUP($A2,'FL Ratio'!$A$3:$B$10,2,FALSE),0)*'FL Characterization'!X$2)</f>
        <v>37.559860664774533</v>
      </c>
      <c r="Y2" s="2">
        <f>('[1]Pc, Winter, S1'!Y2*Main!$B$5)+(_xlfn.IFNA(VLOOKUP($A2,'FL Ratio'!$A$3:$B$10,2,FALSE),0)*'FL Characterization'!Y$2)</f>
        <v>34.076327743349545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31.961387760551737</v>
      </c>
      <c r="C3" s="2">
        <f>('[1]Pc, Winter, S1'!C3*Main!$B$5)+(_xlfn.IFNA(VLOOKUP($A3,'FL Ratio'!$A$3:$B$10,2,FALSE),0)*'FL Characterization'!C$2)</f>
        <v>29.898021687898545</v>
      </c>
      <c r="D3" s="2">
        <f>('[1]Pc, Winter, S1'!D3*Main!$B$5)+(_xlfn.IFNA(VLOOKUP($A3,'FL Ratio'!$A$3:$B$10,2,FALSE),0)*'FL Characterization'!D$2)</f>
        <v>27.037614218332408</v>
      </c>
      <c r="E3" s="2">
        <f>('[1]Pc, Winter, S1'!E3*Main!$B$5)+(_xlfn.IFNA(VLOOKUP($A3,'FL Ratio'!$A$3:$B$10,2,FALSE),0)*'FL Characterization'!E$2)</f>
        <v>28.855940844429952</v>
      </c>
      <c r="F3" s="2">
        <f>('[1]Pc, Winter, S1'!F3*Main!$B$5)+(_xlfn.IFNA(VLOOKUP($A3,'FL Ratio'!$A$3:$B$10,2,FALSE),0)*'FL Characterization'!F$2)</f>
        <v>28.459905141556639</v>
      </c>
      <c r="G3" s="2">
        <f>('[1]Pc, Winter, S1'!G3*Main!$B$5)+(_xlfn.IFNA(VLOOKUP($A3,'FL Ratio'!$A$3:$B$10,2,FALSE),0)*'FL Characterization'!G$2)</f>
        <v>29.40475040564786</v>
      </c>
      <c r="H3" s="2">
        <f>('[1]Pc, Winter, S1'!H3*Main!$B$5)+(_xlfn.IFNA(VLOOKUP($A3,'FL Ratio'!$A$3:$B$10,2,FALSE),0)*'FL Characterization'!H$2)</f>
        <v>43.45324793514574</v>
      </c>
      <c r="I3" s="2">
        <f>('[1]Pc, Winter, S1'!I3*Main!$B$5)+(_xlfn.IFNA(VLOOKUP($A3,'FL Ratio'!$A$3:$B$10,2,FALSE),0)*'FL Characterization'!I$2)</f>
        <v>47.063793376065775</v>
      </c>
      <c r="J3" s="2">
        <f>('[1]Pc, Winter, S1'!J3*Main!$B$5)+(_xlfn.IFNA(VLOOKUP($A3,'FL Ratio'!$A$3:$B$10,2,FALSE),0)*'FL Characterization'!J$2)</f>
        <v>51.545010922166966</v>
      </c>
      <c r="K3" s="2">
        <f>('[1]Pc, Winter, S1'!K3*Main!$B$5)+(_xlfn.IFNA(VLOOKUP($A3,'FL Ratio'!$A$3:$B$10,2,FALSE),0)*'FL Characterization'!K$2)</f>
        <v>51.671216738929637</v>
      </c>
      <c r="L3" s="2">
        <f>('[1]Pc, Winter, S1'!L3*Main!$B$5)+(_xlfn.IFNA(VLOOKUP($A3,'FL Ratio'!$A$3:$B$10,2,FALSE),0)*'FL Characterization'!L$2)</f>
        <v>48.696771944985095</v>
      </c>
      <c r="M3" s="2">
        <f>('[1]Pc, Winter, S1'!M3*Main!$B$5)+(_xlfn.IFNA(VLOOKUP($A3,'FL Ratio'!$A$3:$B$10,2,FALSE),0)*'FL Characterization'!M$2)</f>
        <v>53.308255465270776</v>
      </c>
      <c r="N3" s="2">
        <f>('[1]Pc, Winter, S1'!N3*Main!$B$5)+(_xlfn.IFNA(VLOOKUP($A3,'FL Ratio'!$A$3:$B$10,2,FALSE),0)*'FL Characterization'!N$2)</f>
        <v>50.425210758608216</v>
      </c>
      <c r="O3" s="2">
        <f>('[1]Pc, Winter, S1'!O3*Main!$B$5)+(_xlfn.IFNA(VLOOKUP($A3,'FL Ratio'!$A$3:$B$10,2,FALSE),0)*'FL Characterization'!O$2)</f>
        <v>47.540014615618162</v>
      </c>
      <c r="P3" s="2">
        <f>('[1]Pc, Winter, S1'!P3*Main!$B$5)+(_xlfn.IFNA(VLOOKUP($A3,'FL Ratio'!$A$3:$B$10,2,FALSE),0)*'FL Characterization'!P$2)</f>
        <v>46.163270891977994</v>
      </c>
      <c r="Q3" s="2">
        <f>('[1]Pc, Winter, S1'!Q3*Main!$B$5)+(_xlfn.IFNA(VLOOKUP($A3,'FL Ratio'!$A$3:$B$10,2,FALSE),0)*'FL Characterization'!Q$2)</f>
        <v>43.171028364007988</v>
      </c>
      <c r="R3" s="2">
        <f>('[1]Pc, Winter, S1'!R3*Main!$B$5)+(_xlfn.IFNA(VLOOKUP($A3,'FL Ratio'!$A$3:$B$10,2,FALSE),0)*'FL Characterization'!R$2)</f>
        <v>42.884076978261298</v>
      </c>
      <c r="S3" s="2">
        <f>('[1]Pc, Winter, S1'!S3*Main!$B$5)+(_xlfn.IFNA(VLOOKUP($A3,'FL Ratio'!$A$3:$B$10,2,FALSE),0)*'FL Characterization'!S$2)</f>
        <v>45.792692395762778</v>
      </c>
      <c r="T3" s="2">
        <f>('[1]Pc, Winter, S1'!T3*Main!$B$5)+(_xlfn.IFNA(VLOOKUP($A3,'FL Ratio'!$A$3:$B$10,2,FALSE),0)*'FL Characterization'!T$2)</f>
        <v>45.454989672379185</v>
      </c>
      <c r="U3" s="2">
        <f>('[1]Pc, Winter, S1'!U3*Main!$B$5)+(_xlfn.IFNA(VLOOKUP($A3,'FL Ratio'!$A$3:$B$10,2,FALSE),0)*'FL Characterization'!U$2)</f>
        <v>45.989884220130271</v>
      </c>
      <c r="V3" s="2">
        <f>('[1]Pc, Winter, S1'!V3*Main!$B$5)+(_xlfn.IFNA(VLOOKUP($A3,'FL Ratio'!$A$3:$B$10,2,FALSE),0)*'FL Characterization'!V$2)</f>
        <v>44.932054074026112</v>
      </c>
      <c r="W3" s="2">
        <f>('[1]Pc, Winter, S1'!W3*Main!$B$5)+(_xlfn.IFNA(VLOOKUP($A3,'FL Ratio'!$A$3:$B$10,2,FALSE),0)*'FL Characterization'!W$2)</f>
        <v>40.455827754645973</v>
      </c>
      <c r="X3" s="2">
        <f>('[1]Pc, Winter, S1'!X3*Main!$B$5)+(_xlfn.IFNA(VLOOKUP($A3,'FL Ratio'!$A$3:$B$10,2,FALSE),0)*'FL Characterization'!X$2)</f>
        <v>35.393335995003092</v>
      </c>
      <c r="Y3" s="2">
        <f>('[1]Pc, Winter, S1'!Y3*Main!$B$5)+(_xlfn.IFNA(VLOOKUP($A3,'FL Ratio'!$A$3:$B$10,2,FALSE),0)*'FL Characterization'!Y$2)</f>
        <v>34.592964838163894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45.594716867429106</v>
      </c>
      <c r="C4" s="2">
        <f>('[1]Pc, Winter, S1'!C4*Main!$B$5)+(_xlfn.IFNA(VLOOKUP($A4,'FL Ratio'!$A$3:$B$10,2,FALSE),0)*'FL Characterization'!C$2)</f>
        <v>40.408897725499898</v>
      </c>
      <c r="D4" s="2">
        <f>('[1]Pc, Winter, S1'!D4*Main!$B$5)+(_xlfn.IFNA(VLOOKUP($A4,'FL Ratio'!$A$3:$B$10,2,FALSE),0)*'FL Characterization'!D$2)</f>
        <v>37.952745792192239</v>
      </c>
      <c r="E4" s="2">
        <f>('[1]Pc, Winter, S1'!E4*Main!$B$5)+(_xlfn.IFNA(VLOOKUP($A4,'FL Ratio'!$A$3:$B$10,2,FALSE),0)*'FL Characterization'!E$2)</f>
        <v>37.431229659427224</v>
      </c>
      <c r="F4" s="2">
        <f>('[1]Pc, Winter, S1'!F4*Main!$B$5)+(_xlfn.IFNA(VLOOKUP($A4,'FL Ratio'!$A$3:$B$10,2,FALSE),0)*'FL Characterization'!F$2)</f>
        <v>38.800340042694103</v>
      </c>
      <c r="G4" s="2">
        <f>('[1]Pc, Winter, S1'!G4*Main!$B$5)+(_xlfn.IFNA(VLOOKUP($A4,'FL Ratio'!$A$3:$B$10,2,FALSE),0)*'FL Characterization'!G$2)</f>
        <v>41.577444787272974</v>
      </c>
      <c r="H4" s="2">
        <f>('[1]Pc, Winter, S1'!H4*Main!$B$5)+(_xlfn.IFNA(VLOOKUP($A4,'FL Ratio'!$A$3:$B$10,2,FALSE),0)*'FL Characterization'!H$2)</f>
        <v>50.189289229030194</v>
      </c>
      <c r="I4" s="2">
        <f>('[1]Pc, Winter, S1'!I4*Main!$B$5)+(_xlfn.IFNA(VLOOKUP($A4,'FL Ratio'!$A$3:$B$10,2,FALSE),0)*'FL Characterization'!I$2)</f>
        <v>54.769934444824926</v>
      </c>
      <c r="J4" s="2">
        <f>('[1]Pc, Winter, S1'!J4*Main!$B$5)+(_xlfn.IFNA(VLOOKUP($A4,'FL Ratio'!$A$3:$B$10,2,FALSE),0)*'FL Characterization'!J$2)</f>
        <v>57.924928133220881</v>
      </c>
      <c r="K4" s="2">
        <f>('[1]Pc, Winter, S1'!K4*Main!$B$5)+(_xlfn.IFNA(VLOOKUP($A4,'FL Ratio'!$A$3:$B$10,2,FALSE),0)*'FL Characterization'!K$2)</f>
        <v>59.987237158516265</v>
      </c>
      <c r="L4" s="2">
        <f>('[1]Pc, Winter, S1'!L4*Main!$B$5)+(_xlfn.IFNA(VLOOKUP($A4,'FL Ratio'!$A$3:$B$10,2,FALSE),0)*'FL Characterization'!L$2)</f>
        <v>60.403475066747362</v>
      </c>
      <c r="M4" s="2">
        <f>('[1]Pc, Winter, S1'!M4*Main!$B$5)+(_xlfn.IFNA(VLOOKUP($A4,'FL Ratio'!$A$3:$B$10,2,FALSE),0)*'FL Characterization'!M$2)</f>
        <v>59.821771698477754</v>
      </c>
      <c r="N4" s="2">
        <f>('[1]Pc, Winter, S1'!N4*Main!$B$5)+(_xlfn.IFNA(VLOOKUP($A4,'FL Ratio'!$A$3:$B$10,2,FALSE),0)*'FL Characterization'!N$2)</f>
        <v>59.621419931897691</v>
      </c>
      <c r="O4" s="2">
        <f>('[1]Pc, Winter, S1'!O4*Main!$B$5)+(_xlfn.IFNA(VLOOKUP($A4,'FL Ratio'!$A$3:$B$10,2,FALSE),0)*'FL Characterization'!O$2)</f>
        <v>58.711263106868962</v>
      </c>
      <c r="P4" s="2">
        <f>('[1]Pc, Winter, S1'!P4*Main!$B$5)+(_xlfn.IFNA(VLOOKUP($A4,'FL Ratio'!$A$3:$B$10,2,FALSE),0)*'FL Characterization'!P$2)</f>
        <v>56.909695751683486</v>
      </c>
      <c r="Q4" s="2">
        <f>('[1]Pc, Winter, S1'!Q4*Main!$B$5)+(_xlfn.IFNA(VLOOKUP($A4,'FL Ratio'!$A$3:$B$10,2,FALSE),0)*'FL Characterization'!Q$2)</f>
        <v>55.880360845142611</v>
      </c>
      <c r="R4" s="2">
        <f>('[1]Pc, Winter, S1'!R4*Main!$B$5)+(_xlfn.IFNA(VLOOKUP($A4,'FL Ratio'!$A$3:$B$10,2,FALSE),0)*'FL Characterization'!R$2)</f>
        <v>57.535672915875281</v>
      </c>
      <c r="S4" s="2">
        <f>('[1]Pc, Winter, S1'!S4*Main!$B$5)+(_xlfn.IFNA(VLOOKUP($A4,'FL Ratio'!$A$3:$B$10,2,FALSE),0)*'FL Characterization'!S$2)</f>
        <v>65.501607466284611</v>
      </c>
      <c r="T4" s="2">
        <f>('[1]Pc, Winter, S1'!T4*Main!$B$5)+(_xlfn.IFNA(VLOOKUP($A4,'FL Ratio'!$A$3:$B$10,2,FALSE),0)*'FL Characterization'!T$2)</f>
        <v>66.432955220756767</v>
      </c>
      <c r="U4" s="2">
        <f>('[1]Pc, Winter, S1'!U4*Main!$B$5)+(_xlfn.IFNA(VLOOKUP($A4,'FL Ratio'!$A$3:$B$10,2,FALSE),0)*'FL Characterization'!U$2)</f>
        <v>66.682248258578809</v>
      </c>
      <c r="V4" s="2">
        <f>('[1]Pc, Winter, S1'!V4*Main!$B$5)+(_xlfn.IFNA(VLOOKUP($A4,'FL Ratio'!$A$3:$B$10,2,FALSE),0)*'FL Characterization'!V$2)</f>
        <v>64.884232580829277</v>
      </c>
      <c r="W4" s="2">
        <f>('[1]Pc, Winter, S1'!W4*Main!$B$5)+(_xlfn.IFNA(VLOOKUP($A4,'FL Ratio'!$A$3:$B$10,2,FALSE),0)*'FL Characterization'!W$2)</f>
        <v>61.746075060171364</v>
      </c>
      <c r="X4" s="2">
        <f>('[1]Pc, Winter, S1'!X4*Main!$B$5)+(_xlfn.IFNA(VLOOKUP($A4,'FL Ratio'!$A$3:$B$10,2,FALSE),0)*'FL Characterization'!X$2)</f>
        <v>57.459434550292087</v>
      </c>
      <c r="Y4" s="2">
        <f>('[1]Pc, Winter, S1'!Y4*Main!$B$5)+(_xlfn.IFNA(VLOOKUP($A4,'FL Ratio'!$A$3:$B$10,2,FALSE),0)*'FL Characterization'!Y$2)</f>
        <v>51.253386606915647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30.402690668264714</v>
      </c>
      <c r="C2" s="2">
        <f>('[1]Pc, Winter, S1'!C2*Main!$B$5)+(_xlfn.IFNA(VLOOKUP($A2,'FL Ratio'!$A$3:$B$10,2,FALSE),0)*'FL Characterization'!C$2)</f>
        <v>28.358057852932614</v>
      </c>
      <c r="D2" s="2">
        <f>('[1]Pc, Winter, S1'!D2*Main!$B$5)+(_xlfn.IFNA(VLOOKUP($A2,'FL Ratio'!$A$3:$B$10,2,FALSE),0)*'FL Characterization'!D$2)</f>
        <v>26.870131297899693</v>
      </c>
      <c r="E2" s="2">
        <f>('[1]Pc, Winter, S1'!E2*Main!$B$5)+(_xlfn.IFNA(VLOOKUP($A2,'FL Ratio'!$A$3:$B$10,2,FALSE),0)*'FL Characterization'!E$2)</f>
        <v>26.680010165207193</v>
      </c>
      <c r="F2" s="2">
        <f>('[1]Pc, Winter, S1'!F2*Main!$B$5)+(_xlfn.IFNA(VLOOKUP($A2,'FL Ratio'!$A$3:$B$10,2,FALSE),0)*'FL Characterization'!F$2)</f>
        <v>27.001831662908401</v>
      </c>
      <c r="G2" s="2">
        <f>('[1]Pc, Winter, S1'!G2*Main!$B$5)+(_xlfn.IFNA(VLOOKUP($A2,'FL Ratio'!$A$3:$B$10,2,FALSE),0)*'FL Characterization'!G$2)</f>
        <v>29.680843094874572</v>
      </c>
      <c r="H2" s="2">
        <f>('[1]Pc, Winter, S1'!H2*Main!$B$5)+(_xlfn.IFNA(VLOOKUP($A2,'FL Ratio'!$A$3:$B$10,2,FALSE),0)*'FL Characterization'!H$2)</f>
        <v>35.416479092004735</v>
      </c>
      <c r="I2" s="2">
        <f>('[1]Pc, Winter, S1'!I2*Main!$B$5)+(_xlfn.IFNA(VLOOKUP($A2,'FL Ratio'!$A$3:$B$10,2,FALSE),0)*'FL Characterization'!I$2)</f>
        <v>42.630643126086447</v>
      </c>
      <c r="J2" s="2">
        <f>('[1]Pc, Winter, S1'!J2*Main!$B$5)+(_xlfn.IFNA(VLOOKUP($A2,'FL Ratio'!$A$3:$B$10,2,FALSE),0)*'FL Characterization'!J$2)</f>
        <v>46.413186322182895</v>
      </c>
      <c r="K2" s="2">
        <f>('[1]Pc, Winter, S1'!K2*Main!$B$5)+(_xlfn.IFNA(VLOOKUP($A2,'FL Ratio'!$A$3:$B$10,2,FALSE),0)*'FL Characterization'!K$2)</f>
        <v>46.991950852305166</v>
      </c>
      <c r="L2" s="2">
        <f>('[1]Pc, Winter, S1'!L2*Main!$B$5)+(_xlfn.IFNA(VLOOKUP($A2,'FL Ratio'!$A$3:$B$10,2,FALSE),0)*'FL Characterization'!L$2)</f>
        <v>45.723795557126543</v>
      </c>
      <c r="M2" s="2">
        <f>('[1]Pc, Winter, S1'!M2*Main!$B$5)+(_xlfn.IFNA(VLOOKUP($A2,'FL Ratio'!$A$3:$B$10,2,FALSE),0)*'FL Characterization'!M$2)</f>
        <v>45.959462110860194</v>
      </c>
      <c r="N2" s="2">
        <f>('[1]Pc, Winter, S1'!N2*Main!$B$5)+(_xlfn.IFNA(VLOOKUP($A2,'FL Ratio'!$A$3:$B$10,2,FALSE),0)*'FL Characterization'!N$2)</f>
        <v>45.921693912608731</v>
      </c>
      <c r="O2" s="2">
        <f>('[1]Pc, Winter, S1'!O2*Main!$B$5)+(_xlfn.IFNA(VLOOKUP($A2,'FL Ratio'!$A$3:$B$10,2,FALSE),0)*'FL Characterization'!O$2)</f>
        <v>45.171817247212516</v>
      </c>
      <c r="P2" s="2">
        <f>('[1]Pc, Winter, S1'!P2*Main!$B$5)+(_xlfn.IFNA(VLOOKUP($A2,'FL Ratio'!$A$3:$B$10,2,FALSE),0)*'FL Characterization'!P$2)</f>
        <v>42.597495565943888</v>
      </c>
      <c r="Q2" s="2">
        <f>('[1]Pc, Winter, S1'!Q2*Main!$B$5)+(_xlfn.IFNA(VLOOKUP($A2,'FL Ratio'!$A$3:$B$10,2,FALSE),0)*'FL Characterization'!Q$2)</f>
        <v>41.377061580443304</v>
      </c>
      <c r="R2" s="2">
        <f>('[1]Pc, Winter, S1'!R2*Main!$B$5)+(_xlfn.IFNA(VLOOKUP($A2,'FL Ratio'!$A$3:$B$10,2,FALSE),0)*'FL Characterization'!R$2)</f>
        <v>43.092104334095673</v>
      </c>
      <c r="S2" s="2">
        <f>('[1]Pc, Winter, S1'!S2*Main!$B$5)+(_xlfn.IFNA(VLOOKUP($A2,'FL Ratio'!$A$3:$B$10,2,FALSE),0)*'FL Characterization'!S$2)</f>
        <v>47.768406777045008</v>
      </c>
      <c r="T2" s="2">
        <f>('[1]Pc, Winter, S1'!T2*Main!$B$5)+(_xlfn.IFNA(VLOOKUP($A2,'FL Ratio'!$A$3:$B$10,2,FALSE),0)*'FL Characterization'!T$2)</f>
        <v>47.595247057969296</v>
      </c>
      <c r="U2" s="2">
        <f>('[1]Pc, Winter, S1'!U2*Main!$B$5)+(_xlfn.IFNA(VLOOKUP($A2,'FL Ratio'!$A$3:$B$10,2,FALSE),0)*'FL Characterization'!U$2)</f>
        <v>46.609854300651527</v>
      </c>
      <c r="V2" s="2">
        <f>('[1]Pc, Winter, S1'!V2*Main!$B$5)+(_xlfn.IFNA(VLOOKUP($A2,'FL Ratio'!$A$3:$B$10,2,FALSE),0)*'FL Characterization'!V$2)</f>
        <v>45.808285424507808</v>
      </c>
      <c r="W2" s="2">
        <f>('[1]Pc, Winter, S1'!W2*Main!$B$5)+(_xlfn.IFNA(VLOOKUP($A2,'FL Ratio'!$A$3:$B$10,2,FALSE),0)*'FL Characterization'!W$2)</f>
        <v>42.934684549924604</v>
      </c>
      <c r="X2" s="2">
        <f>('[1]Pc, Winter, S1'!X2*Main!$B$5)+(_xlfn.IFNA(VLOOKUP($A2,'FL Ratio'!$A$3:$B$10,2,FALSE),0)*'FL Characterization'!X$2)</f>
        <v>37.559860664774533</v>
      </c>
      <c r="Y2" s="2">
        <f>('[1]Pc, Winter, S1'!Y2*Main!$B$5)+(_xlfn.IFNA(VLOOKUP($A2,'FL Ratio'!$A$3:$B$10,2,FALSE),0)*'FL Characterization'!Y$2)</f>
        <v>34.076327743349545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31.961387760551737</v>
      </c>
      <c r="C3" s="2">
        <f>('[1]Pc, Winter, S1'!C3*Main!$B$5)+(_xlfn.IFNA(VLOOKUP($A3,'FL Ratio'!$A$3:$B$10,2,FALSE),0)*'FL Characterization'!C$2)</f>
        <v>29.898021687898545</v>
      </c>
      <c r="D3" s="2">
        <f>('[1]Pc, Winter, S1'!D3*Main!$B$5)+(_xlfn.IFNA(VLOOKUP($A3,'FL Ratio'!$A$3:$B$10,2,FALSE),0)*'FL Characterization'!D$2)</f>
        <v>27.037614218332408</v>
      </c>
      <c r="E3" s="2">
        <f>('[1]Pc, Winter, S1'!E3*Main!$B$5)+(_xlfn.IFNA(VLOOKUP($A3,'FL Ratio'!$A$3:$B$10,2,FALSE),0)*'FL Characterization'!E$2)</f>
        <v>28.855940844429952</v>
      </c>
      <c r="F3" s="2">
        <f>('[1]Pc, Winter, S1'!F3*Main!$B$5)+(_xlfn.IFNA(VLOOKUP($A3,'FL Ratio'!$A$3:$B$10,2,FALSE),0)*'FL Characterization'!F$2)</f>
        <v>28.459905141556639</v>
      </c>
      <c r="G3" s="2">
        <f>('[1]Pc, Winter, S1'!G3*Main!$B$5)+(_xlfn.IFNA(VLOOKUP($A3,'FL Ratio'!$A$3:$B$10,2,FALSE),0)*'FL Characterization'!G$2)</f>
        <v>29.40475040564786</v>
      </c>
      <c r="H3" s="2">
        <f>('[1]Pc, Winter, S1'!H3*Main!$B$5)+(_xlfn.IFNA(VLOOKUP($A3,'FL Ratio'!$A$3:$B$10,2,FALSE),0)*'FL Characterization'!H$2)</f>
        <v>43.45324793514574</v>
      </c>
      <c r="I3" s="2">
        <f>('[1]Pc, Winter, S1'!I3*Main!$B$5)+(_xlfn.IFNA(VLOOKUP($A3,'FL Ratio'!$A$3:$B$10,2,FALSE),0)*'FL Characterization'!I$2)</f>
        <v>47.063793376065775</v>
      </c>
      <c r="J3" s="2">
        <f>('[1]Pc, Winter, S1'!J3*Main!$B$5)+(_xlfn.IFNA(VLOOKUP($A3,'FL Ratio'!$A$3:$B$10,2,FALSE),0)*'FL Characterization'!J$2)</f>
        <v>51.545010922166966</v>
      </c>
      <c r="K3" s="2">
        <f>('[1]Pc, Winter, S1'!K3*Main!$B$5)+(_xlfn.IFNA(VLOOKUP($A3,'FL Ratio'!$A$3:$B$10,2,FALSE),0)*'FL Characterization'!K$2)</f>
        <v>51.671216738929637</v>
      </c>
      <c r="L3" s="2">
        <f>('[1]Pc, Winter, S1'!L3*Main!$B$5)+(_xlfn.IFNA(VLOOKUP($A3,'FL Ratio'!$A$3:$B$10,2,FALSE),0)*'FL Characterization'!L$2)</f>
        <v>48.696771944985095</v>
      </c>
      <c r="M3" s="2">
        <f>('[1]Pc, Winter, S1'!M3*Main!$B$5)+(_xlfn.IFNA(VLOOKUP($A3,'FL Ratio'!$A$3:$B$10,2,FALSE),0)*'FL Characterization'!M$2)</f>
        <v>53.308255465270776</v>
      </c>
      <c r="N3" s="2">
        <f>('[1]Pc, Winter, S1'!N3*Main!$B$5)+(_xlfn.IFNA(VLOOKUP($A3,'FL Ratio'!$A$3:$B$10,2,FALSE),0)*'FL Characterization'!N$2)</f>
        <v>50.425210758608216</v>
      </c>
      <c r="O3" s="2">
        <f>('[1]Pc, Winter, S1'!O3*Main!$B$5)+(_xlfn.IFNA(VLOOKUP($A3,'FL Ratio'!$A$3:$B$10,2,FALSE),0)*'FL Characterization'!O$2)</f>
        <v>47.540014615618162</v>
      </c>
      <c r="P3" s="2">
        <f>('[1]Pc, Winter, S1'!P3*Main!$B$5)+(_xlfn.IFNA(VLOOKUP($A3,'FL Ratio'!$A$3:$B$10,2,FALSE),0)*'FL Characterization'!P$2)</f>
        <v>46.163270891977994</v>
      </c>
      <c r="Q3" s="2">
        <f>('[1]Pc, Winter, S1'!Q3*Main!$B$5)+(_xlfn.IFNA(VLOOKUP($A3,'FL Ratio'!$A$3:$B$10,2,FALSE),0)*'FL Characterization'!Q$2)</f>
        <v>43.171028364007988</v>
      </c>
      <c r="R3" s="2">
        <f>('[1]Pc, Winter, S1'!R3*Main!$B$5)+(_xlfn.IFNA(VLOOKUP($A3,'FL Ratio'!$A$3:$B$10,2,FALSE),0)*'FL Characterization'!R$2)</f>
        <v>42.884076978261298</v>
      </c>
      <c r="S3" s="2">
        <f>('[1]Pc, Winter, S1'!S3*Main!$B$5)+(_xlfn.IFNA(VLOOKUP($A3,'FL Ratio'!$A$3:$B$10,2,FALSE),0)*'FL Characterization'!S$2)</f>
        <v>45.792692395762778</v>
      </c>
      <c r="T3" s="2">
        <f>('[1]Pc, Winter, S1'!T3*Main!$B$5)+(_xlfn.IFNA(VLOOKUP($A3,'FL Ratio'!$A$3:$B$10,2,FALSE),0)*'FL Characterization'!T$2)</f>
        <v>45.454989672379185</v>
      </c>
      <c r="U3" s="2">
        <f>('[1]Pc, Winter, S1'!U3*Main!$B$5)+(_xlfn.IFNA(VLOOKUP($A3,'FL Ratio'!$A$3:$B$10,2,FALSE),0)*'FL Characterization'!U$2)</f>
        <v>45.989884220130271</v>
      </c>
      <c r="V3" s="2">
        <f>('[1]Pc, Winter, S1'!V3*Main!$B$5)+(_xlfn.IFNA(VLOOKUP($A3,'FL Ratio'!$A$3:$B$10,2,FALSE),0)*'FL Characterization'!V$2)</f>
        <v>44.932054074026112</v>
      </c>
      <c r="W3" s="2">
        <f>('[1]Pc, Winter, S1'!W3*Main!$B$5)+(_xlfn.IFNA(VLOOKUP($A3,'FL Ratio'!$A$3:$B$10,2,FALSE),0)*'FL Characterization'!W$2)</f>
        <v>40.455827754645973</v>
      </c>
      <c r="X3" s="2">
        <f>('[1]Pc, Winter, S1'!X3*Main!$B$5)+(_xlfn.IFNA(VLOOKUP($A3,'FL Ratio'!$A$3:$B$10,2,FALSE),0)*'FL Characterization'!X$2)</f>
        <v>35.393335995003092</v>
      </c>
      <c r="Y3" s="2">
        <f>('[1]Pc, Winter, S1'!Y3*Main!$B$5)+(_xlfn.IFNA(VLOOKUP($A3,'FL Ratio'!$A$3:$B$10,2,FALSE),0)*'FL Characterization'!Y$2)</f>
        <v>34.592964838163894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45.594716867429106</v>
      </c>
      <c r="C4" s="2">
        <f>('[1]Pc, Winter, S1'!C4*Main!$B$5)+(_xlfn.IFNA(VLOOKUP($A4,'FL Ratio'!$A$3:$B$10,2,FALSE),0)*'FL Characterization'!C$2)</f>
        <v>40.408897725499898</v>
      </c>
      <c r="D4" s="2">
        <f>('[1]Pc, Winter, S1'!D4*Main!$B$5)+(_xlfn.IFNA(VLOOKUP($A4,'FL Ratio'!$A$3:$B$10,2,FALSE),0)*'FL Characterization'!D$2)</f>
        <v>37.952745792192239</v>
      </c>
      <c r="E4" s="2">
        <f>('[1]Pc, Winter, S1'!E4*Main!$B$5)+(_xlfn.IFNA(VLOOKUP($A4,'FL Ratio'!$A$3:$B$10,2,FALSE),0)*'FL Characterization'!E$2)</f>
        <v>37.431229659427224</v>
      </c>
      <c r="F4" s="2">
        <f>('[1]Pc, Winter, S1'!F4*Main!$B$5)+(_xlfn.IFNA(VLOOKUP($A4,'FL Ratio'!$A$3:$B$10,2,FALSE),0)*'FL Characterization'!F$2)</f>
        <v>38.800340042694103</v>
      </c>
      <c r="G4" s="2">
        <f>('[1]Pc, Winter, S1'!G4*Main!$B$5)+(_xlfn.IFNA(VLOOKUP($A4,'FL Ratio'!$A$3:$B$10,2,FALSE),0)*'FL Characterization'!G$2)</f>
        <v>41.577444787272974</v>
      </c>
      <c r="H4" s="2">
        <f>('[1]Pc, Winter, S1'!H4*Main!$B$5)+(_xlfn.IFNA(VLOOKUP($A4,'FL Ratio'!$A$3:$B$10,2,FALSE),0)*'FL Characterization'!H$2)</f>
        <v>50.189289229030194</v>
      </c>
      <c r="I4" s="2">
        <f>('[1]Pc, Winter, S1'!I4*Main!$B$5)+(_xlfn.IFNA(VLOOKUP($A4,'FL Ratio'!$A$3:$B$10,2,FALSE),0)*'FL Characterization'!I$2)</f>
        <v>54.769934444824926</v>
      </c>
      <c r="J4" s="2">
        <f>('[1]Pc, Winter, S1'!J4*Main!$B$5)+(_xlfn.IFNA(VLOOKUP($A4,'FL Ratio'!$A$3:$B$10,2,FALSE),0)*'FL Characterization'!J$2)</f>
        <v>57.924928133220881</v>
      </c>
      <c r="K4" s="2">
        <f>('[1]Pc, Winter, S1'!K4*Main!$B$5)+(_xlfn.IFNA(VLOOKUP($A4,'FL Ratio'!$A$3:$B$10,2,FALSE),0)*'FL Characterization'!K$2)</f>
        <v>59.987237158516265</v>
      </c>
      <c r="L4" s="2">
        <f>('[1]Pc, Winter, S1'!L4*Main!$B$5)+(_xlfn.IFNA(VLOOKUP($A4,'FL Ratio'!$A$3:$B$10,2,FALSE),0)*'FL Characterization'!L$2)</f>
        <v>60.403475066747362</v>
      </c>
      <c r="M4" s="2">
        <f>('[1]Pc, Winter, S1'!M4*Main!$B$5)+(_xlfn.IFNA(VLOOKUP($A4,'FL Ratio'!$A$3:$B$10,2,FALSE),0)*'FL Characterization'!M$2)</f>
        <v>59.821771698477754</v>
      </c>
      <c r="N4" s="2">
        <f>('[1]Pc, Winter, S1'!N4*Main!$B$5)+(_xlfn.IFNA(VLOOKUP($A4,'FL Ratio'!$A$3:$B$10,2,FALSE),0)*'FL Characterization'!N$2)</f>
        <v>59.621419931897691</v>
      </c>
      <c r="O4" s="2">
        <f>('[1]Pc, Winter, S1'!O4*Main!$B$5)+(_xlfn.IFNA(VLOOKUP($A4,'FL Ratio'!$A$3:$B$10,2,FALSE),0)*'FL Characterization'!O$2)</f>
        <v>58.711263106868962</v>
      </c>
      <c r="P4" s="2">
        <f>('[1]Pc, Winter, S1'!P4*Main!$B$5)+(_xlfn.IFNA(VLOOKUP($A4,'FL Ratio'!$A$3:$B$10,2,FALSE),0)*'FL Characterization'!P$2)</f>
        <v>56.909695751683486</v>
      </c>
      <c r="Q4" s="2">
        <f>('[1]Pc, Winter, S1'!Q4*Main!$B$5)+(_xlfn.IFNA(VLOOKUP($A4,'FL Ratio'!$A$3:$B$10,2,FALSE),0)*'FL Characterization'!Q$2)</f>
        <v>55.880360845142611</v>
      </c>
      <c r="R4" s="2">
        <f>('[1]Pc, Winter, S1'!R4*Main!$B$5)+(_xlfn.IFNA(VLOOKUP($A4,'FL Ratio'!$A$3:$B$10,2,FALSE),0)*'FL Characterization'!R$2)</f>
        <v>57.535672915875281</v>
      </c>
      <c r="S4" s="2">
        <f>('[1]Pc, Winter, S1'!S4*Main!$B$5)+(_xlfn.IFNA(VLOOKUP($A4,'FL Ratio'!$A$3:$B$10,2,FALSE),0)*'FL Characterization'!S$2)</f>
        <v>65.501607466284611</v>
      </c>
      <c r="T4" s="2">
        <f>('[1]Pc, Winter, S1'!T4*Main!$B$5)+(_xlfn.IFNA(VLOOKUP($A4,'FL Ratio'!$A$3:$B$10,2,FALSE),0)*'FL Characterization'!T$2)</f>
        <v>66.432955220756767</v>
      </c>
      <c r="U4" s="2">
        <f>('[1]Pc, Winter, S1'!U4*Main!$B$5)+(_xlfn.IFNA(VLOOKUP($A4,'FL Ratio'!$A$3:$B$10,2,FALSE),0)*'FL Characterization'!U$2)</f>
        <v>66.682248258578809</v>
      </c>
      <c r="V4" s="2">
        <f>('[1]Pc, Winter, S1'!V4*Main!$B$5)+(_xlfn.IFNA(VLOOKUP($A4,'FL Ratio'!$A$3:$B$10,2,FALSE),0)*'FL Characterization'!V$2)</f>
        <v>64.884232580829277</v>
      </c>
      <c r="W4" s="2">
        <f>('[1]Pc, Winter, S1'!W4*Main!$B$5)+(_xlfn.IFNA(VLOOKUP($A4,'FL Ratio'!$A$3:$B$10,2,FALSE),0)*'FL Characterization'!W$2)</f>
        <v>61.746075060171364</v>
      </c>
      <c r="X4" s="2">
        <f>('[1]Pc, Winter, S1'!X4*Main!$B$5)+(_xlfn.IFNA(VLOOKUP($A4,'FL Ratio'!$A$3:$B$10,2,FALSE),0)*'FL Characterization'!X$2)</f>
        <v>57.459434550292087</v>
      </c>
      <c r="Y4" s="2">
        <f>('[1]Pc, Winter, S1'!Y4*Main!$B$5)+(_xlfn.IFNA(VLOOKUP($A4,'FL Ratio'!$A$3:$B$10,2,FALSE),0)*'FL Characterization'!Y$2)</f>
        <v>51.253386606915647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31.314771388312653</v>
      </c>
      <c r="C2" s="2">
        <f>('[1]Pc, Winter, S2'!C2*Main!$B$5)+(_xlfn.IFNA(VLOOKUP($A2,'FL Ratio'!$A$3:$B$10,2,FALSE),0)*'FL Characterization'!C$2)</f>
        <v>29.208799588520595</v>
      </c>
      <c r="D2" s="2">
        <f>('[1]Pc, Winter, S2'!D2*Main!$B$5)+(_xlfn.IFNA(VLOOKUP($A2,'FL Ratio'!$A$3:$B$10,2,FALSE),0)*'FL Characterization'!D$2)</f>
        <v>27.676235236836686</v>
      </c>
      <c r="E2" s="2">
        <f>('[1]Pc, Winter, S2'!E2*Main!$B$5)+(_xlfn.IFNA(VLOOKUP($A2,'FL Ratio'!$A$3:$B$10,2,FALSE),0)*'FL Characterization'!E$2)</f>
        <v>27.48041047016341</v>
      </c>
      <c r="F2" s="2">
        <f>('[1]Pc, Winter, S2'!F2*Main!$B$5)+(_xlfn.IFNA(VLOOKUP($A2,'FL Ratio'!$A$3:$B$10,2,FALSE),0)*'FL Characterization'!F$2)</f>
        <v>27.811886612795654</v>
      </c>
      <c r="G2" s="2">
        <f>('[1]Pc, Winter, S2'!G2*Main!$B$5)+(_xlfn.IFNA(VLOOKUP($A2,'FL Ratio'!$A$3:$B$10,2,FALSE),0)*'FL Characterization'!G$2)</f>
        <v>30.57126838772081</v>
      </c>
      <c r="H2" s="2">
        <f>('[1]Pc, Winter, S2'!H2*Main!$B$5)+(_xlfn.IFNA(VLOOKUP($A2,'FL Ratio'!$A$3:$B$10,2,FALSE),0)*'FL Characterization'!H$2)</f>
        <v>36.47897346476487</v>
      </c>
      <c r="I2" s="2">
        <f>('[1]Pc, Winter, S2'!I2*Main!$B$5)+(_xlfn.IFNA(VLOOKUP($A2,'FL Ratio'!$A$3:$B$10,2,FALSE),0)*'FL Characterization'!I$2)</f>
        <v>43.90956241986904</v>
      </c>
      <c r="J2" s="2">
        <f>('[1]Pc, Winter, S2'!J2*Main!$B$5)+(_xlfn.IFNA(VLOOKUP($A2,'FL Ratio'!$A$3:$B$10,2,FALSE),0)*'FL Characterization'!J$2)</f>
        <v>47.805581911848385</v>
      </c>
      <c r="K2" s="2">
        <f>('[1]Pc, Winter, S2'!K2*Main!$B$5)+(_xlfn.IFNA(VLOOKUP($A2,'FL Ratio'!$A$3:$B$10,2,FALSE),0)*'FL Characterization'!K$2)</f>
        <v>48.401709377874333</v>
      </c>
      <c r="L2" s="2">
        <f>('[1]Pc, Winter, S2'!L2*Main!$B$5)+(_xlfn.IFNA(VLOOKUP($A2,'FL Ratio'!$A$3:$B$10,2,FALSE),0)*'FL Characterization'!L$2)</f>
        <v>47.09550942384034</v>
      </c>
      <c r="M2" s="2">
        <f>('[1]Pc, Winter, S2'!M2*Main!$B$5)+(_xlfn.IFNA(VLOOKUP($A2,'FL Ratio'!$A$3:$B$10,2,FALSE),0)*'FL Characterization'!M$2)</f>
        <v>47.338245974186002</v>
      </c>
      <c r="N2" s="2">
        <f>('[1]Pc, Winter, S2'!N2*Main!$B$5)+(_xlfn.IFNA(VLOOKUP($A2,'FL Ratio'!$A$3:$B$10,2,FALSE),0)*'FL Characterization'!N$2)</f>
        <v>47.299344729986998</v>
      </c>
      <c r="O2" s="2">
        <f>('[1]Pc, Winter, S2'!O2*Main!$B$5)+(_xlfn.IFNA(VLOOKUP($A2,'FL Ratio'!$A$3:$B$10,2,FALSE),0)*'FL Characterization'!O$2)</f>
        <v>46.526971764628897</v>
      </c>
      <c r="P2" s="2">
        <f>('[1]Pc, Winter, S2'!P2*Main!$B$5)+(_xlfn.IFNA(VLOOKUP($A2,'FL Ratio'!$A$3:$B$10,2,FALSE),0)*'FL Characterization'!P$2)</f>
        <v>43.875420432922205</v>
      </c>
      <c r="Q2" s="2">
        <f>('[1]Pc, Winter, S2'!Q2*Main!$B$5)+(_xlfn.IFNA(VLOOKUP($A2,'FL Ratio'!$A$3:$B$10,2,FALSE),0)*'FL Characterization'!Q$2)</f>
        <v>42.618373427856604</v>
      </c>
      <c r="R2" s="2">
        <f>('[1]Pc, Winter, S2'!R2*Main!$B$5)+(_xlfn.IFNA(VLOOKUP($A2,'FL Ratio'!$A$3:$B$10,2,FALSE),0)*'FL Characterization'!R$2)</f>
        <v>44.384867464118543</v>
      </c>
      <c r="S2" s="2">
        <f>('[1]Pc, Winter, S2'!S2*Main!$B$5)+(_xlfn.IFNA(VLOOKUP($A2,'FL Ratio'!$A$3:$B$10,2,FALSE),0)*'FL Characterization'!S$2)</f>
        <v>49.201458980356357</v>
      </c>
      <c r="T2" s="2">
        <f>('[1]Pc, Winter, S2'!T2*Main!$B$5)+(_xlfn.IFNA(VLOOKUP($A2,'FL Ratio'!$A$3:$B$10,2,FALSE),0)*'FL Characterization'!T$2)</f>
        <v>49.023104469708372</v>
      </c>
      <c r="U2" s="2">
        <f>('[1]Pc, Winter, S2'!U2*Main!$B$5)+(_xlfn.IFNA(VLOOKUP($A2,'FL Ratio'!$A$3:$B$10,2,FALSE),0)*'FL Characterization'!U$2)</f>
        <v>48.008149929671077</v>
      </c>
      <c r="V2" s="2">
        <f>('[1]Pc, Winter, S2'!V2*Main!$B$5)+(_xlfn.IFNA(VLOOKUP($A2,'FL Ratio'!$A$3:$B$10,2,FALSE),0)*'FL Characterization'!V$2)</f>
        <v>47.182533987243048</v>
      </c>
      <c r="W2" s="2">
        <f>('[1]Pc, Winter, S2'!W2*Main!$B$5)+(_xlfn.IFNA(VLOOKUP($A2,'FL Ratio'!$A$3:$B$10,2,FALSE),0)*'FL Characterization'!W$2)</f>
        <v>44.222725086422344</v>
      </c>
      <c r="X2" s="2">
        <f>('[1]Pc, Winter, S2'!X2*Main!$B$5)+(_xlfn.IFNA(VLOOKUP($A2,'FL Ratio'!$A$3:$B$10,2,FALSE),0)*'FL Characterization'!X$2)</f>
        <v>38.686656484717773</v>
      </c>
      <c r="Y2" s="2">
        <f>('[1]Pc, Winter, S2'!Y2*Main!$B$5)+(_xlfn.IFNA(VLOOKUP($A2,'FL Ratio'!$A$3:$B$10,2,FALSE),0)*'FL Characterization'!Y$2)</f>
        <v>35.098617575650032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32.863214226155272</v>
      </c>
      <c r="C3" s="2">
        <f>('[1]Pc, Winter, S2'!C3*Main!$B$5)+(_xlfn.IFNA(VLOOKUP($A3,'FL Ratio'!$A$3:$B$10,2,FALSE),0)*'FL Characterization'!C$2)</f>
        <v>30.736045274116613</v>
      </c>
      <c r="D3" s="2">
        <f>('[1]Pc, Winter, S2'!D3*Main!$B$5)+(_xlfn.IFNA(VLOOKUP($A3,'FL Ratio'!$A$3:$B$10,2,FALSE),0)*'FL Characterization'!D$2)</f>
        <v>27.795985871901038</v>
      </c>
      <c r="E3" s="2">
        <f>('[1]Pc, Winter, S2'!E3*Main!$B$5)+(_xlfn.IFNA(VLOOKUP($A3,'FL Ratio'!$A$3:$B$10,2,FALSE),0)*'FL Characterization'!E$2)</f>
        <v>29.671613089569512</v>
      </c>
      <c r="F3" s="2">
        <f>('[1]Pc, Winter, S2'!F3*Main!$B$5)+(_xlfn.IFNA(VLOOKUP($A3,'FL Ratio'!$A$3:$B$10,2,FALSE),0)*'FL Characterization'!F$2)</f>
        <v>29.272732646724712</v>
      </c>
      <c r="G3" s="2">
        <f>('[1]Pc, Winter, S2'!G3*Main!$B$5)+(_xlfn.IFNA(VLOOKUP($A3,'FL Ratio'!$A$3:$B$10,2,FALSE),0)*'FL Characterization'!G$2)</f>
        <v>30.252120670365599</v>
      </c>
      <c r="H3" s="2">
        <f>('[1]Pc, Winter, S2'!H3*Main!$B$5)+(_xlfn.IFNA(VLOOKUP($A3,'FL Ratio'!$A$3:$B$10,2,FALSE),0)*'FL Characterization'!H$2)</f>
        <v>44.71432173494108</v>
      </c>
      <c r="I3" s="2">
        <f>('[1]Pc, Winter, S2'!I3*Main!$B$5)+(_xlfn.IFNA(VLOOKUP($A3,'FL Ratio'!$A$3:$B$10,2,FALSE),0)*'FL Characterization'!I$2)</f>
        <v>48.468322249660567</v>
      </c>
      <c r="J3" s="2">
        <f>('[1]Pc, Winter, S2'!J3*Main!$B$5)+(_xlfn.IFNA(VLOOKUP($A3,'FL Ratio'!$A$3:$B$10,2,FALSE),0)*'FL Characterization'!J$2)</f>
        <v>53.084866966689987</v>
      </c>
      <c r="K3" s="2">
        <f>('[1]Pc, Winter, S2'!K3*Main!$B$5)+(_xlfn.IFNA(VLOOKUP($A3,'FL Ratio'!$A$3:$B$10,2,FALSE),0)*'FL Characterization'!K$2)</f>
        <v>53.211885504031237</v>
      </c>
      <c r="L3" s="2">
        <f>('[1]Pc, Winter, S2'!L3*Main!$B$5)+(_xlfn.IFNA(VLOOKUP($A3,'FL Ratio'!$A$3:$B$10,2,FALSE),0)*'FL Characterization'!L$2)</f>
        <v>50.152099297379884</v>
      </c>
      <c r="M3" s="2">
        <f>('[1]Pc, Winter, S2'!M3*Main!$B$5)+(_xlfn.IFNA(VLOOKUP($A3,'FL Ratio'!$A$3:$B$10,2,FALSE),0)*'FL Characterization'!M$2)</f>
        <v>54.900535691172273</v>
      </c>
      <c r="N3" s="2">
        <f>('[1]Pc, Winter, S2'!N3*Main!$B$5)+(_xlfn.IFNA(VLOOKUP($A3,'FL Ratio'!$A$3:$B$10,2,FALSE),0)*'FL Characterization'!N$2)</f>
        <v>51.926866495967317</v>
      </c>
      <c r="O3" s="2">
        <f>('[1]Pc, Winter, S2'!O3*Main!$B$5)+(_xlfn.IFNA(VLOOKUP($A3,'FL Ratio'!$A$3:$B$10,2,FALSE),0)*'FL Characterization'!O$2)</f>
        <v>48.945762700963108</v>
      </c>
      <c r="P3" s="2">
        <f>('[1]Pc, Winter, S2'!P3*Main!$B$5)+(_xlfn.IFNA(VLOOKUP($A3,'FL Ratio'!$A$3:$B$10,2,FALSE),0)*'FL Characterization'!P$2)</f>
        <v>47.526348227380247</v>
      </c>
      <c r="Q3" s="2">
        <f>('[1]Pc, Winter, S2'!Q3*Main!$B$5)+(_xlfn.IFNA(VLOOKUP($A3,'FL Ratio'!$A$3:$B$10,2,FALSE),0)*'FL Characterization'!Q$2)</f>
        <v>44.444700247917616</v>
      </c>
      <c r="R3" s="2">
        <f>('[1]Pc, Winter, S2'!R3*Main!$B$5)+(_xlfn.IFNA(VLOOKUP($A3,'FL Ratio'!$A$3:$B$10,2,FALSE),0)*'FL Characterization'!R$2)</f>
        <v>44.158561669928091</v>
      </c>
      <c r="S3" s="2">
        <f>('[1]Pc, Winter, S2'!S3*Main!$B$5)+(_xlfn.IFNA(VLOOKUP($A3,'FL Ratio'!$A$3:$B$10,2,FALSE),0)*'FL Characterization'!S$2)</f>
        <v>47.14195261000097</v>
      </c>
      <c r="T3" s="2">
        <f>('[1]Pc, Winter, S2'!T3*Main!$B$5)+(_xlfn.IFNA(VLOOKUP($A3,'FL Ratio'!$A$3:$B$10,2,FALSE),0)*'FL Characterization'!T$2)</f>
        <v>46.804249886617377</v>
      </c>
      <c r="U3" s="2">
        <f>('[1]Pc, Winter, S2'!U3*Main!$B$5)+(_xlfn.IFNA(VLOOKUP($A3,'FL Ratio'!$A$3:$B$10,2,FALSE),0)*'FL Characterization'!U$2)</f>
        <v>47.359463581353694</v>
      </c>
      <c r="V3" s="2">
        <f>('[1]Pc, Winter, S2'!V3*Main!$B$5)+(_xlfn.IFNA(VLOOKUP($A3,'FL Ratio'!$A$3:$B$10,2,FALSE),0)*'FL Characterization'!V$2)</f>
        <v>46.264652077842413</v>
      </c>
      <c r="W3" s="2">
        <f>('[1]Pc, Winter, S2'!W3*Main!$B$5)+(_xlfn.IFNA(VLOOKUP($A3,'FL Ratio'!$A$3:$B$10,2,FALSE),0)*'FL Characterization'!W$2)</f>
        <v>41.66000701757703</v>
      </c>
      <c r="X3" s="2">
        <f>('[1]Pc, Winter, S2'!X3*Main!$B$5)+(_xlfn.IFNA(VLOOKUP($A3,'FL Ratio'!$A$3:$B$10,2,FALSE),0)*'FL Characterization'!X$2)</f>
        <v>36.411796012427736</v>
      </c>
      <c r="Y3" s="2">
        <f>('[1]Pc, Winter, S2'!Y3*Main!$B$5)+(_xlfn.IFNA(VLOOKUP($A3,'FL Ratio'!$A$3:$B$10,2,FALSE),0)*'FL Characterization'!Y$2)</f>
        <v>35.578507275431484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46.90554320623896</v>
      </c>
      <c r="C4" s="2">
        <f>('[1]Pc, Winter, S2'!C4*Main!$B$5)+(_xlfn.IFNA(VLOOKUP($A4,'FL Ratio'!$A$3:$B$10,2,FALSE),0)*'FL Characterization'!C$2)</f>
        <v>41.56224759284602</v>
      </c>
      <c r="D4" s="2">
        <f>('[1]Pc, Winter, S2'!D4*Main!$B$5)+(_xlfn.IFNA(VLOOKUP($A4,'FL Ratio'!$A$3:$B$10,2,FALSE),0)*'FL Characterization'!D$2)</f>
        <v>39.038571392976664</v>
      </c>
      <c r="E4" s="2">
        <f>('[1]Pc, Winter, S2'!E4*Main!$B$5)+(_xlfn.IFNA(VLOOKUP($A4,'FL Ratio'!$A$3:$B$10,2,FALSE),0)*'FL Characterization'!E$2)</f>
        <v>38.504160569016705</v>
      </c>
      <c r="F4" s="2">
        <f>('[1]Pc, Winter, S2'!F4*Main!$B$5)+(_xlfn.IFNA(VLOOKUP($A4,'FL Ratio'!$A$3:$B$10,2,FALSE),0)*'FL Characterization'!F$2)</f>
        <v>39.923380594896301</v>
      </c>
      <c r="G4" s="2">
        <f>('[1]Pc, Winter, S2'!G4*Main!$B$5)+(_xlfn.IFNA(VLOOKUP($A4,'FL Ratio'!$A$3:$B$10,2,FALSE),0)*'FL Characterization'!G$2)</f>
        <v>42.789995883439474</v>
      </c>
      <c r="H4" s="2">
        <f>('[1]Pc, Winter, S2'!H4*Main!$B$5)+(_xlfn.IFNA(VLOOKUP($A4,'FL Ratio'!$A$3:$B$10,2,FALSE),0)*'FL Characterization'!H$2)</f>
        <v>51.652444267642068</v>
      </c>
      <c r="I4" s="2">
        <f>('[1]Pc, Winter, S2'!I4*Main!$B$5)+(_xlfn.IFNA(VLOOKUP($A4,'FL Ratio'!$A$3:$B$10,2,FALSE),0)*'FL Characterization'!I$2)</f>
        <v>56.405647550482499</v>
      </c>
      <c r="J4" s="2">
        <f>('[1]Pc, Winter, S2'!J4*Main!$B$5)+(_xlfn.IFNA(VLOOKUP($A4,'FL Ratio'!$A$3:$B$10,2,FALSE),0)*'FL Characterization'!J$2)</f>
        <v>59.656181694075514</v>
      </c>
      <c r="K4" s="2">
        <f>('[1]Pc, Winter, S2'!K4*Main!$B$5)+(_xlfn.IFNA(VLOOKUP($A4,'FL Ratio'!$A$3:$B$10,2,FALSE),0)*'FL Characterization'!K$2)</f>
        <v>61.777386536205469</v>
      </c>
      <c r="L4" s="2">
        <f>('[1]Pc, Winter, S2'!L4*Main!$B$5)+(_xlfn.IFNA(VLOOKUP($A4,'FL Ratio'!$A$3:$B$10,2,FALSE),0)*'FL Characterization'!L$2)</f>
        <v>62.210003512795019</v>
      </c>
      <c r="M4" s="2">
        <f>('[1]Pc, Winter, S2'!M4*Main!$B$5)+(_xlfn.IFNA(VLOOKUP($A4,'FL Ratio'!$A$3:$B$10,2,FALSE),0)*'FL Characterization'!M$2)</f>
        <v>61.609457411375459</v>
      </c>
      <c r="N4" s="2">
        <f>('[1]Pc, Winter, S2'!N4*Main!$B$5)+(_xlfn.IFNA(VLOOKUP($A4,'FL Ratio'!$A$3:$B$10,2,FALSE),0)*'FL Characterization'!N$2)</f>
        <v>61.398961944455493</v>
      </c>
      <c r="O4" s="2">
        <f>('[1]Pc, Winter, S2'!O4*Main!$B$5)+(_xlfn.IFNA(VLOOKUP($A4,'FL Ratio'!$A$3:$B$10,2,FALSE),0)*'FL Characterization'!O$2)</f>
        <v>60.452148646951429</v>
      </c>
      <c r="P4" s="2">
        <f>('[1]Pc, Winter, S2'!P4*Main!$B$5)+(_xlfn.IFNA(VLOOKUP($A4,'FL Ratio'!$A$3:$B$10,2,FALSE),0)*'FL Characterization'!P$2)</f>
        <v>58.595165832876894</v>
      </c>
      <c r="Q4" s="2">
        <f>('[1]Pc, Winter, S2'!Q4*Main!$B$5)+(_xlfn.IFNA(VLOOKUP($A4,'FL Ratio'!$A$3:$B$10,2,FALSE),0)*'FL Characterization'!Q$2)</f>
        <v>57.535312703486284</v>
      </c>
      <c r="R4" s="2">
        <f>('[1]Pc, Winter, S2'!R4*Main!$B$5)+(_xlfn.IFNA(VLOOKUP($A4,'FL Ratio'!$A$3:$B$10,2,FALSE),0)*'FL Characterization'!R$2)</f>
        <v>59.249705485670496</v>
      </c>
      <c r="S4" s="2">
        <f>('[1]Pc, Winter, S2'!S4*Main!$B$5)+(_xlfn.IFNA(VLOOKUP($A4,'FL Ratio'!$A$3:$B$10,2,FALSE),0)*'FL Characterization'!S$2)</f>
        <v>67.442135132638469</v>
      </c>
      <c r="T4" s="2">
        <f>('[1]Pc, Winter, S2'!T4*Main!$B$5)+(_xlfn.IFNA(VLOOKUP($A4,'FL Ratio'!$A$3:$B$10,2,FALSE),0)*'FL Characterization'!T$2)</f>
        <v>68.411554401446281</v>
      </c>
      <c r="U4" s="2">
        <f>('[1]Pc, Winter, S2'!U4*Main!$B$5)+(_xlfn.IFNA(VLOOKUP($A4,'FL Ratio'!$A$3:$B$10,2,FALSE),0)*'FL Characterization'!U$2)</f>
        <v>68.67259854095569</v>
      </c>
      <c r="V4" s="2">
        <f>('[1]Pc, Winter, S2'!V4*Main!$B$5)+(_xlfn.IFNA(VLOOKUP($A4,'FL Ratio'!$A$3:$B$10,2,FALSE),0)*'FL Characterization'!V$2)</f>
        <v>66.81539593984968</v>
      </c>
      <c r="W4" s="2">
        <f>('[1]Pc, Winter, S2'!W4*Main!$B$5)+(_xlfn.IFNA(VLOOKUP($A4,'FL Ratio'!$A$3:$B$10,2,FALSE),0)*'FL Characterization'!W$2)</f>
        <v>63.588961742268175</v>
      </c>
      <c r="X4" s="2">
        <f>('[1]Pc, Winter, S2'!X4*Main!$B$5)+(_xlfn.IFNA(VLOOKUP($A4,'FL Ratio'!$A$3:$B$10,2,FALSE),0)*'FL Characterization'!X$2)</f>
        <v>59.1398775243754</v>
      </c>
      <c r="Y4" s="2">
        <f>('[1]Pc, Winter, S2'!Y4*Main!$B$5)+(_xlfn.IFNA(VLOOKUP($A4,'FL Ratio'!$A$3:$B$10,2,FALSE),0)*'FL Characterization'!Y$2)</f>
        <v>52.738741697245793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31.314771388312653</v>
      </c>
      <c r="C2" s="2">
        <f>('[1]Pc, Winter, S2'!C2*Main!$B$5)+(_xlfn.IFNA(VLOOKUP($A2,'FL Ratio'!$A$3:$B$10,2,FALSE),0)*'FL Characterization'!C$2)</f>
        <v>29.208799588520595</v>
      </c>
      <c r="D2" s="2">
        <f>('[1]Pc, Winter, S2'!D2*Main!$B$5)+(_xlfn.IFNA(VLOOKUP($A2,'FL Ratio'!$A$3:$B$10,2,FALSE),0)*'FL Characterization'!D$2)</f>
        <v>27.676235236836686</v>
      </c>
      <c r="E2" s="2">
        <f>('[1]Pc, Winter, S2'!E2*Main!$B$5)+(_xlfn.IFNA(VLOOKUP($A2,'FL Ratio'!$A$3:$B$10,2,FALSE),0)*'FL Characterization'!E$2)</f>
        <v>27.48041047016341</v>
      </c>
      <c r="F2" s="2">
        <f>('[1]Pc, Winter, S2'!F2*Main!$B$5)+(_xlfn.IFNA(VLOOKUP($A2,'FL Ratio'!$A$3:$B$10,2,FALSE),0)*'FL Characterization'!F$2)</f>
        <v>27.811886612795654</v>
      </c>
      <c r="G2" s="2">
        <f>('[1]Pc, Winter, S2'!G2*Main!$B$5)+(_xlfn.IFNA(VLOOKUP($A2,'FL Ratio'!$A$3:$B$10,2,FALSE),0)*'FL Characterization'!G$2)</f>
        <v>30.57126838772081</v>
      </c>
      <c r="H2" s="2">
        <f>('[1]Pc, Winter, S2'!H2*Main!$B$5)+(_xlfn.IFNA(VLOOKUP($A2,'FL Ratio'!$A$3:$B$10,2,FALSE),0)*'FL Characterization'!H$2)</f>
        <v>36.47897346476487</v>
      </c>
      <c r="I2" s="2">
        <f>('[1]Pc, Winter, S2'!I2*Main!$B$5)+(_xlfn.IFNA(VLOOKUP($A2,'FL Ratio'!$A$3:$B$10,2,FALSE),0)*'FL Characterization'!I$2)</f>
        <v>43.90956241986904</v>
      </c>
      <c r="J2" s="2">
        <f>('[1]Pc, Winter, S2'!J2*Main!$B$5)+(_xlfn.IFNA(VLOOKUP($A2,'FL Ratio'!$A$3:$B$10,2,FALSE),0)*'FL Characterization'!J$2)</f>
        <v>47.805581911848385</v>
      </c>
      <c r="K2" s="2">
        <f>('[1]Pc, Winter, S2'!K2*Main!$B$5)+(_xlfn.IFNA(VLOOKUP($A2,'FL Ratio'!$A$3:$B$10,2,FALSE),0)*'FL Characterization'!K$2)</f>
        <v>48.401709377874333</v>
      </c>
      <c r="L2" s="2">
        <f>('[1]Pc, Winter, S2'!L2*Main!$B$5)+(_xlfn.IFNA(VLOOKUP($A2,'FL Ratio'!$A$3:$B$10,2,FALSE),0)*'FL Characterization'!L$2)</f>
        <v>47.09550942384034</v>
      </c>
      <c r="M2" s="2">
        <f>('[1]Pc, Winter, S2'!M2*Main!$B$5)+(_xlfn.IFNA(VLOOKUP($A2,'FL Ratio'!$A$3:$B$10,2,FALSE),0)*'FL Characterization'!M$2)</f>
        <v>47.338245974186002</v>
      </c>
      <c r="N2" s="2">
        <f>('[1]Pc, Winter, S2'!N2*Main!$B$5)+(_xlfn.IFNA(VLOOKUP($A2,'FL Ratio'!$A$3:$B$10,2,FALSE),0)*'FL Characterization'!N$2)</f>
        <v>47.299344729986998</v>
      </c>
      <c r="O2" s="2">
        <f>('[1]Pc, Winter, S2'!O2*Main!$B$5)+(_xlfn.IFNA(VLOOKUP($A2,'FL Ratio'!$A$3:$B$10,2,FALSE),0)*'FL Characterization'!O$2)</f>
        <v>46.526971764628897</v>
      </c>
      <c r="P2" s="2">
        <f>('[1]Pc, Winter, S2'!P2*Main!$B$5)+(_xlfn.IFNA(VLOOKUP($A2,'FL Ratio'!$A$3:$B$10,2,FALSE),0)*'FL Characterization'!P$2)</f>
        <v>43.875420432922205</v>
      </c>
      <c r="Q2" s="2">
        <f>('[1]Pc, Winter, S2'!Q2*Main!$B$5)+(_xlfn.IFNA(VLOOKUP($A2,'FL Ratio'!$A$3:$B$10,2,FALSE),0)*'FL Characterization'!Q$2)</f>
        <v>42.618373427856604</v>
      </c>
      <c r="R2" s="2">
        <f>('[1]Pc, Winter, S2'!R2*Main!$B$5)+(_xlfn.IFNA(VLOOKUP($A2,'FL Ratio'!$A$3:$B$10,2,FALSE),0)*'FL Characterization'!R$2)</f>
        <v>44.384867464118543</v>
      </c>
      <c r="S2" s="2">
        <f>('[1]Pc, Winter, S2'!S2*Main!$B$5)+(_xlfn.IFNA(VLOOKUP($A2,'FL Ratio'!$A$3:$B$10,2,FALSE),0)*'FL Characterization'!S$2)</f>
        <v>49.201458980356357</v>
      </c>
      <c r="T2" s="2">
        <f>('[1]Pc, Winter, S2'!T2*Main!$B$5)+(_xlfn.IFNA(VLOOKUP($A2,'FL Ratio'!$A$3:$B$10,2,FALSE),0)*'FL Characterization'!T$2)</f>
        <v>49.023104469708372</v>
      </c>
      <c r="U2" s="2">
        <f>('[1]Pc, Winter, S2'!U2*Main!$B$5)+(_xlfn.IFNA(VLOOKUP($A2,'FL Ratio'!$A$3:$B$10,2,FALSE),0)*'FL Characterization'!U$2)</f>
        <v>48.008149929671077</v>
      </c>
      <c r="V2" s="2">
        <f>('[1]Pc, Winter, S2'!V2*Main!$B$5)+(_xlfn.IFNA(VLOOKUP($A2,'FL Ratio'!$A$3:$B$10,2,FALSE),0)*'FL Characterization'!V$2)</f>
        <v>47.182533987243048</v>
      </c>
      <c r="W2" s="2">
        <f>('[1]Pc, Winter, S2'!W2*Main!$B$5)+(_xlfn.IFNA(VLOOKUP($A2,'FL Ratio'!$A$3:$B$10,2,FALSE),0)*'FL Characterization'!W$2)</f>
        <v>44.222725086422344</v>
      </c>
      <c r="X2" s="2">
        <f>('[1]Pc, Winter, S2'!X2*Main!$B$5)+(_xlfn.IFNA(VLOOKUP($A2,'FL Ratio'!$A$3:$B$10,2,FALSE),0)*'FL Characterization'!X$2)</f>
        <v>38.686656484717773</v>
      </c>
      <c r="Y2" s="2">
        <f>('[1]Pc, Winter, S2'!Y2*Main!$B$5)+(_xlfn.IFNA(VLOOKUP($A2,'FL Ratio'!$A$3:$B$10,2,FALSE),0)*'FL Characterization'!Y$2)</f>
        <v>35.098617575650032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32.863214226155272</v>
      </c>
      <c r="C3" s="2">
        <f>('[1]Pc, Winter, S2'!C3*Main!$B$5)+(_xlfn.IFNA(VLOOKUP($A3,'FL Ratio'!$A$3:$B$10,2,FALSE),0)*'FL Characterization'!C$2)</f>
        <v>30.736045274116613</v>
      </c>
      <c r="D3" s="2">
        <f>('[1]Pc, Winter, S2'!D3*Main!$B$5)+(_xlfn.IFNA(VLOOKUP($A3,'FL Ratio'!$A$3:$B$10,2,FALSE),0)*'FL Characterization'!D$2)</f>
        <v>27.795985871901038</v>
      </c>
      <c r="E3" s="2">
        <f>('[1]Pc, Winter, S2'!E3*Main!$B$5)+(_xlfn.IFNA(VLOOKUP($A3,'FL Ratio'!$A$3:$B$10,2,FALSE),0)*'FL Characterization'!E$2)</f>
        <v>29.671613089569512</v>
      </c>
      <c r="F3" s="2">
        <f>('[1]Pc, Winter, S2'!F3*Main!$B$5)+(_xlfn.IFNA(VLOOKUP($A3,'FL Ratio'!$A$3:$B$10,2,FALSE),0)*'FL Characterization'!F$2)</f>
        <v>29.272732646724712</v>
      </c>
      <c r="G3" s="2">
        <f>('[1]Pc, Winter, S2'!G3*Main!$B$5)+(_xlfn.IFNA(VLOOKUP($A3,'FL Ratio'!$A$3:$B$10,2,FALSE),0)*'FL Characterization'!G$2)</f>
        <v>30.252120670365599</v>
      </c>
      <c r="H3" s="2">
        <f>('[1]Pc, Winter, S2'!H3*Main!$B$5)+(_xlfn.IFNA(VLOOKUP($A3,'FL Ratio'!$A$3:$B$10,2,FALSE),0)*'FL Characterization'!H$2)</f>
        <v>44.71432173494108</v>
      </c>
      <c r="I3" s="2">
        <f>('[1]Pc, Winter, S2'!I3*Main!$B$5)+(_xlfn.IFNA(VLOOKUP($A3,'FL Ratio'!$A$3:$B$10,2,FALSE),0)*'FL Characterization'!I$2)</f>
        <v>48.468322249660567</v>
      </c>
      <c r="J3" s="2">
        <f>('[1]Pc, Winter, S2'!J3*Main!$B$5)+(_xlfn.IFNA(VLOOKUP($A3,'FL Ratio'!$A$3:$B$10,2,FALSE),0)*'FL Characterization'!J$2)</f>
        <v>53.084866966689987</v>
      </c>
      <c r="K3" s="2">
        <f>('[1]Pc, Winter, S2'!K3*Main!$B$5)+(_xlfn.IFNA(VLOOKUP($A3,'FL Ratio'!$A$3:$B$10,2,FALSE),0)*'FL Characterization'!K$2)</f>
        <v>53.211885504031237</v>
      </c>
      <c r="L3" s="2">
        <f>('[1]Pc, Winter, S2'!L3*Main!$B$5)+(_xlfn.IFNA(VLOOKUP($A3,'FL Ratio'!$A$3:$B$10,2,FALSE),0)*'FL Characterization'!L$2)</f>
        <v>50.152099297379884</v>
      </c>
      <c r="M3" s="2">
        <f>('[1]Pc, Winter, S2'!M3*Main!$B$5)+(_xlfn.IFNA(VLOOKUP($A3,'FL Ratio'!$A$3:$B$10,2,FALSE),0)*'FL Characterization'!M$2)</f>
        <v>54.900535691172273</v>
      </c>
      <c r="N3" s="2">
        <f>('[1]Pc, Winter, S2'!N3*Main!$B$5)+(_xlfn.IFNA(VLOOKUP($A3,'FL Ratio'!$A$3:$B$10,2,FALSE),0)*'FL Characterization'!N$2)</f>
        <v>51.926866495967317</v>
      </c>
      <c r="O3" s="2">
        <f>('[1]Pc, Winter, S2'!O3*Main!$B$5)+(_xlfn.IFNA(VLOOKUP($A3,'FL Ratio'!$A$3:$B$10,2,FALSE),0)*'FL Characterization'!O$2)</f>
        <v>48.945762700963108</v>
      </c>
      <c r="P3" s="2">
        <f>('[1]Pc, Winter, S2'!P3*Main!$B$5)+(_xlfn.IFNA(VLOOKUP($A3,'FL Ratio'!$A$3:$B$10,2,FALSE),0)*'FL Characterization'!P$2)</f>
        <v>47.526348227380247</v>
      </c>
      <c r="Q3" s="2">
        <f>('[1]Pc, Winter, S2'!Q3*Main!$B$5)+(_xlfn.IFNA(VLOOKUP($A3,'FL Ratio'!$A$3:$B$10,2,FALSE),0)*'FL Characterization'!Q$2)</f>
        <v>44.444700247917616</v>
      </c>
      <c r="R3" s="2">
        <f>('[1]Pc, Winter, S2'!R3*Main!$B$5)+(_xlfn.IFNA(VLOOKUP($A3,'FL Ratio'!$A$3:$B$10,2,FALSE),0)*'FL Characterization'!R$2)</f>
        <v>44.158561669928091</v>
      </c>
      <c r="S3" s="2">
        <f>('[1]Pc, Winter, S2'!S3*Main!$B$5)+(_xlfn.IFNA(VLOOKUP($A3,'FL Ratio'!$A$3:$B$10,2,FALSE),0)*'FL Characterization'!S$2)</f>
        <v>47.14195261000097</v>
      </c>
      <c r="T3" s="2">
        <f>('[1]Pc, Winter, S2'!T3*Main!$B$5)+(_xlfn.IFNA(VLOOKUP($A3,'FL Ratio'!$A$3:$B$10,2,FALSE),0)*'FL Characterization'!T$2)</f>
        <v>46.804249886617377</v>
      </c>
      <c r="U3" s="2">
        <f>('[1]Pc, Winter, S2'!U3*Main!$B$5)+(_xlfn.IFNA(VLOOKUP($A3,'FL Ratio'!$A$3:$B$10,2,FALSE),0)*'FL Characterization'!U$2)</f>
        <v>47.359463581353694</v>
      </c>
      <c r="V3" s="2">
        <f>('[1]Pc, Winter, S2'!V3*Main!$B$5)+(_xlfn.IFNA(VLOOKUP($A3,'FL Ratio'!$A$3:$B$10,2,FALSE),0)*'FL Characterization'!V$2)</f>
        <v>46.264652077842413</v>
      </c>
      <c r="W3" s="2">
        <f>('[1]Pc, Winter, S2'!W3*Main!$B$5)+(_xlfn.IFNA(VLOOKUP($A3,'FL Ratio'!$A$3:$B$10,2,FALSE),0)*'FL Characterization'!W$2)</f>
        <v>41.66000701757703</v>
      </c>
      <c r="X3" s="2">
        <f>('[1]Pc, Winter, S2'!X3*Main!$B$5)+(_xlfn.IFNA(VLOOKUP($A3,'FL Ratio'!$A$3:$B$10,2,FALSE),0)*'FL Characterization'!X$2)</f>
        <v>36.411796012427736</v>
      </c>
      <c r="Y3" s="2">
        <f>('[1]Pc, Winter, S2'!Y3*Main!$B$5)+(_xlfn.IFNA(VLOOKUP($A3,'FL Ratio'!$A$3:$B$10,2,FALSE),0)*'FL Characterization'!Y$2)</f>
        <v>35.578507275431484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46.90554320623896</v>
      </c>
      <c r="C4" s="2">
        <f>('[1]Pc, Winter, S2'!C4*Main!$B$5)+(_xlfn.IFNA(VLOOKUP($A4,'FL Ratio'!$A$3:$B$10,2,FALSE),0)*'FL Characterization'!C$2)</f>
        <v>41.56224759284602</v>
      </c>
      <c r="D4" s="2">
        <f>('[1]Pc, Winter, S2'!D4*Main!$B$5)+(_xlfn.IFNA(VLOOKUP($A4,'FL Ratio'!$A$3:$B$10,2,FALSE),0)*'FL Characterization'!D$2)</f>
        <v>39.038571392976664</v>
      </c>
      <c r="E4" s="2">
        <f>('[1]Pc, Winter, S2'!E4*Main!$B$5)+(_xlfn.IFNA(VLOOKUP($A4,'FL Ratio'!$A$3:$B$10,2,FALSE),0)*'FL Characterization'!E$2)</f>
        <v>38.504160569016705</v>
      </c>
      <c r="F4" s="2">
        <f>('[1]Pc, Winter, S2'!F4*Main!$B$5)+(_xlfn.IFNA(VLOOKUP($A4,'FL Ratio'!$A$3:$B$10,2,FALSE),0)*'FL Characterization'!F$2)</f>
        <v>39.923380594896301</v>
      </c>
      <c r="G4" s="2">
        <f>('[1]Pc, Winter, S2'!G4*Main!$B$5)+(_xlfn.IFNA(VLOOKUP($A4,'FL Ratio'!$A$3:$B$10,2,FALSE),0)*'FL Characterization'!G$2)</f>
        <v>42.789995883439474</v>
      </c>
      <c r="H4" s="2">
        <f>('[1]Pc, Winter, S2'!H4*Main!$B$5)+(_xlfn.IFNA(VLOOKUP($A4,'FL Ratio'!$A$3:$B$10,2,FALSE),0)*'FL Characterization'!H$2)</f>
        <v>51.652444267642068</v>
      </c>
      <c r="I4" s="2">
        <f>('[1]Pc, Winter, S2'!I4*Main!$B$5)+(_xlfn.IFNA(VLOOKUP($A4,'FL Ratio'!$A$3:$B$10,2,FALSE),0)*'FL Characterization'!I$2)</f>
        <v>56.405647550482499</v>
      </c>
      <c r="J4" s="2">
        <f>('[1]Pc, Winter, S2'!J4*Main!$B$5)+(_xlfn.IFNA(VLOOKUP($A4,'FL Ratio'!$A$3:$B$10,2,FALSE),0)*'FL Characterization'!J$2)</f>
        <v>59.656181694075514</v>
      </c>
      <c r="K4" s="2">
        <f>('[1]Pc, Winter, S2'!K4*Main!$B$5)+(_xlfn.IFNA(VLOOKUP($A4,'FL Ratio'!$A$3:$B$10,2,FALSE),0)*'FL Characterization'!K$2)</f>
        <v>61.777386536205469</v>
      </c>
      <c r="L4" s="2">
        <f>('[1]Pc, Winter, S2'!L4*Main!$B$5)+(_xlfn.IFNA(VLOOKUP($A4,'FL Ratio'!$A$3:$B$10,2,FALSE),0)*'FL Characterization'!L$2)</f>
        <v>62.210003512795019</v>
      </c>
      <c r="M4" s="2">
        <f>('[1]Pc, Winter, S2'!M4*Main!$B$5)+(_xlfn.IFNA(VLOOKUP($A4,'FL Ratio'!$A$3:$B$10,2,FALSE),0)*'FL Characterization'!M$2)</f>
        <v>61.609457411375459</v>
      </c>
      <c r="N4" s="2">
        <f>('[1]Pc, Winter, S2'!N4*Main!$B$5)+(_xlfn.IFNA(VLOOKUP($A4,'FL Ratio'!$A$3:$B$10,2,FALSE),0)*'FL Characterization'!N$2)</f>
        <v>61.398961944455493</v>
      </c>
      <c r="O4" s="2">
        <f>('[1]Pc, Winter, S2'!O4*Main!$B$5)+(_xlfn.IFNA(VLOOKUP($A4,'FL Ratio'!$A$3:$B$10,2,FALSE),0)*'FL Characterization'!O$2)</f>
        <v>60.452148646951429</v>
      </c>
      <c r="P4" s="2">
        <f>('[1]Pc, Winter, S2'!P4*Main!$B$5)+(_xlfn.IFNA(VLOOKUP($A4,'FL Ratio'!$A$3:$B$10,2,FALSE),0)*'FL Characterization'!P$2)</f>
        <v>58.595165832876894</v>
      </c>
      <c r="Q4" s="2">
        <f>('[1]Pc, Winter, S2'!Q4*Main!$B$5)+(_xlfn.IFNA(VLOOKUP($A4,'FL Ratio'!$A$3:$B$10,2,FALSE),0)*'FL Characterization'!Q$2)</f>
        <v>57.535312703486284</v>
      </c>
      <c r="R4" s="2">
        <f>('[1]Pc, Winter, S2'!R4*Main!$B$5)+(_xlfn.IFNA(VLOOKUP($A4,'FL Ratio'!$A$3:$B$10,2,FALSE),0)*'FL Characterization'!R$2)</f>
        <v>59.249705485670496</v>
      </c>
      <c r="S4" s="2">
        <f>('[1]Pc, Winter, S2'!S4*Main!$B$5)+(_xlfn.IFNA(VLOOKUP($A4,'FL Ratio'!$A$3:$B$10,2,FALSE),0)*'FL Characterization'!S$2)</f>
        <v>67.442135132638469</v>
      </c>
      <c r="T4" s="2">
        <f>('[1]Pc, Winter, S2'!T4*Main!$B$5)+(_xlfn.IFNA(VLOOKUP($A4,'FL Ratio'!$A$3:$B$10,2,FALSE),0)*'FL Characterization'!T$2)</f>
        <v>68.411554401446281</v>
      </c>
      <c r="U4" s="2">
        <f>('[1]Pc, Winter, S2'!U4*Main!$B$5)+(_xlfn.IFNA(VLOOKUP($A4,'FL Ratio'!$A$3:$B$10,2,FALSE),0)*'FL Characterization'!U$2)</f>
        <v>68.67259854095569</v>
      </c>
      <c r="V4" s="2">
        <f>('[1]Pc, Winter, S2'!V4*Main!$B$5)+(_xlfn.IFNA(VLOOKUP($A4,'FL Ratio'!$A$3:$B$10,2,FALSE),0)*'FL Characterization'!V$2)</f>
        <v>66.81539593984968</v>
      </c>
      <c r="W4" s="2">
        <f>('[1]Pc, Winter, S2'!W4*Main!$B$5)+(_xlfn.IFNA(VLOOKUP($A4,'FL Ratio'!$A$3:$B$10,2,FALSE),0)*'FL Characterization'!W$2)</f>
        <v>63.588961742268175</v>
      </c>
      <c r="X4" s="2">
        <f>('[1]Pc, Winter, S2'!X4*Main!$B$5)+(_xlfn.IFNA(VLOOKUP($A4,'FL Ratio'!$A$3:$B$10,2,FALSE),0)*'FL Characterization'!X$2)</f>
        <v>59.1398775243754</v>
      </c>
      <c r="Y4" s="2">
        <f>('[1]Pc, Winter, S2'!Y4*Main!$B$5)+(_xlfn.IFNA(VLOOKUP($A4,'FL Ratio'!$A$3:$B$10,2,FALSE),0)*'FL Characterization'!Y$2)</f>
        <v>52.738741697245793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31.314771388312653</v>
      </c>
      <c r="C2" s="2">
        <f>('[1]Pc, Winter, S2'!C2*Main!$B$5)+(_xlfn.IFNA(VLOOKUP($A2,'FL Ratio'!$A$3:$B$10,2,FALSE),0)*'FL Characterization'!C$2)</f>
        <v>29.208799588520595</v>
      </c>
      <c r="D2" s="2">
        <f>('[1]Pc, Winter, S2'!D2*Main!$B$5)+(_xlfn.IFNA(VLOOKUP($A2,'FL Ratio'!$A$3:$B$10,2,FALSE),0)*'FL Characterization'!D$2)</f>
        <v>27.676235236836686</v>
      </c>
      <c r="E2" s="2">
        <f>('[1]Pc, Winter, S2'!E2*Main!$B$5)+(_xlfn.IFNA(VLOOKUP($A2,'FL Ratio'!$A$3:$B$10,2,FALSE),0)*'FL Characterization'!E$2)</f>
        <v>27.48041047016341</v>
      </c>
      <c r="F2" s="2">
        <f>('[1]Pc, Winter, S2'!F2*Main!$B$5)+(_xlfn.IFNA(VLOOKUP($A2,'FL Ratio'!$A$3:$B$10,2,FALSE),0)*'FL Characterization'!F$2)</f>
        <v>27.811886612795654</v>
      </c>
      <c r="G2" s="2">
        <f>('[1]Pc, Winter, S2'!G2*Main!$B$5)+(_xlfn.IFNA(VLOOKUP($A2,'FL Ratio'!$A$3:$B$10,2,FALSE),0)*'FL Characterization'!G$2)</f>
        <v>30.57126838772081</v>
      </c>
      <c r="H2" s="2">
        <f>('[1]Pc, Winter, S2'!H2*Main!$B$5)+(_xlfn.IFNA(VLOOKUP($A2,'FL Ratio'!$A$3:$B$10,2,FALSE),0)*'FL Characterization'!H$2)</f>
        <v>36.47897346476487</v>
      </c>
      <c r="I2" s="2">
        <f>('[1]Pc, Winter, S2'!I2*Main!$B$5)+(_xlfn.IFNA(VLOOKUP($A2,'FL Ratio'!$A$3:$B$10,2,FALSE),0)*'FL Characterization'!I$2)</f>
        <v>43.90956241986904</v>
      </c>
      <c r="J2" s="2">
        <f>('[1]Pc, Winter, S2'!J2*Main!$B$5)+(_xlfn.IFNA(VLOOKUP($A2,'FL Ratio'!$A$3:$B$10,2,FALSE),0)*'FL Characterization'!J$2)</f>
        <v>47.805581911848385</v>
      </c>
      <c r="K2" s="2">
        <f>('[1]Pc, Winter, S2'!K2*Main!$B$5)+(_xlfn.IFNA(VLOOKUP($A2,'FL Ratio'!$A$3:$B$10,2,FALSE),0)*'FL Characterization'!K$2)</f>
        <v>48.401709377874333</v>
      </c>
      <c r="L2" s="2">
        <f>('[1]Pc, Winter, S2'!L2*Main!$B$5)+(_xlfn.IFNA(VLOOKUP($A2,'FL Ratio'!$A$3:$B$10,2,FALSE),0)*'FL Characterization'!L$2)</f>
        <v>47.09550942384034</v>
      </c>
      <c r="M2" s="2">
        <f>('[1]Pc, Winter, S2'!M2*Main!$B$5)+(_xlfn.IFNA(VLOOKUP($A2,'FL Ratio'!$A$3:$B$10,2,FALSE),0)*'FL Characterization'!M$2)</f>
        <v>47.338245974186002</v>
      </c>
      <c r="N2" s="2">
        <f>('[1]Pc, Winter, S2'!N2*Main!$B$5)+(_xlfn.IFNA(VLOOKUP($A2,'FL Ratio'!$A$3:$B$10,2,FALSE),0)*'FL Characterization'!N$2)</f>
        <v>47.299344729986998</v>
      </c>
      <c r="O2" s="2">
        <f>('[1]Pc, Winter, S2'!O2*Main!$B$5)+(_xlfn.IFNA(VLOOKUP($A2,'FL Ratio'!$A$3:$B$10,2,FALSE),0)*'FL Characterization'!O$2)</f>
        <v>46.526971764628897</v>
      </c>
      <c r="P2" s="2">
        <f>('[1]Pc, Winter, S2'!P2*Main!$B$5)+(_xlfn.IFNA(VLOOKUP($A2,'FL Ratio'!$A$3:$B$10,2,FALSE),0)*'FL Characterization'!P$2)</f>
        <v>43.875420432922205</v>
      </c>
      <c r="Q2" s="2">
        <f>('[1]Pc, Winter, S2'!Q2*Main!$B$5)+(_xlfn.IFNA(VLOOKUP($A2,'FL Ratio'!$A$3:$B$10,2,FALSE),0)*'FL Characterization'!Q$2)</f>
        <v>42.618373427856604</v>
      </c>
      <c r="R2" s="2">
        <f>('[1]Pc, Winter, S2'!R2*Main!$B$5)+(_xlfn.IFNA(VLOOKUP($A2,'FL Ratio'!$A$3:$B$10,2,FALSE),0)*'FL Characterization'!R$2)</f>
        <v>44.384867464118543</v>
      </c>
      <c r="S2" s="2">
        <f>('[1]Pc, Winter, S2'!S2*Main!$B$5)+(_xlfn.IFNA(VLOOKUP($A2,'FL Ratio'!$A$3:$B$10,2,FALSE),0)*'FL Characterization'!S$2)</f>
        <v>49.201458980356357</v>
      </c>
      <c r="T2" s="2">
        <f>('[1]Pc, Winter, S2'!T2*Main!$B$5)+(_xlfn.IFNA(VLOOKUP($A2,'FL Ratio'!$A$3:$B$10,2,FALSE),0)*'FL Characterization'!T$2)</f>
        <v>49.023104469708372</v>
      </c>
      <c r="U2" s="2">
        <f>('[1]Pc, Winter, S2'!U2*Main!$B$5)+(_xlfn.IFNA(VLOOKUP($A2,'FL Ratio'!$A$3:$B$10,2,FALSE),0)*'FL Characterization'!U$2)</f>
        <v>48.008149929671077</v>
      </c>
      <c r="V2" s="2">
        <f>('[1]Pc, Winter, S2'!V2*Main!$B$5)+(_xlfn.IFNA(VLOOKUP($A2,'FL Ratio'!$A$3:$B$10,2,FALSE),0)*'FL Characterization'!V$2)</f>
        <v>47.182533987243048</v>
      </c>
      <c r="W2" s="2">
        <f>('[1]Pc, Winter, S2'!W2*Main!$B$5)+(_xlfn.IFNA(VLOOKUP($A2,'FL Ratio'!$A$3:$B$10,2,FALSE),0)*'FL Characterization'!W$2)</f>
        <v>44.222725086422344</v>
      </c>
      <c r="X2" s="2">
        <f>('[1]Pc, Winter, S2'!X2*Main!$B$5)+(_xlfn.IFNA(VLOOKUP($A2,'FL Ratio'!$A$3:$B$10,2,FALSE),0)*'FL Characterization'!X$2)</f>
        <v>38.686656484717773</v>
      </c>
      <c r="Y2" s="2">
        <f>('[1]Pc, Winter, S2'!Y2*Main!$B$5)+(_xlfn.IFNA(VLOOKUP($A2,'FL Ratio'!$A$3:$B$10,2,FALSE),0)*'FL Characterization'!Y$2)</f>
        <v>35.098617575650032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32.863214226155272</v>
      </c>
      <c r="C3" s="2">
        <f>('[1]Pc, Winter, S2'!C3*Main!$B$5)+(_xlfn.IFNA(VLOOKUP($A3,'FL Ratio'!$A$3:$B$10,2,FALSE),0)*'FL Characterization'!C$2)</f>
        <v>30.736045274116613</v>
      </c>
      <c r="D3" s="2">
        <f>('[1]Pc, Winter, S2'!D3*Main!$B$5)+(_xlfn.IFNA(VLOOKUP($A3,'FL Ratio'!$A$3:$B$10,2,FALSE),0)*'FL Characterization'!D$2)</f>
        <v>27.795985871901038</v>
      </c>
      <c r="E3" s="2">
        <f>('[1]Pc, Winter, S2'!E3*Main!$B$5)+(_xlfn.IFNA(VLOOKUP($A3,'FL Ratio'!$A$3:$B$10,2,FALSE),0)*'FL Characterization'!E$2)</f>
        <v>29.671613089569512</v>
      </c>
      <c r="F3" s="2">
        <f>('[1]Pc, Winter, S2'!F3*Main!$B$5)+(_xlfn.IFNA(VLOOKUP($A3,'FL Ratio'!$A$3:$B$10,2,FALSE),0)*'FL Characterization'!F$2)</f>
        <v>29.272732646724712</v>
      </c>
      <c r="G3" s="2">
        <f>('[1]Pc, Winter, S2'!G3*Main!$B$5)+(_xlfn.IFNA(VLOOKUP($A3,'FL Ratio'!$A$3:$B$10,2,FALSE),0)*'FL Characterization'!G$2)</f>
        <v>30.252120670365599</v>
      </c>
      <c r="H3" s="2">
        <f>('[1]Pc, Winter, S2'!H3*Main!$B$5)+(_xlfn.IFNA(VLOOKUP($A3,'FL Ratio'!$A$3:$B$10,2,FALSE),0)*'FL Characterization'!H$2)</f>
        <v>44.71432173494108</v>
      </c>
      <c r="I3" s="2">
        <f>('[1]Pc, Winter, S2'!I3*Main!$B$5)+(_xlfn.IFNA(VLOOKUP($A3,'FL Ratio'!$A$3:$B$10,2,FALSE),0)*'FL Characterization'!I$2)</f>
        <v>48.468322249660567</v>
      </c>
      <c r="J3" s="2">
        <f>('[1]Pc, Winter, S2'!J3*Main!$B$5)+(_xlfn.IFNA(VLOOKUP($A3,'FL Ratio'!$A$3:$B$10,2,FALSE),0)*'FL Characterization'!J$2)</f>
        <v>53.084866966689987</v>
      </c>
      <c r="K3" s="2">
        <f>('[1]Pc, Winter, S2'!K3*Main!$B$5)+(_xlfn.IFNA(VLOOKUP($A3,'FL Ratio'!$A$3:$B$10,2,FALSE),0)*'FL Characterization'!K$2)</f>
        <v>53.211885504031237</v>
      </c>
      <c r="L3" s="2">
        <f>('[1]Pc, Winter, S2'!L3*Main!$B$5)+(_xlfn.IFNA(VLOOKUP($A3,'FL Ratio'!$A$3:$B$10,2,FALSE),0)*'FL Characterization'!L$2)</f>
        <v>50.152099297379884</v>
      </c>
      <c r="M3" s="2">
        <f>('[1]Pc, Winter, S2'!M3*Main!$B$5)+(_xlfn.IFNA(VLOOKUP($A3,'FL Ratio'!$A$3:$B$10,2,FALSE),0)*'FL Characterization'!M$2)</f>
        <v>54.900535691172273</v>
      </c>
      <c r="N3" s="2">
        <f>('[1]Pc, Winter, S2'!N3*Main!$B$5)+(_xlfn.IFNA(VLOOKUP($A3,'FL Ratio'!$A$3:$B$10,2,FALSE),0)*'FL Characterization'!N$2)</f>
        <v>51.926866495967317</v>
      </c>
      <c r="O3" s="2">
        <f>('[1]Pc, Winter, S2'!O3*Main!$B$5)+(_xlfn.IFNA(VLOOKUP($A3,'FL Ratio'!$A$3:$B$10,2,FALSE),0)*'FL Characterization'!O$2)</f>
        <v>48.945762700963108</v>
      </c>
      <c r="P3" s="2">
        <f>('[1]Pc, Winter, S2'!P3*Main!$B$5)+(_xlfn.IFNA(VLOOKUP($A3,'FL Ratio'!$A$3:$B$10,2,FALSE),0)*'FL Characterization'!P$2)</f>
        <v>47.526348227380247</v>
      </c>
      <c r="Q3" s="2">
        <f>('[1]Pc, Winter, S2'!Q3*Main!$B$5)+(_xlfn.IFNA(VLOOKUP($A3,'FL Ratio'!$A$3:$B$10,2,FALSE),0)*'FL Characterization'!Q$2)</f>
        <v>44.444700247917616</v>
      </c>
      <c r="R3" s="2">
        <f>('[1]Pc, Winter, S2'!R3*Main!$B$5)+(_xlfn.IFNA(VLOOKUP($A3,'FL Ratio'!$A$3:$B$10,2,FALSE),0)*'FL Characterization'!R$2)</f>
        <v>44.158561669928091</v>
      </c>
      <c r="S3" s="2">
        <f>('[1]Pc, Winter, S2'!S3*Main!$B$5)+(_xlfn.IFNA(VLOOKUP($A3,'FL Ratio'!$A$3:$B$10,2,FALSE),0)*'FL Characterization'!S$2)</f>
        <v>47.14195261000097</v>
      </c>
      <c r="T3" s="2">
        <f>('[1]Pc, Winter, S2'!T3*Main!$B$5)+(_xlfn.IFNA(VLOOKUP($A3,'FL Ratio'!$A$3:$B$10,2,FALSE),0)*'FL Characterization'!T$2)</f>
        <v>46.804249886617377</v>
      </c>
      <c r="U3" s="2">
        <f>('[1]Pc, Winter, S2'!U3*Main!$B$5)+(_xlfn.IFNA(VLOOKUP($A3,'FL Ratio'!$A$3:$B$10,2,FALSE),0)*'FL Characterization'!U$2)</f>
        <v>47.359463581353694</v>
      </c>
      <c r="V3" s="2">
        <f>('[1]Pc, Winter, S2'!V3*Main!$B$5)+(_xlfn.IFNA(VLOOKUP($A3,'FL Ratio'!$A$3:$B$10,2,FALSE),0)*'FL Characterization'!V$2)</f>
        <v>46.264652077842413</v>
      </c>
      <c r="W3" s="2">
        <f>('[1]Pc, Winter, S2'!W3*Main!$B$5)+(_xlfn.IFNA(VLOOKUP($A3,'FL Ratio'!$A$3:$B$10,2,FALSE),0)*'FL Characterization'!W$2)</f>
        <v>41.66000701757703</v>
      </c>
      <c r="X3" s="2">
        <f>('[1]Pc, Winter, S2'!X3*Main!$B$5)+(_xlfn.IFNA(VLOOKUP($A3,'FL Ratio'!$A$3:$B$10,2,FALSE),0)*'FL Characterization'!X$2)</f>
        <v>36.411796012427736</v>
      </c>
      <c r="Y3" s="2">
        <f>('[1]Pc, Winter, S2'!Y3*Main!$B$5)+(_xlfn.IFNA(VLOOKUP($A3,'FL Ratio'!$A$3:$B$10,2,FALSE),0)*'FL Characterization'!Y$2)</f>
        <v>35.578507275431484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46.90554320623896</v>
      </c>
      <c r="C4" s="2">
        <f>('[1]Pc, Winter, S2'!C4*Main!$B$5)+(_xlfn.IFNA(VLOOKUP($A4,'FL Ratio'!$A$3:$B$10,2,FALSE),0)*'FL Characterization'!C$2)</f>
        <v>41.56224759284602</v>
      </c>
      <c r="D4" s="2">
        <f>('[1]Pc, Winter, S2'!D4*Main!$B$5)+(_xlfn.IFNA(VLOOKUP($A4,'FL Ratio'!$A$3:$B$10,2,FALSE),0)*'FL Characterization'!D$2)</f>
        <v>39.038571392976664</v>
      </c>
      <c r="E4" s="2">
        <f>('[1]Pc, Winter, S2'!E4*Main!$B$5)+(_xlfn.IFNA(VLOOKUP($A4,'FL Ratio'!$A$3:$B$10,2,FALSE),0)*'FL Characterization'!E$2)</f>
        <v>38.504160569016705</v>
      </c>
      <c r="F4" s="2">
        <f>('[1]Pc, Winter, S2'!F4*Main!$B$5)+(_xlfn.IFNA(VLOOKUP($A4,'FL Ratio'!$A$3:$B$10,2,FALSE),0)*'FL Characterization'!F$2)</f>
        <v>39.923380594896301</v>
      </c>
      <c r="G4" s="2">
        <f>('[1]Pc, Winter, S2'!G4*Main!$B$5)+(_xlfn.IFNA(VLOOKUP($A4,'FL Ratio'!$A$3:$B$10,2,FALSE),0)*'FL Characterization'!G$2)</f>
        <v>42.789995883439474</v>
      </c>
      <c r="H4" s="2">
        <f>('[1]Pc, Winter, S2'!H4*Main!$B$5)+(_xlfn.IFNA(VLOOKUP($A4,'FL Ratio'!$A$3:$B$10,2,FALSE),0)*'FL Characterization'!H$2)</f>
        <v>51.652444267642068</v>
      </c>
      <c r="I4" s="2">
        <f>('[1]Pc, Winter, S2'!I4*Main!$B$5)+(_xlfn.IFNA(VLOOKUP($A4,'FL Ratio'!$A$3:$B$10,2,FALSE),0)*'FL Characterization'!I$2)</f>
        <v>56.405647550482499</v>
      </c>
      <c r="J4" s="2">
        <f>('[1]Pc, Winter, S2'!J4*Main!$B$5)+(_xlfn.IFNA(VLOOKUP($A4,'FL Ratio'!$A$3:$B$10,2,FALSE),0)*'FL Characterization'!J$2)</f>
        <v>59.656181694075514</v>
      </c>
      <c r="K4" s="2">
        <f>('[1]Pc, Winter, S2'!K4*Main!$B$5)+(_xlfn.IFNA(VLOOKUP($A4,'FL Ratio'!$A$3:$B$10,2,FALSE),0)*'FL Characterization'!K$2)</f>
        <v>61.777386536205469</v>
      </c>
      <c r="L4" s="2">
        <f>('[1]Pc, Winter, S2'!L4*Main!$B$5)+(_xlfn.IFNA(VLOOKUP($A4,'FL Ratio'!$A$3:$B$10,2,FALSE),0)*'FL Characterization'!L$2)</f>
        <v>62.210003512795019</v>
      </c>
      <c r="M4" s="2">
        <f>('[1]Pc, Winter, S2'!M4*Main!$B$5)+(_xlfn.IFNA(VLOOKUP($A4,'FL Ratio'!$A$3:$B$10,2,FALSE),0)*'FL Characterization'!M$2)</f>
        <v>61.609457411375459</v>
      </c>
      <c r="N4" s="2">
        <f>('[1]Pc, Winter, S2'!N4*Main!$B$5)+(_xlfn.IFNA(VLOOKUP($A4,'FL Ratio'!$A$3:$B$10,2,FALSE),0)*'FL Characterization'!N$2)</f>
        <v>61.398961944455493</v>
      </c>
      <c r="O4" s="2">
        <f>('[1]Pc, Winter, S2'!O4*Main!$B$5)+(_xlfn.IFNA(VLOOKUP($A4,'FL Ratio'!$A$3:$B$10,2,FALSE),0)*'FL Characterization'!O$2)</f>
        <v>60.452148646951429</v>
      </c>
      <c r="P4" s="2">
        <f>('[1]Pc, Winter, S2'!P4*Main!$B$5)+(_xlfn.IFNA(VLOOKUP($A4,'FL Ratio'!$A$3:$B$10,2,FALSE),0)*'FL Characterization'!P$2)</f>
        <v>58.595165832876894</v>
      </c>
      <c r="Q4" s="2">
        <f>('[1]Pc, Winter, S2'!Q4*Main!$B$5)+(_xlfn.IFNA(VLOOKUP($A4,'FL Ratio'!$A$3:$B$10,2,FALSE),0)*'FL Characterization'!Q$2)</f>
        <v>57.535312703486284</v>
      </c>
      <c r="R4" s="2">
        <f>('[1]Pc, Winter, S2'!R4*Main!$B$5)+(_xlfn.IFNA(VLOOKUP($A4,'FL Ratio'!$A$3:$B$10,2,FALSE),0)*'FL Characterization'!R$2)</f>
        <v>59.249705485670496</v>
      </c>
      <c r="S4" s="2">
        <f>('[1]Pc, Winter, S2'!S4*Main!$B$5)+(_xlfn.IFNA(VLOOKUP($A4,'FL Ratio'!$A$3:$B$10,2,FALSE),0)*'FL Characterization'!S$2)</f>
        <v>67.442135132638469</v>
      </c>
      <c r="T4" s="2">
        <f>('[1]Pc, Winter, S2'!T4*Main!$B$5)+(_xlfn.IFNA(VLOOKUP($A4,'FL Ratio'!$A$3:$B$10,2,FALSE),0)*'FL Characterization'!T$2)</f>
        <v>68.411554401446281</v>
      </c>
      <c r="U4" s="2">
        <f>('[1]Pc, Winter, S2'!U4*Main!$B$5)+(_xlfn.IFNA(VLOOKUP($A4,'FL Ratio'!$A$3:$B$10,2,FALSE),0)*'FL Characterization'!U$2)</f>
        <v>68.67259854095569</v>
      </c>
      <c r="V4" s="2">
        <f>('[1]Pc, Winter, S2'!V4*Main!$B$5)+(_xlfn.IFNA(VLOOKUP($A4,'FL Ratio'!$A$3:$B$10,2,FALSE),0)*'FL Characterization'!V$2)</f>
        <v>66.81539593984968</v>
      </c>
      <c r="W4" s="2">
        <f>('[1]Pc, Winter, S2'!W4*Main!$B$5)+(_xlfn.IFNA(VLOOKUP($A4,'FL Ratio'!$A$3:$B$10,2,FALSE),0)*'FL Characterization'!W$2)</f>
        <v>63.588961742268175</v>
      </c>
      <c r="X4" s="2">
        <f>('[1]Pc, Winter, S2'!X4*Main!$B$5)+(_xlfn.IFNA(VLOOKUP($A4,'FL Ratio'!$A$3:$B$10,2,FALSE),0)*'FL Characterization'!X$2)</f>
        <v>59.1398775243754</v>
      </c>
      <c r="Y4" s="2">
        <f>('[1]Pc, Winter, S2'!Y4*Main!$B$5)+(_xlfn.IFNA(VLOOKUP($A4,'FL Ratio'!$A$3:$B$10,2,FALSE),0)*'FL Characterization'!Y$2)</f>
        <v>52.738741697245793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29.794636854899412</v>
      </c>
      <c r="C2" s="2">
        <f>('[1]Pc, Winter, S3'!C2*Main!$B$5)+(_xlfn.IFNA(VLOOKUP($A2,'FL Ratio'!$A$3:$B$10,2,FALSE),0)*'FL Characterization'!C$2)</f>
        <v>27.790896695873958</v>
      </c>
      <c r="D2" s="2">
        <f>('[1]Pc, Winter, S3'!D2*Main!$B$5)+(_xlfn.IFNA(VLOOKUP($A2,'FL Ratio'!$A$3:$B$10,2,FALSE),0)*'FL Characterization'!D$2)</f>
        <v>26.332728671941698</v>
      </c>
      <c r="E2" s="2">
        <f>('[1]Pc, Winter, S3'!E2*Main!$B$5)+(_xlfn.IFNA(VLOOKUP($A2,'FL Ratio'!$A$3:$B$10,2,FALSE),0)*'FL Characterization'!E$2)</f>
        <v>26.14640996190305</v>
      </c>
      <c r="F2" s="2">
        <f>('[1]Pc, Winter, S3'!F2*Main!$B$5)+(_xlfn.IFNA(VLOOKUP($A2,'FL Ratio'!$A$3:$B$10,2,FALSE),0)*'FL Characterization'!F$2)</f>
        <v>26.461795029650236</v>
      </c>
      <c r="G2" s="2">
        <f>('[1]Pc, Winter, S3'!G2*Main!$B$5)+(_xlfn.IFNA(VLOOKUP($A2,'FL Ratio'!$A$3:$B$10,2,FALSE),0)*'FL Characterization'!G$2)</f>
        <v>29.087226232977081</v>
      </c>
      <c r="H2" s="2">
        <f>('[1]Pc, Winter, S3'!H2*Main!$B$5)+(_xlfn.IFNA(VLOOKUP($A2,'FL Ratio'!$A$3:$B$10,2,FALSE),0)*'FL Characterization'!H$2)</f>
        <v>34.708149510164638</v>
      </c>
      <c r="I2" s="2">
        <f>('[1]Pc, Winter, S3'!I2*Main!$B$5)+(_xlfn.IFNA(VLOOKUP($A2,'FL Ratio'!$A$3:$B$10,2,FALSE),0)*'FL Characterization'!I$2)</f>
        <v>41.778030263564709</v>
      </c>
      <c r="J2" s="2">
        <f>('[1]Pc, Winter, S3'!J2*Main!$B$5)+(_xlfn.IFNA(VLOOKUP($A2,'FL Ratio'!$A$3:$B$10,2,FALSE),0)*'FL Characterization'!J$2)</f>
        <v>45.484922595739242</v>
      </c>
      <c r="K2" s="2">
        <f>('[1]Pc, Winter, S3'!K2*Main!$B$5)+(_xlfn.IFNA(VLOOKUP($A2,'FL Ratio'!$A$3:$B$10,2,FALSE),0)*'FL Characterization'!K$2)</f>
        <v>46.052111835259062</v>
      </c>
      <c r="L2" s="2">
        <f>('[1]Pc, Winter, S3'!L2*Main!$B$5)+(_xlfn.IFNA(VLOOKUP($A2,'FL Ratio'!$A$3:$B$10,2,FALSE),0)*'FL Characterization'!L$2)</f>
        <v>44.809319645984004</v>
      </c>
      <c r="M2" s="2">
        <f>('[1]Pc, Winter, S3'!M2*Main!$B$5)+(_xlfn.IFNA(VLOOKUP($A2,'FL Ratio'!$A$3:$B$10,2,FALSE),0)*'FL Characterization'!M$2)</f>
        <v>45.040272868642994</v>
      </c>
      <c r="N2" s="2">
        <f>('[1]Pc, Winter, S3'!N2*Main!$B$5)+(_xlfn.IFNA(VLOOKUP($A2,'FL Ratio'!$A$3:$B$10,2,FALSE),0)*'FL Characterization'!N$2)</f>
        <v>45.003260034356558</v>
      </c>
      <c r="O2" s="2">
        <f>('[1]Pc, Winter, S3'!O2*Main!$B$5)+(_xlfn.IFNA(VLOOKUP($A2,'FL Ratio'!$A$3:$B$10,2,FALSE),0)*'FL Characterization'!O$2)</f>
        <v>44.268380902268262</v>
      </c>
      <c r="P2" s="2">
        <f>('[1]Pc, Winter, S3'!P2*Main!$B$5)+(_xlfn.IFNA(VLOOKUP($A2,'FL Ratio'!$A$3:$B$10,2,FALSE),0)*'FL Characterization'!P$2)</f>
        <v>41.745545654625005</v>
      </c>
      <c r="Q2" s="2">
        <f>('[1]Pc, Winter, S3'!Q2*Main!$B$5)+(_xlfn.IFNA(VLOOKUP($A2,'FL Ratio'!$A$3:$B$10,2,FALSE),0)*'FL Characterization'!Q$2)</f>
        <v>40.549520348834442</v>
      </c>
      <c r="R2" s="2">
        <f>('[1]Pc, Winter, S3'!R2*Main!$B$5)+(_xlfn.IFNA(VLOOKUP($A2,'FL Ratio'!$A$3:$B$10,2,FALSE),0)*'FL Characterization'!R$2)</f>
        <v>42.230262247413755</v>
      </c>
      <c r="S2" s="2">
        <f>('[1]Pc, Winter, S3'!S2*Main!$B$5)+(_xlfn.IFNA(VLOOKUP($A2,'FL Ratio'!$A$3:$B$10,2,FALSE),0)*'FL Characterization'!S$2)</f>
        <v>46.813038641504107</v>
      </c>
      <c r="T2" s="2">
        <f>('[1]Pc, Winter, S3'!T2*Main!$B$5)+(_xlfn.IFNA(VLOOKUP($A2,'FL Ratio'!$A$3:$B$10,2,FALSE),0)*'FL Characterization'!T$2)</f>
        <v>46.643342116809904</v>
      </c>
      <c r="U2" s="2">
        <f>('[1]Pc, Winter, S3'!U2*Main!$B$5)+(_xlfn.IFNA(VLOOKUP($A2,'FL Ratio'!$A$3:$B$10,2,FALSE),0)*'FL Characterization'!U$2)</f>
        <v>45.677657214638494</v>
      </c>
      <c r="V2" s="2">
        <f>('[1]Pc, Winter, S3'!V2*Main!$B$5)+(_xlfn.IFNA(VLOOKUP($A2,'FL Ratio'!$A$3:$B$10,2,FALSE),0)*'FL Characterization'!V$2)</f>
        <v>44.892119716017653</v>
      </c>
      <c r="W2" s="2">
        <f>('[1]Pc, Winter, S3'!W2*Main!$B$5)+(_xlfn.IFNA(VLOOKUP($A2,'FL Ratio'!$A$3:$B$10,2,FALSE),0)*'FL Characterization'!W$2)</f>
        <v>42.075990858926119</v>
      </c>
      <c r="X2" s="2">
        <f>('[1]Pc, Winter, S3'!X2*Main!$B$5)+(_xlfn.IFNA(VLOOKUP($A2,'FL Ratio'!$A$3:$B$10,2,FALSE),0)*'FL Characterization'!X$2)</f>
        <v>36.808663451479035</v>
      </c>
      <c r="Y2" s="2">
        <f>('[1]Pc, Winter, S3'!Y2*Main!$B$5)+(_xlfn.IFNA(VLOOKUP($A2,'FL Ratio'!$A$3:$B$10,2,FALSE),0)*'FL Characterization'!Y$2)</f>
        <v>33.394801188482553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31.360170116816047</v>
      </c>
      <c r="C3" s="2">
        <f>('[1]Pc, Winter, S3'!C3*Main!$B$5)+(_xlfn.IFNA(VLOOKUP($A3,'FL Ratio'!$A$3:$B$10,2,FALSE),0)*'FL Characterization'!C$2)</f>
        <v>29.3393392970865</v>
      </c>
      <c r="D3" s="2">
        <f>('[1]Pc, Winter, S3'!D3*Main!$B$5)+(_xlfn.IFNA(VLOOKUP($A3,'FL Ratio'!$A$3:$B$10,2,FALSE),0)*'FL Characterization'!D$2)</f>
        <v>26.532033115953318</v>
      </c>
      <c r="E3" s="2">
        <f>('[1]Pc, Winter, S3'!E3*Main!$B$5)+(_xlfn.IFNA(VLOOKUP($A3,'FL Ratio'!$A$3:$B$10,2,FALSE),0)*'FL Characterization'!E$2)</f>
        <v>28.312159347670249</v>
      </c>
      <c r="F3" s="2">
        <f>('[1]Pc, Winter, S3'!F3*Main!$B$5)+(_xlfn.IFNA(VLOOKUP($A3,'FL Ratio'!$A$3:$B$10,2,FALSE),0)*'FL Characterization'!F$2)</f>
        <v>27.918020138111256</v>
      </c>
      <c r="G3" s="2">
        <f>('[1]Pc, Winter, S3'!G3*Main!$B$5)+(_xlfn.IFNA(VLOOKUP($A3,'FL Ratio'!$A$3:$B$10,2,FALSE),0)*'FL Characterization'!G$2)</f>
        <v>28.839836895836029</v>
      </c>
      <c r="H3" s="2">
        <f>('[1]Pc, Winter, S3'!H3*Main!$B$5)+(_xlfn.IFNA(VLOOKUP($A3,'FL Ratio'!$A$3:$B$10,2,FALSE),0)*'FL Characterization'!H$2)</f>
        <v>42.612532068615515</v>
      </c>
      <c r="I3" s="2">
        <f>('[1]Pc, Winter, S3'!I3*Main!$B$5)+(_xlfn.IFNA(VLOOKUP($A3,'FL Ratio'!$A$3:$B$10,2,FALSE),0)*'FL Characterization'!I$2)</f>
        <v>46.127440793669251</v>
      </c>
      <c r="J3" s="2">
        <f>('[1]Pc, Winter, S3'!J3*Main!$B$5)+(_xlfn.IFNA(VLOOKUP($A3,'FL Ratio'!$A$3:$B$10,2,FALSE),0)*'FL Characterization'!J$2)</f>
        <v>50.518440225818296</v>
      </c>
      <c r="K3" s="2">
        <f>('[1]Pc, Winter, S3'!K3*Main!$B$5)+(_xlfn.IFNA(VLOOKUP($A3,'FL Ratio'!$A$3:$B$10,2,FALSE),0)*'FL Characterization'!K$2)</f>
        <v>50.644104228861906</v>
      </c>
      <c r="L3" s="2">
        <f>('[1]Pc, Winter, S3'!L3*Main!$B$5)+(_xlfn.IFNA(VLOOKUP($A3,'FL Ratio'!$A$3:$B$10,2,FALSE),0)*'FL Characterization'!L$2)</f>
        <v>47.726553710055242</v>
      </c>
      <c r="M3" s="2">
        <f>('[1]Pc, Winter, S3'!M3*Main!$B$5)+(_xlfn.IFNA(VLOOKUP($A3,'FL Ratio'!$A$3:$B$10,2,FALSE),0)*'FL Characterization'!M$2)</f>
        <v>52.246735314669777</v>
      </c>
      <c r="N3" s="2">
        <f>('[1]Pc, Winter, S3'!N3*Main!$B$5)+(_xlfn.IFNA(VLOOKUP($A3,'FL Ratio'!$A$3:$B$10,2,FALSE),0)*'FL Characterization'!N$2)</f>
        <v>49.424106933702134</v>
      </c>
      <c r="O3" s="2">
        <f>('[1]Pc, Winter, S3'!O3*Main!$B$5)+(_xlfn.IFNA(VLOOKUP($A3,'FL Ratio'!$A$3:$B$10,2,FALSE),0)*'FL Characterization'!O$2)</f>
        <v>46.602849225388198</v>
      </c>
      <c r="P3" s="2">
        <f>('[1]Pc, Winter, S3'!P3*Main!$B$5)+(_xlfn.IFNA(VLOOKUP($A3,'FL Ratio'!$A$3:$B$10,2,FALSE),0)*'FL Characterization'!P$2)</f>
        <v>45.254552668376498</v>
      </c>
      <c r="Q3" s="2">
        <f>('[1]Pc, Winter, S3'!Q3*Main!$B$5)+(_xlfn.IFNA(VLOOKUP($A3,'FL Ratio'!$A$3:$B$10,2,FALSE),0)*'FL Characterization'!Q$2)</f>
        <v>42.321913774734895</v>
      </c>
      <c r="R3" s="2">
        <f>('[1]Pc, Winter, S3'!R3*Main!$B$5)+(_xlfn.IFNA(VLOOKUP($A3,'FL Ratio'!$A$3:$B$10,2,FALSE),0)*'FL Characterization'!R$2)</f>
        <v>42.03442051715011</v>
      </c>
      <c r="S3" s="2">
        <f>('[1]Pc, Winter, S3'!S3*Main!$B$5)+(_xlfn.IFNA(VLOOKUP($A3,'FL Ratio'!$A$3:$B$10,2,FALSE),0)*'FL Characterization'!S$2)</f>
        <v>44.893185586270654</v>
      </c>
      <c r="T3" s="2">
        <f>('[1]Pc, Winter, S3'!T3*Main!$B$5)+(_xlfn.IFNA(VLOOKUP($A3,'FL Ratio'!$A$3:$B$10,2,FALSE),0)*'FL Characterization'!T$2)</f>
        <v>44.555482862887061</v>
      </c>
      <c r="U3" s="2">
        <f>('[1]Pc, Winter, S3'!U3*Main!$B$5)+(_xlfn.IFNA(VLOOKUP($A3,'FL Ratio'!$A$3:$B$10,2,FALSE),0)*'FL Characterization'!U$2)</f>
        <v>45.076831312647997</v>
      </c>
      <c r="V3" s="2">
        <f>('[1]Pc, Winter, S3'!V3*Main!$B$5)+(_xlfn.IFNA(VLOOKUP($A3,'FL Ratio'!$A$3:$B$10,2,FALSE),0)*'FL Characterization'!V$2)</f>
        <v>44.04365540481524</v>
      </c>
      <c r="W3" s="2">
        <f>('[1]Pc, Winter, S3'!W3*Main!$B$5)+(_xlfn.IFNA(VLOOKUP($A3,'FL Ratio'!$A$3:$B$10,2,FALSE),0)*'FL Characterization'!W$2)</f>
        <v>39.653041579358607</v>
      </c>
      <c r="X3" s="2">
        <f>('[1]Pc, Winter, S3'!X3*Main!$B$5)+(_xlfn.IFNA(VLOOKUP($A3,'FL Ratio'!$A$3:$B$10,2,FALSE),0)*'FL Characterization'!X$2)</f>
        <v>34.714362650053332</v>
      </c>
      <c r="Y3" s="2">
        <f>('[1]Pc, Winter, S3'!Y3*Main!$B$5)+(_xlfn.IFNA(VLOOKUP($A3,'FL Ratio'!$A$3:$B$10,2,FALSE),0)*'FL Characterization'!Y$2)</f>
        <v>33.935936546652165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44.720832641555873</v>
      </c>
      <c r="C4" s="2">
        <f>('[1]Pc, Winter, S3'!C4*Main!$B$5)+(_xlfn.IFNA(VLOOKUP($A4,'FL Ratio'!$A$3:$B$10,2,FALSE),0)*'FL Characterization'!C$2)</f>
        <v>39.639997813935828</v>
      </c>
      <c r="D4" s="2">
        <f>('[1]Pc, Winter, S3'!D4*Main!$B$5)+(_xlfn.IFNA(VLOOKUP($A4,'FL Ratio'!$A$3:$B$10,2,FALSE),0)*'FL Characterization'!D$2)</f>
        <v>37.228862058335949</v>
      </c>
      <c r="E4" s="2">
        <f>('[1]Pc, Winter, S3'!E4*Main!$B$5)+(_xlfn.IFNA(VLOOKUP($A4,'FL Ratio'!$A$3:$B$10,2,FALSE),0)*'FL Characterization'!E$2)</f>
        <v>36.715942386367573</v>
      </c>
      <c r="F4" s="2">
        <f>('[1]Pc, Winter, S3'!F4*Main!$B$5)+(_xlfn.IFNA(VLOOKUP($A4,'FL Ratio'!$A$3:$B$10,2,FALSE),0)*'FL Characterization'!F$2)</f>
        <v>38.051646341225968</v>
      </c>
      <c r="G4" s="2">
        <f>('[1]Pc, Winter, S3'!G4*Main!$B$5)+(_xlfn.IFNA(VLOOKUP($A4,'FL Ratio'!$A$3:$B$10,2,FALSE),0)*'FL Characterization'!G$2)</f>
        <v>40.769077389828645</v>
      </c>
      <c r="H4" s="2">
        <f>('[1]Pc, Winter, S3'!H4*Main!$B$5)+(_xlfn.IFNA(VLOOKUP($A4,'FL Ratio'!$A$3:$B$10,2,FALSE),0)*'FL Characterization'!H$2)</f>
        <v>49.213852536622269</v>
      </c>
      <c r="I4" s="2">
        <f>('[1]Pc, Winter, S3'!I4*Main!$B$5)+(_xlfn.IFNA(VLOOKUP($A4,'FL Ratio'!$A$3:$B$10,2,FALSE),0)*'FL Characterization'!I$2)</f>
        <v>53.679459041053214</v>
      </c>
      <c r="J4" s="2">
        <f>('[1]Pc, Winter, S3'!J4*Main!$B$5)+(_xlfn.IFNA(VLOOKUP($A4,'FL Ratio'!$A$3:$B$10,2,FALSE),0)*'FL Characterization'!J$2)</f>
        <v>56.770759092651119</v>
      </c>
      <c r="K4" s="2">
        <f>('[1]Pc, Winter, S3'!K4*Main!$B$5)+(_xlfn.IFNA(VLOOKUP($A4,'FL Ratio'!$A$3:$B$10,2,FALSE),0)*'FL Characterization'!K$2)</f>
        <v>58.793804240056801</v>
      </c>
      <c r="L4" s="2">
        <f>('[1]Pc, Winter, S3'!L4*Main!$B$5)+(_xlfn.IFNA(VLOOKUP($A4,'FL Ratio'!$A$3:$B$10,2,FALSE),0)*'FL Characterization'!L$2)</f>
        <v>59.199122769382264</v>
      </c>
      <c r="M4" s="2">
        <f>('[1]Pc, Winter, S3'!M4*Main!$B$5)+(_xlfn.IFNA(VLOOKUP($A4,'FL Ratio'!$A$3:$B$10,2,FALSE),0)*'FL Characterization'!M$2)</f>
        <v>58.629981223212617</v>
      </c>
      <c r="N4" s="2">
        <f>('[1]Pc, Winter, S3'!N4*Main!$B$5)+(_xlfn.IFNA(VLOOKUP($A4,'FL Ratio'!$A$3:$B$10,2,FALSE),0)*'FL Characterization'!N$2)</f>
        <v>58.436391923525832</v>
      </c>
      <c r="O4" s="2">
        <f>('[1]Pc, Winter, S3'!O4*Main!$B$5)+(_xlfn.IFNA(VLOOKUP($A4,'FL Ratio'!$A$3:$B$10,2,FALSE),0)*'FL Characterization'!O$2)</f>
        <v>57.550672746813987</v>
      </c>
      <c r="P4" s="2">
        <f>('[1]Pc, Winter, S3'!P4*Main!$B$5)+(_xlfn.IFNA(VLOOKUP($A4,'FL Ratio'!$A$3:$B$10,2,FALSE),0)*'FL Characterization'!P$2)</f>
        <v>55.786049030887881</v>
      </c>
      <c r="Q4" s="2">
        <f>('[1]Pc, Winter, S3'!Q4*Main!$B$5)+(_xlfn.IFNA(VLOOKUP($A4,'FL Ratio'!$A$3:$B$10,2,FALSE),0)*'FL Characterization'!Q$2)</f>
        <v>54.777059606246823</v>
      </c>
      <c r="R4" s="2">
        <f>('[1]Pc, Winter, S3'!R4*Main!$B$5)+(_xlfn.IFNA(VLOOKUP($A4,'FL Ratio'!$A$3:$B$10,2,FALSE),0)*'FL Characterization'!R$2)</f>
        <v>56.392984536011816</v>
      </c>
      <c r="S4" s="2">
        <f>('[1]Pc, Winter, S3'!S4*Main!$B$5)+(_xlfn.IFNA(VLOOKUP($A4,'FL Ratio'!$A$3:$B$10,2,FALSE),0)*'FL Characterization'!S$2)</f>
        <v>64.207922355382053</v>
      </c>
      <c r="T4" s="2">
        <f>('[1]Pc, Winter, S3'!T4*Main!$B$5)+(_xlfn.IFNA(VLOOKUP($A4,'FL Ratio'!$A$3:$B$10,2,FALSE),0)*'FL Characterization'!T$2)</f>
        <v>65.113889100297087</v>
      </c>
      <c r="U4" s="2">
        <f>('[1]Pc, Winter, S3'!U4*Main!$B$5)+(_xlfn.IFNA(VLOOKUP($A4,'FL Ratio'!$A$3:$B$10,2,FALSE),0)*'FL Characterization'!U$2)</f>
        <v>65.355348070327565</v>
      </c>
      <c r="V4" s="2">
        <f>('[1]Pc, Winter, S3'!V4*Main!$B$5)+(_xlfn.IFNA(VLOOKUP($A4,'FL Ratio'!$A$3:$B$10,2,FALSE),0)*'FL Characterization'!V$2)</f>
        <v>63.596790341482361</v>
      </c>
      <c r="W4" s="2">
        <f>('[1]Pc, Winter, S3'!W4*Main!$B$5)+(_xlfn.IFNA(VLOOKUP($A4,'FL Ratio'!$A$3:$B$10,2,FALSE),0)*'FL Characterization'!W$2)</f>
        <v>60.517483938773481</v>
      </c>
      <c r="X4" s="2">
        <f>('[1]Pc, Winter, S3'!X4*Main!$B$5)+(_xlfn.IFNA(VLOOKUP($A4,'FL Ratio'!$A$3:$B$10,2,FALSE),0)*'FL Characterization'!X$2)</f>
        <v>56.339139234236548</v>
      </c>
      <c r="Y4" s="2">
        <f>('[1]Pc, Winter, S3'!Y4*Main!$B$5)+(_xlfn.IFNA(VLOOKUP($A4,'FL Ratio'!$A$3:$B$10,2,FALSE),0)*'FL Characterization'!Y$2)</f>
        <v>50.263149880028891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29.794636854899412</v>
      </c>
      <c r="C2" s="2">
        <f>('[1]Pc, Winter, S3'!C2*Main!$B$5)+(_xlfn.IFNA(VLOOKUP($A2,'FL Ratio'!$A$3:$B$10,2,FALSE),0)*'FL Characterization'!C$2)</f>
        <v>27.790896695873958</v>
      </c>
      <c r="D2" s="2">
        <f>('[1]Pc, Winter, S3'!D2*Main!$B$5)+(_xlfn.IFNA(VLOOKUP($A2,'FL Ratio'!$A$3:$B$10,2,FALSE),0)*'FL Characterization'!D$2)</f>
        <v>26.332728671941698</v>
      </c>
      <c r="E2" s="2">
        <f>('[1]Pc, Winter, S3'!E2*Main!$B$5)+(_xlfn.IFNA(VLOOKUP($A2,'FL Ratio'!$A$3:$B$10,2,FALSE),0)*'FL Characterization'!E$2)</f>
        <v>26.14640996190305</v>
      </c>
      <c r="F2" s="2">
        <f>('[1]Pc, Winter, S3'!F2*Main!$B$5)+(_xlfn.IFNA(VLOOKUP($A2,'FL Ratio'!$A$3:$B$10,2,FALSE),0)*'FL Characterization'!F$2)</f>
        <v>26.461795029650236</v>
      </c>
      <c r="G2" s="2">
        <f>('[1]Pc, Winter, S3'!G2*Main!$B$5)+(_xlfn.IFNA(VLOOKUP($A2,'FL Ratio'!$A$3:$B$10,2,FALSE),0)*'FL Characterization'!G$2)</f>
        <v>29.087226232977081</v>
      </c>
      <c r="H2" s="2">
        <f>('[1]Pc, Winter, S3'!H2*Main!$B$5)+(_xlfn.IFNA(VLOOKUP($A2,'FL Ratio'!$A$3:$B$10,2,FALSE),0)*'FL Characterization'!H$2)</f>
        <v>34.708149510164638</v>
      </c>
      <c r="I2" s="2">
        <f>('[1]Pc, Winter, S3'!I2*Main!$B$5)+(_xlfn.IFNA(VLOOKUP($A2,'FL Ratio'!$A$3:$B$10,2,FALSE),0)*'FL Characterization'!I$2)</f>
        <v>41.778030263564709</v>
      </c>
      <c r="J2" s="2">
        <f>('[1]Pc, Winter, S3'!J2*Main!$B$5)+(_xlfn.IFNA(VLOOKUP($A2,'FL Ratio'!$A$3:$B$10,2,FALSE),0)*'FL Characterization'!J$2)</f>
        <v>45.484922595739242</v>
      </c>
      <c r="K2" s="2">
        <f>('[1]Pc, Winter, S3'!K2*Main!$B$5)+(_xlfn.IFNA(VLOOKUP($A2,'FL Ratio'!$A$3:$B$10,2,FALSE),0)*'FL Characterization'!K$2)</f>
        <v>46.052111835259062</v>
      </c>
      <c r="L2" s="2">
        <f>('[1]Pc, Winter, S3'!L2*Main!$B$5)+(_xlfn.IFNA(VLOOKUP($A2,'FL Ratio'!$A$3:$B$10,2,FALSE),0)*'FL Characterization'!L$2)</f>
        <v>44.809319645984004</v>
      </c>
      <c r="M2" s="2">
        <f>('[1]Pc, Winter, S3'!M2*Main!$B$5)+(_xlfn.IFNA(VLOOKUP($A2,'FL Ratio'!$A$3:$B$10,2,FALSE),0)*'FL Characterization'!M$2)</f>
        <v>45.040272868642994</v>
      </c>
      <c r="N2" s="2">
        <f>('[1]Pc, Winter, S3'!N2*Main!$B$5)+(_xlfn.IFNA(VLOOKUP($A2,'FL Ratio'!$A$3:$B$10,2,FALSE),0)*'FL Characterization'!N$2)</f>
        <v>45.003260034356558</v>
      </c>
      <c r="O2" s="2">
        <f>('[1]Pc, Winter, S3'!O2*Main!$B$5)+(_xlfn.IFNA(VLOOKUP($A2,'FL Ratio'!$A$3:$B$10,2,FALSE),0)*'FL Characterization'!O$2)</f>
        <v>44.268380902268262</v>
      </c>
      <c r="P2" s="2">
        <f>('[1]Pc, Winter, S3'!P2*Main!$B$5)+(_xlfn.IFNA(VLOOKUP($A2,'FL Ratio'!$A$3:$B$10,2,FALSE),0)*'FL Characterization'!P$2)</f>
        <v>41.745545654625005</v>
      </c>
      <c r="Q2" s="2">
        <f>('[1]Pc, Winter, S3'!Q2*Main!$B$5)+(_xlfn.IFNA(VLOOKUP($A2,'FL Ratio'!$A$3:$B$10,2,FALSE),0)*'FL Characterization'!Q$2)</f>
        <v>40.549520348834442</v>
      </c>
      <c r="R2" s="2">
        <f>('[1]Pc, Winter, S3'!R2*Main!$B$5)+(_xlfn.IFNA(VLOOKUP($A2,'FL Ratio'!$A$3:$B$10,2,FALSE),0)*'FL Characterization'!R$2)</f>
        <v>42.230262247413755</v>
      </c>
      <c r="S2" s="2">
        <f>('[1]Pc, Winter, S3'!S2*Main!$B$5)+(_xlfn.IFNA(VLOOKUP($A2,'FL Ratio'!$A$3:$B$10,2,FALSE),0)*'FL Characterization'!S$2)</f>
        <v>46.813038641504107</v>
      </c>
      <c r="T2" s="2">
        <f>('[1]Pc, Winter, S3'!T2*Main!$B$5)+(_xlfn.IFNA(VLOOKUP($A2,'FL Ratio'!$A$3:$B$10,2,FALSE),0)*'FL Characterization'!T$2)</f>
        <v>46.643342116809904</v>
      </c>
      <c r="U2" s="2">
        <f>('[1]Pc, Winter, S3'!U2*Main!$B$5)+(_xlfn.IFNA(VLOOKUP($A2,'FL Ratio'!$A$3:$B$10,2,FALSE),0)*'FL Characterization'!U$2)</f>
        <v>45.677657214638494</v>
      </c>
      <c r="V2" s="2">
        <f>('[1]Pc, Winter, S3'!V2*Main!$B$5)+(_xlfn.IFNA(VLOOKUP($A2,'FL Ratio'!$A$3:$B$10,2,FALSE),0)*'FL Characterization'!V$2)</f>
        <v>44.892119716017653</v>
      </c>
      <c r="W2" s="2">
        <f>('[1]Pc, Winter, S3'!W2*Main!$B$5)+(_xlfn.IFNA(VLOOKUP($A2,'FL Ratio'!$A$3:$B$10,2,FALSE),0)*'FL Characterization'!W$2)</f>
        <v>42.075990858926119</v>
      </c>
      <c r="X2" s="2">
        <f>('[1]Pc, Winter, S3'!X2*Main!$B$5)+(_xlfn.IFNA(VLOOKUP($A2,'FL Ratio'!$A$3:$B$10,2,FALSE),0)*'FL Characterization'!X$2)</f>
        <v>36.808663451479035</v>
      </c>
      <c r="Y2" s="2">
        <f>('[1]Pc, Winter, S3'!Y2*Main!$B$5)+(_xlfn.IFNA(VLOOKUP($A2,'FL Ratio'!$A$3:$B$10,2,FALSE),0)*'FL Characterization'!Y$2)</f>
        <v>33.394801188482553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31.360170116816047</v>
      </c>
      <c r="C3" s="2">
        <f>('[1]Pc, Winter, S3'!C3*Main!$B$5)+(_xlfn.IFNA(VLOOKUP($A3,'FL Ratio'!$A$3:$B$10,2,FALSE),0)*'FL Characterization'!C$2)</f>
        <v>29.3393392970865</v>
      </c>
      <c r="D3" s="2">
        <f>('[1]Pc, Winter, S3'!D3*Main!$B$5)+(_xlfn.IFNA(VLOOKUP($A3,'FL Ratio'!$A$3:$B$10,2,FALSE),0)*'FL Characterization'!D$2)</f>
        <v>26.532033115953318</v>
      </c>
      <c r="E3" s="2">
        <f>('[1]Pc, Winter, S3'!E3*Main!$B$5)+(_xlfn.IFNA(VLOOKUP($A3,'FL Ratio'!$A$3:$B$10,2,FALSE),0)*'FL Characterization'!E$2)</f>
        <v>28.312159347670249</v>
      </c>
      <c r="F3" s="2">
        <f>('[1]Pc, Winter, S3'!F3*Main!$B$5)+(_xlfn.IFNA(VLOOKUP($A3,'FL Ratio'!$A$3:$B$10,2,FALSE),0)*'FL Characterization'!F$2)</f>
        <v>27.918020138111256</v>
      </c>
      <c r="G3" s="2">
        <f>('[1]Pc, Winter, S3'!G3*Main!$B$5)+(_xlfn.IFNA(VLOOKUP($A3,'FL Ratio'!$A$3:$B$10,2,FALSE),0)*'FL Characterization'!G$2)</f>
        <v>28.839836895836029</v>
      </c>
      <c r="H3" s="2">
        <f>('[1]Pc, Winter, S3'!H3*Main!$B$5)+(_xlfn.IFNA(VLOOKUP($A3,'FL Ratio'!$A$3:$B$10,2,FALSE),0)*'FL Characterization'!H$2)</f>
        <v>42.612532068615515</v>
      </c>
      <c r="I3" s="2">
        <f>('[1]Pc, Winter, S3'!I3*Main!$B$5)+(_xlfn.IFNA(VLOOKUP($A3,'FL Ratio'!$A$3:$B$10,2,FALSE),0)*'FL Characterization'!I$2)</f>
        <v>46.127440793669251</v>
      </c>
      <c r="J3" s="2">
        <f>('[1]Pc, Winter, S3'!J3*Main!$B$5)+(_xlfn.IFNA(VLOOKUP($A3,'FL Ratio'!$A$3:$B$10,2,FALSE),0)*'FL Characterization'!J$2)</f>
        <v>50.518440225818296</v>
      </c>
      <c r="K3" s="2">
        <f>('[1]Pc, Winter, S3'!K3*Main!$B$5)+(_xlfn.IFNA(VLOOKUP($A3,'FL Ratio'!$A$3:$B$10,2,FALSE),0)*'FL Characterization'!K$2)</f>
        <v>50.644104228861906</v>
      </c>
      <c r="L3" s="2">
        <f>('[1]Pc, Winter, S3'!L3*Main!$B$5)+(_xlfn.IFNA(VLOOKUP($A3,'FL Ratio'!$A$3:$B$10,2,FALSE),0)*'FL Characterization'!L$2)</f>
        <v>47.726553710055242</v>
      </c>
      <c r="M3" s="2">
        <f>('[1]Pc, Winter, S3'!M3*Main!$B$5)+(_xlfn.IFNA(VLOOKUP($A3,'FL Ratio'!$A$3:$B$10,2,FALSE),0)*'FL Characterization'!M$2)</f>
        <v>52.246735314669777</v>
      </c>
      <c r="N3" s="2">
        <f>('[1]Pc, Winter, S3'!N3*Main!$B$5)+(_xlfn.IFNA(VLOOKUP($A3,'FL Ratio'!$A$3:$B$10,2,FALSE),0)*'FL Characterization'!N$2)</f>
        <v>49.424106933702134</v>
      </c>
      <c r="O3" s="2">
        <f>('[1]Pc, Winter, S3'!O3*Main!$B$5)+(_xlfn.IFNA(VLOOKUP($A3,'FL Ratio'!$A$3:$B$10,2,FALSE),0)*'FL Characterization'!O$2)</f>
        <v>46.602849225388198</v>
      </c>
      <c r="P3" s="2">
        <f>('[1]Pc, Winter, S3'!P3*Main!$B$5)+(_xlfn.IFNA(VLOOKUP($A3,'FL Ratio'!$A$3:$B$10,2,FALSE),0)*'FL Characterization'!P$2)</f>
        <v>45.254552668376498</v>
      </c>
      <c r="Q3" s="2">
        <f>('[1]Pc, Winter, S3'!Q3*Main!$B$5)+(_xlfn.IFNA(VLOOKUP($A3,'FL Ratio'!$A$3:$B$10,2,FALSE),0)*'FL Characterization'!Q$2)</f>
        <v>42.321913774734895</v>
      </c>
      <c r="R3" s="2">
        <f>('[1]Pc, Winter, S3'!R3*Main!$B$5)+(_xlfn.IFNA(VLOOKUP($A3,'FL Ratio'!$A$3:$B$10,2,FALSE),0)*'FL Characterization'!R$2)</f>
        <v>42.03442051715011</v>
      </c>
      <c r="S3" s="2">
        <f>('[1]Pc, Winter, S3'!S3*Main!$B$5)+(_xlfn.IFNA(VLOOKUP($A3,'FL Ratio'!$A$3:$B$10,2,FALSE),0)*'FL Characterization'!S$2)</f>
        <v>44.893185586270654</v>
      </c>
      <c r="T3" s="2">
        <f>('[1]Pc, Winter, S3'!T3*Main!$B$5)+(_xlfn.IFNA(VLOOKUP($A3,'FL Ratio'!$A$3:$B$10,2,FALSE),0)*'FL Characterization'!T$2)</f>
        <v>44.555482862887061</v>
      </c>
      <c r="U3" s="2">
        <f>('[1]Pc, Winter, S3'!U3*Main!$B$5)+(_xlfn.IFNA(VLOOKUP($A3,'FL Ratio'!$A$3:$B$10,2,FALSE),0)*'FL Characterization'!U$2)</f>
        <v>45.076831312647997</v>
      </c>
      <c r="V3" s="2">
        <f>('[1]Pc, Winter, S3'!V3*Main!$B$5)+(_xlfn.IFNA(VLOOKUP($A3,'FL Ratio'!$A$3:$B$10,2,FALSE),0)*'FL Characterization'!V$2)</f>
        <v>44.04365540481524</v>
      </c>
      <c r="W3" s="2">
        <f>('[1]Pc, Winter, S3'!W3*Main!$B$5)+(_xlfn.IFNA(VLOOKUP($A3,'FL Ratio'!$A$3:$B$10,2,FALSE),0)*'FL Characterization'!W$2)</f>
        <v>39.653041579358607</v>
      </c>
      <c r="X3" s="2">
        <f>('[1]Pc, Winter, S3'!X3*Main!$B$5)+(_xlfn.IFNA(VLOOKUP($A3,'FL Ratio'!$A$3:$B$10,2,FALSE),0)*'FL Characterization'!X$2)</f>
        <v>34.714362650053332</v>
      </c>
      <c r="Y3" s="2">
        <f>('[1]Pc, Winter, S3'!Y3*Main!$B$5)+(_xlfn.IFNA(VLOOKUP($A3,'FL Ratio'!$A$3:$B$10,2,FALSE),0)*'FL Characterization'!Y$2)</f>
        <v>33.935936546652165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44.720832641555873</v>
      </c>
      <c r="C4" s="2">
        <f>('[1]Pc, Winter, S3'!C4*Main!$B$5)+(_xlfn.IFNA(VLOOKUP($A4,'FL Ratio'!$A$3:$B$10,2,FALSE),0)*'FL Characterization'!C$2)</f>
        <v>39.639997813935828</v>
      </c>
      <c r="D4" s="2">
        <f>('[1]Pc, Winter, S3'!D4*Main!$B$5)+(_xlfn.IFNA(VLOOKUP($A4,'FL Ratio'!$A$3:$B$10,2,FALSE),0)*'FL Characterization'!D$2)</f>
        <v>37.228862058335949</v>
      </c>
      <c r="E4" s="2">
        <f>('[1]Pc, Winter, S3'!E4*Main!$B$5)+(_xlfn.IFNA(VLOOKUP($A4,'FL Ratio'!$A$3:$B$10,2,FALSE),0)*'FL Characterization'!E$2)</f>
        <v>36.715942386367573</v>
      </c>
      <c r="F4" s="2">
        <f>('[1]Pc, Winter, S3'!F4*Main!$B$5)+(_xlfn.IFNA(VLOOKUP($A4,'FL Ratio'!$A$3:$B$10,2,FALSE),0)*'FL Characterization'!F$2)</f>
        <v>38.051646341225968</v>
      </c>
      <c r="G4" s="2">
        <f>('[1]Pc, Winter, S3'!G4*Main!$B$5)+(_xlfn.IFNA(VLOOKUP($A4,'FL Ratio'!$A$3:$B$10,2,FALSE),0)*'FL Characterization'!G$2)</f>
        <v>40.769077389828645</v>
      </c>
      <c r="H4" s="2">
        <f>('[1]Pc, Winter, S3'!H4*Main!$B$5)+(_xlfn.IFNA(VLOOKUP($A4,'FL Ratio'!$A$3:$B$10,2,FALSE),0)*'FL Characterization'!H$2)</f>
        <v>49.213852536622269</v>
      </c>
      <c r="I4" s="2">
        <f>('[1]Pc, Winter, S3'!I4*Main!$B$5)+(_xlfn.IFNA(VLOOKUP($A4,'FL Ratio'!$A$3:$B$10,2,FALSE),0)*'FL Characterization'!I$2)</f>
        <v>53.679459041053214</v>
      </c>
      <c r="J4" s="2">
        <f>('[1]Pc, Winter, S3'!J4*Main!$B$5)+(_xlfn.IFNA(VLOOKUP($A4,'FL Ratio'!$A$3:$B$10,2,FALSE),0)*'FL Characterization'!J$2)</f>
        <v>56.770759092651119</v>
      </c>
      <c r="K4" s="2">
        <f>('[1]Pc, Winter, S3'!K4*Main!$B$5)+(_xlfn.IFNA(VLOOKUP($A4,'FL Ratio'!$A$3:$B$10,2,FALSE),0)*'FL Characterization'!K$2)</f>
        <v>58.793804240056801</v>
      </c>
      <c r="L4" s="2">
        <f>('[1]Pc, Winter, S3'!L4*Main!$B$5)+(_xlfn.IFNA(VLOOKUP($A4,'FL Ratio'!$A$3:$B$10,2,FALSE),0)*'FL Characterization'!L$2)</f>
        <v>59.199122769382264</v>
      </c>
      <c r="M4" s="2">
        <f>('[1]Pc, Winter, S3'!M4*Main!$B$5)+(_xlfn.IFNA(VLOOKUP($A4,'FL Ratio'!$A$3:$B$10,2,FALSE),0)*'FL Characterization'!M$2)</f>
        <v>58.629981223212617</v>
      </c>
      <c r="N4" s="2">
        <f>('[1]Pc, Winter, S3'!N4*Main!$B$5)+(_xlfn.IFNA(VLOOKUP($A4,'FL Ratio'!$A$3:$B$10,2,FALSE),0)*'FL Characterization'!N$2)</f>
        <v>58.436391923525832</v>
      </c>
      <c r="O4" s="2">
        <f>('[1]Pc, Winter, S3'!O4*Main!$B$5)+(_xlfn.IFNA(VLOOKUP($A4,'FL Ratio'!$A$3:$B$10,2,FALSE),0)*'FL Characterization'!O$2)</f>
        <v>57.550672746813987</v>
      </c>
      <c r="P4" s="2">
        <f>('[1]Pc, Winter, S3'!P4*Main!$B$5)+(_xlfn.IFNA(VLOOKUP($A4,'FL Ratio'!$A$3:$B$10,2,FALSE),0)*'FL Characterization'!P$2)</f>
        <v>55.786049030887881</v>
      </c>
      <c r="Q4" s="2">
        <f>('[1]Pc, Winter, S3'!Q4*Main!$B$5)+(_xlfn.IFNA(VLOOKUP($A4,'FL Ratio'!$A$3:$B$10,2,FALSE),0)*'FL Characterization'!Q$2)</f>
        <v>54.777059606246823</v>
      </c>
      <c r="R4" s="2">
        <f>('[1]Pc, Winter, S3'!R4*Main!$B$5)+(_xlfn.IFNA(VLOOKUP($A4,'FL Ratio'!$A$3:$B$10,2,FALSE),0)*'FL Characterization'!R$2)</f>
        <v>56.392984536011816</v>
      </c>
      <c r="S4" s="2">
        <f>('[1]Pc, Winter, S3'!S4*Main!$B$5)+(_xlfn.IFNA(VLOOKUP($A4,'FL Ratio'!$A$3:$B$10,2,FALSE),0)*'FL Characterization'!S$2)</f>
        <v>64.207922355382053</v>
      </c>
      <c r="T4" s="2">
        <f>('[1]Pc, Winter, S3'!T4*Main!$B$5)+(_xlfn.IFNA(VLOOKUP($A4,'FL Ratio'!$A$3:$B$10,2,FALSE),0)*'FL Characterization'!T$2)</f>
        <v>65.113889100297087</v>
      </c>
      <c r="U4" s="2">
        <f>('[1]Pc, Winter, S3'!U4*Main!$B$5)+(_xlfn.IFNA(VLOOKUP($A4,'FL Ratio'!$A$3:$B$10,2,FALSE),0)*'FL Characterization'!U$2)</f>
        <v>65.355348070327565</v>
      </c>
      <c r="V4" s="2">
        <f>('[1]Pc, Winter, S3'!V4*Main!$B$5)+(_xlfn.IFNA(VLOOKUP($A4,'FL Ratio'!$A$3:$B$10,2,FALSE),0)*'FL Characterization'!V$2)</f>
        <v>63.596790341482361</v>
      </c>
      <c r="W4" s="2">
        <f>('[1]Pc, Winter, S3'!W4*Main!$B$5)+(_xlfn.IFNA(VLOOKUP($A4,'FL Ratio'!$A$3:$B$10,2,FALSE),0)*'FL Characterization'!W$2)</f>
        <v>60.517483938773481</v>
      </c>
      <c r="X4" s="2">
        <f>('[1]Pc, Winter, S3'!X4*Main!$B$5)+(_xlfn.IFNA(VLOOKUP($A4,'FL Ratio'!$A$3:$B$10,2,FALSE),0)*'FL Characterization'!X$2)</f>
        <v>56.339139234236548</v>
      </c>
      <c r="Y4" s="2">
        <f>('[1]Pc, Winter, S3'!Y4*Main!$B$5)+(_xlfn.IFNA(VLOOKUP($A4,'FL Ratio'!$A$3:$B$10,2,FALSE),0)*'FL Characterization'!Y$2)</f>
        <v>50.263149880028891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29.794636854899412</v>
      </c>
      <c r="C2" s="2">
        <f>('[1]Pc, Winter, S3'!C2*Main!$B$5)+(_xlfn.IFNA(VLOOKUP($A2,'FL Ratio'!$A$3:$B$10,2,FALSE),0)*'FL Characterization'!C$2)</f>
        <v>27.790896695873958</v>
      </c>
      <c r="D2" s="2">
        <f>('[1]Pc, Winter, S3'!D2*Main!$B$5)+(_xlfn.IFNA(VLOOKUP($A2,'FL Ratio'!$A$3:$B$10,2,FALSE),0)*'FL Characterization'!D$2)</f>
        <v>26.332728671941698</v>
      </c>
      <c r="E2" s="2">
        <f>('[1]Pc, Winter, S3'!E2*Main!$B$5)+(_xlfn.IFNA(VLOOKUP($A2,'FL Ratio'!$A$3:$B$10,2,FALSE),0)*'FL Characterization'!E$2)</f>
        <v>26.14640996190305</v>
      </c>
      <c r="F2" s="2">
        <f>('[1]Pc, Winter, S3'!F2*Main!$B$5)+(_xlfn.IFNA(VLOOKUP($A2,'FL Ratio'!$A$3:$B$10,2,FALSE),0)*'FL Characterization'!F$2)</f>
        <v>26.461795029650236</v>
      </c>
      <c r="G2" s="2">
        <f>('[1]Pc, Winter, S3'!G2*Main!$B$5)+(_xlfn.IFNA(VLOOKUP($A2,'FL Ratio'!$A$3:$B$10,2,FALSE),0)*'FL Characterization'!G$2)</f>
        <v>29.087226232977081</v>
      </c>
      <c r="H2" s="2">
        <f>('[1]Pc, Winter, S3'!H2*Main!$B$5)+(_xlfn.IFNA(VLOOKUP($A2,'FL Ratio'!$A$3:$B$10,2,FALSE),0)*'FL Characterization'!H$2)</f>
        <v>34.708149510164638</v>
      </c>
      <c r="I2" s="2">
        <f>('[1]Pc, Winter, S3'!I2*Main!$B$5)+(_xlfn.IFNA(VLOOKUP($A2,'FL Ratio'!$A$3:$B$10,2,FALSE),0)*'FL Characterization'!I$2)</f>
        <v>41.778030263564709</v>
      </c>
      <c r="J2" s="2">
        <f>('[1]Pc, Winter, S3'!J2*Main!$B$5)+(_xlfn.IFNA(VLOOKUP($A2,'FL Ratio'!$A$3:$B$10,2,FALSE),0)*'FL Characterization'!J$2)</f>
        <v>45.484922595739242</v>
      </c>
      <c r="K2" s="2">
        <f>('[1]Pc, Winter, S3'!K2*Main!$B$5)+(_xlfn.IFNA(VLOOKUP($A2,'FL Ratio'!$A$3:$B$10,2,FALSE),0)*'FL Characterization'!K$2)</f>
        <v>46.052111835259062</v>
      </c>
      <c r="L2" s="2">
        <f>('[1]Pc, Winter, S3'!L2*Main!$B$5)+(_xlfn.IFNA(VLOOKUP($A2,'FL Ratio'!$A$3:$B$10,2,FALSE),0)*'FL Characterization'!L$2)</f>
        <v>44.809319645984004</v>
      </c>
      <c r="M2" s="2">
        <f>('[1]Pc, Winter, S3'!M2*Main!$B$5)+(_xlfn.IFNA(VLOOKUP($A2,'FL Ratio'!$A$3:$B$10,2,FALSE),0)*'FL Characterization'!M$2)</f>
        <v>45.040272868642994</v>
      </c>
      <c r="N2" s="2">
        <f>('[1]Pc, Winter, S3'!N2*Main!$B$5)+(_xlfn.IFNA(VLOOKUP($A2,'FL Ratio'!$A$3:$B$10,2,FALSE),0)*'FL Characterization'!N$2)</f>
        <v>45.003260034356558</v>
      </c>
      <c r="O2" s="2">
        <f>('[1]Pc, Winter, S3'!O2*Main!$B$5)+(_xlfn.IFNA(VLOOKUP($A2,'FL Ratio'!$A$3:$B$10,2,FALSE),0)*'FL Characterization'!O$2)</f>
        <v>44.268380902268262</v>
      </c>
      <c r="P2" s="2">
        <f>('[1]Pc, Winter, S3'!P2*Main!$B$5)+(_xlfn.IFNA(VLOOKUP($A2,'FL Ratio'!$A$3:$B$10,2,FALSE),0)*'FL Characterization'!P$2)</f>
        <v>41.745545654625005</v>
      </c>
      <c r="Q2" s="2">
        <f>('[1]Pc, Winter, S3'!Q2*Main!$B$5)+(_xlfn.IFNA(VLOOKUP($A2,'FL Ratio'!$A$3:$B$10,2,FALSE),0)*'FL Characterization'!Q$2)</f>
        <v>40.549520348834442</v>
      </c>
      <c r="R2" s="2">
        <f>('[1]Pc, Winter, S3'!R2*Main!$B$5)+(_xlfn.IFNA(VLOOKUP($A2,'FL Ratio'!$A$3:$B$10,2,FALSE),0)*'FL Characterization'!R$2)</f>
        <v>42.230262247413755</v>
      </c>
      <c r="S2" s="2">
        <f>('[1]Pc, Winter, S3'!S2*Main!$B$5)+(_xlfn.IFNA(VLOOKUP($A2,'FL Ratio'!$A$3:$B$10,2,FALSE),0)*'FL Characterization'!S$2)</f>
        <v>46.813038641504107</v>
      </c>
      <c r="T2" s="2">
        <f>('[1]Pc, Winter, S3'!T2*Main!$B$5)+(_xlfn.IFNA(VLOOKUP($A2,'FL Ratio'!$A$3:$B$10,2,FALSE),0)*'FL Characterization'!T$2)</f>
        <v>46.643342116809904</v>
      </c>
      <c r="U2" s="2">
        <f>('[1]Pc, Winter, S3'!U2*Main!$B$5)+(_xlfn.IFNA(VLOOKUP($A2,'FL Ratio'!$A$3:$B$10,2,FALSE),0)*'FL Characterization'!U$2)</f>
        <v>45.677657214638494</v>
      </c>
      <c r="V2" s="2">
        <f>('[1]Pc, Winter, S3'!V2*Main!$B$5)+(_xlfn.IFNA(VLOOKUP($A2,'FL Ratio'!$A$3:$B$10,2,FALSE),0)*'FL Characterization'!V$2)</f>
        <v>44.892119716017653</v>
      </c>
      <c r="W2" s="2">
        <f>('[1]Pc, Winter, S3'!W2*Main!$B$5)+(_xlfn.IFNA(VLOOKUP($A2,'FL Ratio'!$A$3:$B$10,2,FALSE),0)*'FL Characterization'!W$2)</f>
        <v>42.075990858926119</v>
      </c>
      <c r="X2" s="2">
        <f>('[1]Pc, Winter, S3'!X2*Main!$B$5)+(_xlfn.IFNA(VLOOKUP($A2,'FL Ratio'!$A$3:$B$10,2,FALSE),0)*'FL Characterization'!X$2)</f>
        <v>36.808663451479035</v>
      </c>
      <c r="Y2" s="2">
        <f>('[1]Pc, Winter, S3'!Y2*Main!$B$5)+(_xlfn.IFNA(VLOOKUP($A2,'FL Ratio'!$A$3:$B$10,2,FALSE),0)*'FL Characterization'!Y$2)</f>
        <v>33.394801188482553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31.360170116816047</v>
      </c>
      <c r="C3" s="2">
        <f>('[1]Pc, Winter, S3'!C3*Main!$B$5)+(_xlfn.IFNA(VLOOKUP($A3,'FL Ratio'!$A$3:$B$10,2,FALSE),0)*'FL Characterization'!C$2)</f>
        <v>29.3393392970865</v>
      </c>
      <c r="D3" s="2">
        <f>('[1]Pc, Winter, S3'!D3*Main!$B$5)+(_xlfn.IFNA(VLOOKUP($A3,'FL Ratio'!$A$3:$B$10,2,FALSE),0)*'FL Characterization'!D$2)</f>
        <v>26.532033115953318</v>
      </c>
      <c r="E3" s="2">
        <f>('[1]Pc, Winter, S3'!E3*Main!$B$5)+(_xlfn.IFNA(VLOOKUP($A3,'FL Ratio'!$A$3:$B$10,2,FALSE),0)*'FL Characterization'!E$2)</f>
        <v>28.312159347670249</v>
      </c>
      <c r="F3" s="2">
        <f>('[1]Pc, Winter, S3'!F3*Main!$B$5)+(_xlfn.IFNA(VLOOKUP($A3,'FL Ratio'!$A$3:$B$10,2,FALSE),0)*'FL Characterization'!F$2)</f>
        <v>27.918020138111256</v>
      </c>
      <c r="G3" s="2">
        <f>('[1]Pc, Winter, S3'!G3*Main!$B$5)+(_xlfn.IFNA(VLOOKUP($A3,'FL Ratio'!$A$3:$B$10,2,FALSE),0)*'FL Characterization'!G$2)</f>
        <v>28.839836895836029</v>
      </c>
      <c r="H3" s="2">
        <f>('[1]Pc, Winter, S3'!H3*Main!$B$5)+(_xlfn.IFNA(VLOOKUP($A3,'FL Ratio'!$A$3:$B$10,2,FALSE),0)*'FL Characterization'!H$2)</f>
        <v>42.612532068615515</v>
      </c>
      <c r="I3" s="2">
        <f>('[1]Pc, Winter, S3'!I3*Main!$B$5)+(_xlfn.IFNA(VLOOKUP($A3,'FL Ratio'!$A$3:$B$10,2,FALSE),0)*'FL Characterization'!I$2)</f>
        <v>46.127440793669251</v>
      </c>
      <c r="J3" s="2">
        <f>('[1]Pc, Winter, S3'!J3*Main!$B$5)+(_xlfn.IFNA(VLOOKUP($A3,'FL Ratio'!$A$3:$B$10,2,FALSE),0)*'FL Characterization'!J$2)</f>
        <v>50.518440225818296</v>
      </c>
      <c r="K3" s="2">
        <f>('[1]Pc, Winter, S3'!K3*Main!$B$5)+(_xlfn.IFNA(VLOOKUP($A3,'FL Ratio'!$A$3:$B$10,2,FALSE),0)*'FL Characterization'!K$2)</f>
        <v>50.644104228861906</v>
      </c>
      <c r="L3" s="2">
        <f>('[1]Pc, Winter, S3'!L3*Main!$B$5)+(_xlfn.IFNA(VLOOKUP($A3,'FL Ratio'!$A$3:$B$10,2,FALSE),0)*'FL Characterization'!L$2)</f>
        <v>47.726553710055242</v>
      </c>
      <c r="M3" s="2">
        <f>('[1]Pc, Winter, S3'!M3*Main!$B$5)+(_xlfn.IFNA(VLOOKUP($A3,'FL Ratio'!$A$3:$B$10,2,FALSE),0)*'FL Characterization'!M$2)</f>
        <v>52.246735314669777</v>
      </c>
      <c r="N3" s="2">
        <f>('[1]Pc, Winter, S3'!N3*Main!$B$5)+(_xlfn.IFNA(VLOOKUP($A3,'FL Ratio'!$A$3:$B$10,2,FALSE),0)*'FL Characterization'!N$2)</f>
        <v>49.424106933702134</v>
      </c>
      <c r="O3" s="2">
        <f>('[1]Pc, Winter, S3'!O3*Main!$B$5)+(_xlfn.IFNA(VLOOKUP($A3,'FL Ratio'!$A$3:$B$10,2,FALSE),0)*'FL Characterization'!O$2)</f>
        <v>46.602849225388198</v>
      </c>
      <c r="P3" s="2">
        <f>('[1]Pc, Winter, S3'!P3*Main!$B$5)+(_xlfn.IFNA(VLOOKUP($A3,'FL Ratio'!$A$3:$B$10,2,FALSE),0)*'FL Characterization'!P$2)</f>
        <v>45.254552668376498</v>
      </c>
      <c r="Q3" s="2">
        <f>('[1]Pc, Winter, S3'!Q3*Main!$B$5)+(_xlfn.IFNA(VLOOKUP($A3,'FL Ratio'!$A$3:$B$10,2,FALSE),0)*'FL Characterization'!Q$2)</f>
        <v>42.321913774734895</v>
      </c>
      <c r="R3" s="2">
        <f>('[1]Pc, Winter, S3'!R3*Main!$B$5)+(_xlfn.IFNA(VLOOKUP($A3,'FL Ratio'!$A$3:$B$10,2,FALSE),0)*'FL Characterization'!R$2)</f>
        <v>42.03442051715011</v>
      </c>
      <c r="S3" s="2">
        <f>('[1]Pc, Winter, S3'!S3*Main!$B$5)+(_xlfn.IFNA(VLOOKUP($A3,'FL Ratio'!$A$3:$B$10,2,FALSE),0)*'FL Characterization'!S$2)</f>
        <v>44.893185586270654</v>
      </c>
      <c r="T3" s="2">
        <f>('[1]Pc, Winter, S3'!T3*Main!$B$5)+(_xlfn.IFNA(VLOOKUP($A3,'FL Ratio'!$A$3:$B$10,2,FALSE),0)*'FL Characterization'!T$2)</f>
        <v>44.555482862887061</v>
      </c>
      <c r="U3" s="2">
        <f>('[1]Pc, Winter, S3'!U3*Main!$B$5)+(_xlfn.IFNA(VLOOKUP($A3,'FL Ratio'!$A$3:$B$10,2,FALSE),0)*'FL Characterization'!U$2)</f>
        <v>45.076831312647997</v>
      </c>
      <c r="V3" s="2">
        <f>('[1]Pc, Winter, S3'!V3*Main!$B$5)+(_xlfn.IFNA(VLOOKUP($A3,'FL Ratio'!$A$3:$B$10,2,FALSE),0)*'FL Characterization'!V$2)</f>
        <v>44.04365540481524</v>
      </c>
      <c r="W3" s="2">
        <f>('[1]Pc, Winter, S3'!W3*Main!$B$5)+(_xlfn.IFNA(VLOOKUP($A3,'FL Ratio'!$A$3:$B$10,2,FALSE),0)*'FL Characterization'!W$2)</f>
        <v>39.653041579358607</v>
      </c>
      <c r="X3" s="2">
        <f>('[1]Pc, Winter, S3'!X3*Main!$B$5)+(_xlfn.IFNA(VLOOKUP($A3,'FL Ratio'!$A$3:$B$10,2,FALSE),0)*'FL Characterization'!X$2)</f>
        <v>34.714362650053332</v>
      </c>
      <c r="Y3" s="2">
        <f>('[1]Pc, Winter, S3'!Y3*Main!$B$5)+(_xlfn.IFNA(VLOOKUP($A3,'FL Ratio'!$A$3:$B$10,2,FALSE),0)*'FL Characterization'!Y$2)</f>
        <v>33.935936546652165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44.720832641555873</v>
      </c>
      <c r="C4" s="2">
        <f>('[1]Pc, Winter, S3'!C4*Main!$B$5)+(_xlfn.IFNA(VLOOKUP($A4,'FL Ratio'!$A$3:$B$10,2,FALSE),0)*'FL Characterization'!C$2)</f>
        <v>39.639997813935828</v>
      </c>
      <c r="D4" s="2">
        <f>('[1]Pc, Winter, S3'!D4*Main!$B$5)+(_xlfn.IFNA(VLOOKUP($A4,'FL Ratio'!$A$3:$B$10,2,FALSE),0)*'FL Characterization'!D$2)</f>
        <v>37.228862058335949</v>
      </c>
      <c r="E4" s="2">
        <f>('[1]Pc, Winter, S3'!E4*Main!$B$5)+(_xlfn.IFNA(VLOOKUP($A4,'FL Ratio'!$A$3:$B$10,2,FALSE),0)*'FL Characterization'!E$2)</f>
        <v>36.715942386367573</v>
      </c>
      <c r="F4" s="2">
        <f>('[1]Pc, Winter, S3'!F4*Main!$B$5)+(_xlfn.IFNA(VLOOKUP($A4,'FL Ratio'!$A$3:$B$10,2,FALSE),0)*'FL Characterization'!F$2)</f>
        <v>38.051646341225968</v>
      </c>
      <c r="G4" s="2">
        <f>('[1]Pc, Winter, S3'!G4*Main!$B$5)+(_xlfn.IFNA(VLOOKUP($A4,'FL Ratio'!$A$3:$B$10,2,FALSE),0)*'FL Characterization'!G$2)</f>
        <v>40.769077389828645</v>
      </c>
      <c r="H4" s="2">
        <f>('[1]Pc, Winter, S3'!H4*Main!$B$5)+(_xlfn.IFNA(VLOOKUP($A4,'FL Ratio'!$A$3:$B$10,2,FALSE),0)*'FL Characterization'!H$2)</f>
        <v>49.213852536622269</v>
      </c>
      <c r="I4" s="2">
        <f>('[1]Pc, Winter, S3'!I4*Main!$B$5)+(_xlfn.IFNA(VLOOKUP($A4,'FL Ratio'!$A$3:$B$10,2,FALSE),0)*'FL Characterization'!I$2)</f>
        <v>53.679459041053214</v>
      </c>
      <c r="J4" s="2">
        <f>('[1]Pc, Winter, S3'!J4*Main!$B$5)+(_xlfn.IFNA(VLOOKUP($A4,'FL Ratio'!$A$3:$B$10,2,FALSE),0)*'FL Characterization'!J$2)</f>
        <v>56.770759092651119</v>
      </c>
      <c r="K4" s="2">
        <f>('[1]Pc, Winter, S3'!K4*Main!$B$5)+(_xlfn.IFNA(VLOOKUP($A4,'FL Ratio'!$A$3:$B$10,2,FALSE),0)*'FL Characterization'!K$2)</f>
        <v>58.793804240056801</v>
      </c>
      <c r="L4" s="2">
        <f>('[1]Pc, Winter, S3'!L4*Main!$B$5)+(_xlfn.IFNA(VLOOKUP($A4,'FL Ratio'!$A$3:$B$10,2,FALSE),0)*'FL Characterization'!L$2)</f>
        <v>59.199122769382264</v>
      </c>
      <c r="M4" s="2">
        <f>('[1]Pc, Winter, S3'!M4*Main!$B$5)+(_xlfn.IFNA(VLOOKUP($A4,'FL Ratio'!$A$3:$B$10,2,FALSE),0)*'FL Characterization'!M$2)</f>
        <v>58.629981223212617</v>
      </c>
      <c r="N4" s="2">
        <f>('[1]Pc, Winter, S3'!N4*Main!$B$5)+(_xlfn.IFNA(VLOOKUP($A4,'FL Ratio'!$A$3:$B$10,2,FALSE),0)*'FL Characterization'!N$2)</f>
        <v>58.436391923525832</v>
      </c>
      <c r="O4" s="2">
        <f>('[1]Pc, Winter, S3'!O4*Main!$B$5)+(_xlfn.IFNA(VLOOKUP($A4,'FL Ratio'!$A$3:$B$10,2,FALSE),0)*'FL Characterization'!O$2)</f>
        <v>57.550672746813987</v>
      </c>
      <c r="P4" s="2">
        <f>('[1]Pc, Winter, S3'!P4*Main!$B$5)+(_xlfn.IFNA(VLOOKUP($A4,'FL Ratio'!$A$3:$B$10,2,FALSE),0)*'FL Characterization'!P$2)</f>
        <v>55.786049030887881</v>
      </c>
      <c r="Q4" s="2">
        <f>('[1]Pc, Winter, S3'!Q4*Main!$B$5)+(_xlfn.IFNA(VLOOKUP($A4,'FL Ratio'!$A$3:$B$10,2,FALSE),0)*'FL Characterization'!Q$2)</f>
        <v>54.777059606246823</v>
      </c>
      <c r="R4" s="2">
        <f>('[1]Pc, Winter, S3'!R4*Main!$B$5)+(_xlfn.IFNA(VLOOKUP($A4,'FL Ratio'!$A$3:$B$10,2,FALSE),0)*'FL Characterization'!R$2)</f>
        <v>56.392984536011816</v>
      </c>
      <c r="S4" s="2">
        <f>('[1]Pc, Winter, S3'!S4*Main!$B$5)+(_xlfn.IFNA(VLOOKUP($A4,'FL Ratio'!$A$3:$B$10,2,FALSE),0)*'FL Characterization'!S$2)</f>
        <v>64.207922355382053</v>
      </c>
      <c r="T4" s="2">
        <f>('[1]Pc, Winter, S3'!T4*Main!$B$5)+(_xlfn.IFNA(VLOOKUP($A4,'FL Ratio'!$A$3:$B$10,2,FALSE),0)*'FL Characterization'!T$2)</f>
        <v>65.113889100297087</v>
      </c>
      <c r="U4" s="2">
        <f>('[1]Pc, Winter, S3'!U4*Main!$B$5)+(_xlfn.IFNA(VLOOKUP($A4,'FL Ratio'!$A$3:$B$10,2,FALSE),0)*'FL Characterization'!U$2)</f>
        <v>65.355348070327565</v>
      </c>
      <c r="V4" s="2">
        <f>('[1]Pc, Winter, S3'!V4*Main!$B$5)+(_xlfn.IFNA(VLOOKUP($A4,'FL Ratio'!$A$3:$B$10,2,FALSE),0)*'FL Characterization'!V$2)</f>
        <v>63.596790341482361</v>
      </c>
      <c r="W4" s="2">
        <f>('[1]Pc, Winter, S3'!W4*Main!$B$5)+(_xlfn.IFNA(VLOOKUP($A4,'FL Ratio'!$A$3:$B$10,2,FALSE),0)*'FL Characterization'!W$2)</f>
        <v>60.517483938773481</v>
      </c>
      <c r="X4" s="2">
        <f>('[1]Pc, Winter, S3'!X4*Main!$B$5)+(_xlfn.IFNA(VLOOKUP($A4,'FL Ratio'!$A$3:$B$10,2,FALSE),0)*'FL Characterization'!X$2)</f>
        <v>56.339139234236548</v>
      </c>
      <c r="Y4" s="2">
        <f>('[1]Pc, Winter, S3'!Y4*Main!$B$5)+(_xlfn.IFNA(VLOOKUP($A4,'FL Ratio'!$A$3:$B$10,2,FALSE),0)*'FL Characterization'!Y$2)</f>
        <v>50.263149880028891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-13.236928595807104</v>
      </c>
      <c r="C2" s="2">
        <f>('[1]Qc, Winter, S1'!C2*Main!$B$5)</f>
        <v>-14.386723642655813</v>
      </c>
      <c r="D2" s="2">
        <f>('[1]Qc, Winter, S1'!D2*Main!$B$5)</f>
        <v>-15.496488074307472</v>
      </c>
      <c r="E2" s="2">
        <f>('[1]Qc, Winter, S1'!E2*Main!$B$5)</f>
        <v>-15.383677613674269</v>
      </c>
      <c r="F2" s="2">
        <f>('[1]Qc, Winter, S1'!F2*Main!$B$5)</f>
        <v>-15.922802259015002</v>
      </c>
      <c r="G2" s="2">
        <f>('[1]Qc, Winter, S1'!G2*Main!$B$5)</f>
        <v>-14.174291316021414</v>
      </c>
      <c r="H2" s="2">
        <f>('[1]Qc, Winter, S1'!H2*Main!$B$5)</f>
        <v>-10.555390308376545</v>
      </c>
      <c r="I2" s="2">
        <f>('[1]Qc, Winter, S1'!I2*Main!$B$5)</f>
        <v>-4.3448086772516197</v>
      </c>
      <c r="J2" s="2">
        <f>('[1]Qc, Winter, S1'!J2*Main!$B$5)</f>
        <v>-1.279521167785185</v>
      </c>
      <c r="K2" s="2">
        <f>('[1]Qc, Winter, S1'!K2*Main!$B$5)</f>
        <v>-0.20015979485322147</v>
      </c>
      <c r="L2" s="2">
        <f>('[1]Qc, Winter, S1'!L2*Main!$B$5)</f>
        <v>-1.7969205297987789</v>
      </c>
      <c r="M2" s="2">
        <f>('[1]Qc, Winter, S1'!M2*Main!$B$5)</f>
        <v>-1.3210610789899735</v>
      </c>
      <c r="N2" s="2">
        <f>('[1]Qc, Winter, S1'!N2*Main!$B$5)</f>
        <v>-1.8285283339653522</v>
      </c>
      <c r="O2" s="2">
        <f>('[1]Qc, Winter, S1'!O2*Main!$B$5)</f>
        <v>-1.8445620785156689</v>
      </c>
      <c r="P2" s="2">
        <f>('[1]Qc, Winter, S1'!P2*Main!$B$5)</f>
        <v>-4.6631050318085014</v>
      </c>
      <c r="Q2" s="2">
        <f>('[1]Qc, Winter, S1'!Q2*Main!$B$5)</f>
        <v>-6.7156054101239393</v>
      </c>
      <c r="R2" s="2">
        <f>('[1]Qc, Winter, S1'!R2*Main!$B$5)</f>
        <v>-5.972304497359171</v>
      </c>
      <c r="S2" s="2">
        <f>('[1]Qc, Winter, S1'!S2*Main!$B$5)</f>
        <v>-2.0386626743236667</v>
      </c>
      <c r="T2" s="2">
        <f>('[1]Qc, Winter, S1'!T2*Main!$B$5)</f>
        <v>-2.965523165342665</v>
      </c>
      <c r="U2" s="2">
        <f>('[1]Qc, Winter, S1'!U2*Main!$B$5)</f>
        <v>-3.727804346475045</v>
      </c>
      <c r="V2" s="2">
        <f>('[1]Qc, Winter, S1'!V2*Main!$B$5)</f>
        <v>-5.8557200152212614</v>
      </c>
      <c r="W2" s="2">
        <f>('[1]Qc, Winter, S1'!W2*Main!$B$5)</f>
        <v>-7.6011048643115657</v>
      </c>
      <c r="X2" s="2">
        <f>('[1]Qc, Winter, S1'!X2*Main!$B$5)</f>
        <v>-10.197916005856632</v>
      </c>
      <c r="Y2" s="2">
        <f>('[1]Qc, Winter, S1'!Y2*Main!$B$5)</f>
        <v>-11.478621972151531</v>
      </c>
    </row>
    <row r="3" spans="1:25" x14ac:dyDescent="0.3">
      <c r="A3">
        <v>2</v>
      </c>
      <c r="B3" s="2">
        <f>('[1]Qc, Winter, S1'!B3*Main!$B$5)</f>
        <v>14.996674640209612</v>
      </c>
      <c r="C3" s="2">
        <f>('[1]Qc, Winter, S1'!C3*Main!$B$5)</f>
        <v>18.576602635517503</v>
      </c>
      <c r="D3" s="2">
        <f>('[1]Qc, Winter, S1'!D3*Main!$B$5)</f>
        <v>18.576602635517503</v>
      </c>
      <c r="E3" s="2">
        <f>('[1]Qc, Winter, S1'!E3*Main!$B$5)</f>
        <v>18.576602635517503</v>
      </c>
      <c r="F3" s="2">
        <f>('[1]Qc, Winter, S1'!F3*Main!$B$5)</f>
        <v>18.576602635517503</v>
      </c>
      <c r="G3" s="2">
        <f>('[1]Qc, Winter, S1'!G3*Main!$B$5)</f>
        <v>15.05175245591435</v>
      </c>
      <c r="H3" s="2">
        <f>('[1]Qc, Winter, S1'!H3*Main!$B$5)</f>
        <v>6.8271020678504595</v>
      </c>
      <c r="I3" s="2">
        <f>('[1]Qc, Winter, S1'!I3*Main!$B$5)</f>
        <v>0.87891862952953059</v>
      </c>
      <c r="J3" s="2">
        <f>('[1]Qc, Winter, S1'!J3*Main!$B$5)</f>
        <v>-5.1426940301598947</v>
      </c>
      <c r="K3" s="2">
        <f>('[1]Qc, Winter, S1'!K3*Main!$B$5)</f>
        <v>-5.1426940301598947</v>
      </c>
      <c r="L3" s="2">
        <f>('[1]Qc, Winter, S1'!L3*Main!$B$5)</f>
        <v>-0.44289379068902213</v>
      </c>
      <c r="M3" s="2">
        <f>('[1]Qc, Winter, S1'!M3*Main!$B$5)</f>
        <v>-5.363005292978845</v>
      </c>
      <c r="N3" s="2">
        <f>('[1]Qc, Winter, S1'!N3*Main!$B$5)</f>
        <v>-5.363005292978845</v>
      </c>
      <c r="O3" s="2">
        <f>('[1]Qc, Winter, S1'!O3*Main!$B$5)</f>
        <v>-4.1513366893079686</v>
      </c>
      <c r="P3" s="2">
        <f>('[1]Qc, Winter, S1'!P3*Main!$B$5)</f>
        <v>-0.51633087829533919</v>
      </c>
      <c r="Q3" s="2">
        <f>('[1]Qc, Winter, S1'!Q3*Main!$B$5)</f>
        <v>3.1186631178554909</v>
      </c>
      <c r="R3" s="2">
        <f>('[1]Qc, Winter, S1'!R3*Main!$B$5)</f>
        <v>4.3303277832391016</v>
      </c>
      <c r="S3" s="2">
        <f>('[1]Qc, Winter, S1'!S3*Main!$B$5)</f>
        <v>4.3303277832391016</v>
      </c>
      <c r="T3" s="2">
        <f>('[1]Qc, Winter, S1'!T3*Main!$B$5)</f>
        <v>4.3303277832391016</v>
      </c>
      <c r="U3" s="2">
        <f>('[1]Qc, Winter, S1'!U3*Main!$B$5)</f>
        <v>4.3303277832391016</v>
      </c>
      <c r="V3" s="2">
        <f>('[1]Qc, Winter, S1'!V3*Main!$B$5)</f>
        <v>4.3303277832391016</v>
      </c>
      <c r="W3" s="2">
        <f>('[1]Qc, Winter, S1'!W3*Main!$B$5)</f>
        <v>9.0301279813631261</v>
      </c>
      <c r="X3" s="2">
        <f>('[1]Qc, Winter, S1'!X3*Main!$B$5)</f>
        <v>13.803365308440315</v>
      </c>
      <c r="Y3" s="2">
        <f>('[1]Qc, Winter, S1'!Y3*Main!$B$5)</f>
        <v>13.803365308440315</v>
      </c>
    </row>
    <row r="4" spans="1:25" x14ac:dyDescent="0.3">
      <c r="A4">
        <v>3</v>
      </c>
      <c r="B4" s="2">
        <f>('[1]Qc, Winter, S1'!B4*Main!$B$5)</f>
        <v>10.1759713685978</v>
      </c>
      <c r="C4" s="2">
        <f>('[1]Qc, Winter, S1'!C4*Main!$B$5)</f>
        <v>7.8494647788134317</v>
      </c>
      <c r="D4" s="2">
        <f>('[1]Qc, Winter, S1'!D4*Main!$B$5)</f>
        <v>6.7195435530243071</v>
      </c>
      <c r="E4" s="2">
        <f>('[1]Qc, Winter, S1'!E4*Main!$B$5)</f>
        <v>6.5755199277791627</v>
      </c>
      <c r="F4" s="2">
        <f>('[1]Qc, Winter, S1'!F4*Main!$B$5)</f>
        <v>7.4734779942109855</v>
      </c>
      <c r="G4" s="2">
        <f>('[1]Qc, Winter, S1'!G4*Main!$B$5)</f>
        <v>9.2793527273120784</v>
      </c>
      <c r="H4" s="2">
        <f>('[1]Qc, Winter, S1'!H4*Main!$B$5)</f>
        <v>14.396991811279191</v>
      </c>
      <c r="I4" s="2">
        <f>('[1]Qc, Winter, S1'!I4*Main!$B$5)</f>
        <v>17.575972240563146</v>
      </c>
      <c r="J4" s="2">
        <f>('[1]Qc, Winter, S1'!J4*Main!$B$5)</f>
        <v>20.306546421850751</v>
      </c>
      <c r="K4" s="2">
        <f>('[1]Qc, Winter, S1'!K4*Main!$B$5)</f>
        <v>22.361244270651724</v>
      </c>
      <c r="L4" s="2">
        <f>('[1]Qc, Winter, S1'!L4*Main!$B$5)</f>
        <v>22.549956025547353</v>
      </c>
      <c r="M4" s="2">
        <f>('[1]Qc, Winter, S1'!M4*Main!$B$5)</f>
        <v>22.145617059981323</v>
      </c>
      <c r="N4" s="2">
        <f>('[1]Qc, Winter, S1'!N4*Main!$B$5)</f>
        <v>22.23993409493141</v>
      </c>
      <c r="O4" s="2">
        <f>('[1]Qc, Winter, S1'!O4*Main!$B$5)</f>
        <v>22.012988356001689</v>
      </c>
      <c r="P4" s="2">
        <f>('[1]Qc, Winter, S1'!P4*Main!$B$5)</f>
        <v>19.858256433011348</v>
      </c>
      <c r="Q4" s="2">
        <f>('[1]Qc, Winter, S1'!Q4*Main!$B$5)</f>
        <v>18.867126792746383</v>
      </c>
      <c r="R4" s="2">
        <f>('[1]Qc, Winter, S1'!R4*Main!$B$5)</f>
        <v>19.470932253793542</v>
      </c>
      <c r="S4" s="2">
        <f>('[1]Qc, Winter, S1'!S4*Main!$B$5)</f>
        <v>26.538003765025003</v>
      </c>
      <c r="T4" s="2">
        <f>('[1]Qc, Winter, S1'!T4*Main!$B$5)</f>
        <v>26.499478632866801</v>
      </c>
      <c r="U4" s="2">
        <f>('[1]Qc, Winter, S1'!U4*Main!$B$5)</f>
        <v>25.690839183138031</v>
      </c>
      <c r="V4" s="2">
        <f>('[1]Qc, Winter, S1'!V4*Main!$B$5)</f>
        <v>23.779581686060066</v>
      </c>
      <c r="W4" s="2">
        <f>('[1]Qc, Winter, S1'!W4*Main!$B$5)</f>
        <v>21.147974153996397</v>
      </c>
      <c r="X4" s="2">
        <f>('[1]Qc, Winter, S1'!X4*Main!$B$5)</f>
        <v>17.248779186272529</v>
      </c>
      <c r="Y4" s="2">
        <f>('[1]Qc, Winter, S1'!Y4*Main!$B$5)</f>
        <v>13.23313654049208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-13.236928595807104</v>
      </c>
      <c r="C2" s="2">
        <f>('[1]Qc, Winter, S1'!C2*Main!$B$5)</f>
        <v>-14.386723642655813</v>
      </c>
      <c r="D2" s="2">
        <f>('[1]Qc, Winter, S1'!D2*Main!$B$5)</f>
        <v>-15.496488074307472</v>
      </c>
      <c r="E2" s="2">
        <f>('[1]Qc, Winter, S1'!E2*Main!$B$5)</f>
        <v>-15.383677613674269</v>
      </c>
      <c r="F2" s="2">
        <f>('[1]Qc, Winter, S1'!F2*Main!$B$5)</f>
        <v>-15.922802259015002</v>
      </c>
      <c r="G2" s="2">
        <f>('[1]Qc, Winter, S1'!G2*Main!$B$5)</f>
        <v>-14.174291316021414</v>
      </c>
      <c r="H2" s="2">
        <f>('[1]Qc, Winter, S1'!H2*Main!$B$5)</f>
        <v>-10.555390308376545</v>
      </c>
      <c r="I2" s="2">
        <f>('[1]Qc, Winter, S1'!I2*Main!$B$5)</f>
        <v>-4.3448086772516197</v>
      </c>
      <c r="J2" s="2">
        <f>('[1]Qc, Winter, S1'!J2*Main!$B$5)</f>
        <v>-1.279521167785185</v>
      </c>
      <c r="K2" s="2">
        <f>('[1]Qc, Winter, S1'!K2*Main!$B$5)</f>
        <v>-0.20015979485322147</v>
      </c>
      <c r="L2" s="2">
        <f>('[1]Qc, Winter, S1'!L2*Main!$B$5)</f>
        <v>-1.7969205297987789</v>
      </c>
      <c r="M2" s="2">
        <f>('[1]Qc, Winter, S1'!M2*Main!$B$5)</f>
        <v>-1.3210610789899735</v>
      </c>
      <c r="N2" s="2">
        <f>('[1]Qc, Winter, S1'!N2*Main!$B$5)</f>
        <v>-1.8285283339653522</v>
      </c>
      <c r="O2" s="2">
        <f>('[1]Qc, Winter, S1'!O2*Main!$B$5)</f>
        <v>-1.8445620785156689</v>
      </c>
      <c r="P2" s="2">
        <f>('[1]Qc, Winter, S1'!P2*Main!$B$5)</f>
        <v>-4.6631050318085014</v>
      </c>
      <c r="Q2" s="2">
        <f>('[1]Qc, Winter, S1'!Q2*Main!$B$5)</f>
        <v>-6.7156054101239393</v>
      </c>
      <c r="R2" s="2">
        <f>('[1]Qc, Winter, S1'!R2*Main!$B$5)</f>
        <v>-5.972304497359171</v>
      </c>
      <c r="S2" s="2">
        <f>('[1]Qc, Winter, S1'!S2*Main!$B$5)</f>
        <v>-2.0386626743236667</v>
      </c>
      <c r="T2" s="2">
        <f>('[1]Qc, Winter, S1'!T2*Main!$B$5)</f>
        <v>-2.965523165342665</v>
      </c>
      <c r="U2" s="2">
        <f>('[1]Qc, Winter, S1'!U2*Main!$B$5)</f>
        <v>-3.727804346475045</v>
      </c>
      <c r="V2" s="2">
        <f>('[1]Qc, Winter, S1'!V2*Main!$B$5)</f>
        <v>-5.8557200152212614</v>
      </c>
      <c r="W2" s="2">
        <f>('[1]Qc, Winter, S1'!W2*Main!$B$5)</f>
        <v>-7.6011048643115657</v>
      </c>
      <c r="X2" s="2">
        <f>('[1]Qc, Winter, S1'!X2*Main!$B$5)</f>
        <v>-10.197916005856632</v>
      </c>
      <c r="Y2" s="2">
        <f>('[1]Qc, Winter, S1'!Y2*Main!$B$5)</f>
        <v>-11.478621972151531</v>
      </c>
    </row>
    <row r="3" spans="1:25" x14ac:dyDescent="0.3">
      <c r="A3">
        <v>2</v>
      </c>
      <c r="B3" s="2">
        <f>('[1]Qc, Winter, S1'!B3*Main!$B$5)</f>
        <v>14.996674640209612</v>
      </c>
      <c r="C3" s="2">
        <f>('[1]Qc, Winter, S1'!C3*Main!$B$5)</f>
        <v>18.576602635517503</v>
      </c>
      <c r="D3" s="2">
        <f>('[1]Qc, Winter, S1'!D3*Main!$B$5)</f>
        <v>18.576602635517503</v>
      </c>
      <c r="E3" s="2">
        <f>('[1]Qc, Winter, S1'!E3*Main!$B$5)</f>
        <v>18.576602635517503</v>
      </c>
      <c r="F3" s="2">
        <f>('[1]Qc, Winter, S1'!F3*Main!$B$5)</f>
        <v>18.576602635517503</v>
      </c>
      <c r="G3" s="2">
        <f>('[1]Qc, Winter, S1'!G3*Main!$B$5)</f>
        <v>15.05175245591435</v>
      </c>
      <c r="H3" s="2">
        <f>('[1]Qc, Winter, S1'!H3*Main!$B$5)</f>
        <v>6.8271020678504595</v>
      </c>
      <c r="I3" s="2">
        <f>('[1]Qc, Winter, S1'!I3*Main!$B$5)</f>
        <v>0.87891862952953059</v>
      </c>
      <c r="J3" s="2">
        <f>('[1]Qc, Winter, S1'!J3*Main!$B$5)</f>
        <v>-5.1426940301598947</v>
      </c>
      <c r="K3" s="2">
        <f>('[1]Qc, Winter, S1'!K3*Main!$B$5)</f>
        <v>-5.1426940301598947</v>
      </c>
      <c r="L3" s="2">
        <f>('[1]Qc, Winter, S1'!L3*Main!$B$5)</f>
        <v>-0.44289379068902213</v>
      </c>
      <c r="M3" s="2">
        <f>('[1]Qc, Winter, S1'!M3*Main!$B$5)</f>
        <v>-5.363005292978845</v>
      </c>
      <c r="N3" s="2">
        <f>('[1]Qc, Winter, S1'!N3*Main!$B$5)</f>
        <v>-5.363005292978845</v>
      </c>
      <c r="O3" s="2">
        <f>('[1]Qc, Winter, S1'!O3*Main!$B$5)</f>
        <v>-4.1513366893079686</v>
      </c>
      <c r="P3" s="2">
        <f>('[1]Qc, Winter, S1'!P3*Main!$B$5)</f>
        <v>-0.51633087829533919</v>
      </c>
      <c r="Q3" s="2">
        <f>('[1]Qc, Winter, S1'!Q3*Main!$B$5)</f>
        <v>3.1186631178554909</v>
      </c>
      <c r="R3" s="2">
        <f>('[1]Qc, Winter, S1'!R3*Main!$B$5)</f>
        <v>4.3303277832391016</v>
      </c>
      <c r="S3" s="2">
        <f>('[1]Qc, Winter, S1'!S3*Main!$B$5)</f>
        <v>4.3303277832391016</v>
      </c>
      <c r="T3" s="2">
        <f>('[1]Qc, Winter, S1'!T3*Main!$B$5)</f>
        <v>4.3303277832391016</v>
      </c>
      <c r="U3" s="2">
        <f>('[1]Qc, Winter, S1'!U3*Main!$B$5)</f>
        <v>4.3303277832391016</v>
      </c>
      <c r="V3" s="2">
        <f>('[1]Qc, Winter, S1'!V3*Main!$B$5)</f>
        <v>4.3303277832391016</v>
      </c>
      <c r="W3" s="2">
        <f>('[1]Qc, Winter, S1'!W3*Main!$B$5)</f>
        <v>9.0301279813631261</v>
      </c>
      <c r="X3" s="2">
        <f>('[1]Qc, Winter, S1'!X3*Main!$B$5)</f>
        <v>13.803365308440315</v>
      </c>
      <c r="Y3" s="2">
        <f>('[1]Qc, Winter, S1'!Y3*Main!$B$5)</f>
        <v>13.803365308440315</v>
      </c>
    </row>
    <row r="4" spans="1:25" x14ac:dyDescent="0.3">
      <c r="A4">
        <v>3</v>
      </c>
      <c r="B4" s="2">
        <f>('[1]Qc, Winter, S1'!B4*Main!$B$5)</f>
        <v>10.1759713685978</v>
      </c>
      <c r="C4" s="2">
        <f>('[1]Qc, Winter, S1'!C4*Main!$B$5)</f>
        <v>7.8494647788134317</v>
      </c>
      <c r="D4" s="2">
        <f>('[1]Qc, Winter, S1'!D4*Main!$B$5)</f>
        <v>6.7195435530243071</v>
      </c>
      <c r="E4" s="2">
        <f>('[1]Qc, Winter, S1'!E4*Main!$B$5)</f>
        <v>6.5755199277791627</v>
      </c>
      <c r="F4" s="2">
        <f>('[1]Qc, Winter, S1'!F4*Main!$B$5)</f>
        <v>7.4734779942109855</v>
      </c>
      <c r="G4" s="2">
        <f>('[1]Qc, Winter, S1'!G4*Main!$B$5)</f>
        <v>9.2793527273120784</v>
      </c>
      <c r="H4" s="2">
        <f>('[1]Qc, Winter, S1'!H4*Main!$B$5)</f>
        <v>14.396991811279191</v>
      </c>
      <c r="I4" s="2">
        <f>('[1]Qc, Winter, S1'!I4*Main!$B$5)</f>
        <v>17.575972240563146</v>
      </c>
      <c r="J4" s="2">
        <f>('[1]Qc, Winter, S1'!J4*Main!$B$5)</f>
        <v>20.306546421850751</v>
      </c>
      <c r="K4" s="2">
        <f>('[1]Qc, Winter, S1'!K4*Main!$B$5)</f>
        <v>22.361244270651724</v>
      </c>
      <c r="L4" s="2">
        <f>('[1]Qc, Winter, S1'!L4*Main!$B$5)</f>
        <v>22.549956025547353</v>
      </c>
      <c r="M4" s="2">
        <f>('[1]Qc, Winter, S1'!M4*Main!$B$5)</f>
        <v>22.145617059981323</v>
      </c>
      <c r="N4" s="2">
        <f>('[1]Qc, Winter, S1'!N4*Main!$B$5)</f>
        <v>22.23993409493141</v>
      </c>
      <c r="O4" s="2">
        <f>('[1]Qc, Winter, S1'!O4*Main!$B$5)</f>
        <v>22.012988356001689</v>
      </c>
      <c r="P4" s="2">
        <f>('[1]Qc, Winter, S1'!P4*Main!$B$5)</f>
        <v>19.858256433011348</v>
      </c>
      <c r="Q4" s="2">
        <f>('[1]Qc, Winter, S1'!Q4*Main!$B$5)</f>
        <v>18.867126792746383</v>
      </c>
      <c r="R4" s="2">
        <f>('[1]Qc, Winter, S1'!R4*Main!$B$5)</f>
        <v>19.470932253793542</v>
      </c>
      <c r="S4" s="2">
        <f>('[1]Qc, Winter, S1'!S4*Main!$B$5)</f>
        <v>26.538003765025003</v>
      </c>
      <c r="T4" s="2">
        <f>('[1]Qc, Winter, S1'!T4*Main!$B$5)</f>
        <v>26.499478632866801</v>
      </c>
      <c r="U4" s="2">
        <f>('[1]Qc, Winter, S1'!U4*Main!$B$5)</f>
        <v>25.690839183138031</v>
      </c>
      <c r="V4" s="2">
        <f>('[1]Qc, Winter, S1'!V4*Main!$B$5)</f>
        <v>23.779581686060066</v>
      </c>
      <c r="W4" s="2">
        <f>('[1]Qc, Winter, S1'!W4*Main!$B$5)</f>
        <v>21.147974153996397</v>
      </c>
      <c r="X4" s="2">
        <f>('[1]Qc, Winter, S1'!X4*Main!$B$5)</f>
        <v>17.248779186272529</v>
      </c>
      <c r="Y4" s="2">
        <f>('[1]Qc, Winter, S1'!Y4*Main!$B$5)</f>
        <v>13.23313654049208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-13.236928595807104</v>
      </c>
      <c r="C2" s="2">
        <f>('[1]Qc, Winter, S1'!C2*Main!$B$5)</f>
        <v>-14.386723642655813</v>
      </c>
      <c r="D2" s="2">
        <f>('[1]Qc, Winter, S1'!D2*Main!$B$5)</f>
        <v>-15.496488074307472</v>
      </c>
      <c r="E2" s="2">
        <f>('[1]Qc, Winter, S1'!E2*Main!$B$5)</f>
        <v>-15.383677613674269</v>
      </c>
      <c r="F2" s="2">
        <f>('[1]Qc, Winter, S1'!F2*Main!$B$5)</f>
        <v>-15.922802259015002</v>
      </c>
      <c r="G2" s="2">
        <f>('[1]Qc, Winter, S1'!G2*Main!$B$5)</f>
        <v>-14.174291316021414</v>
      </c>
      <c r="H2" s="2">
        <f>('[1]Qc, Winter, S1'!H2*Main!$B$5)</f>
        <v>-10.555390308376545</v>
      </c>
      <c r="I2" s="2">
        <f>('[1]Qc, Winter, S1'!I2*Main!$B$5)</f>
        <v>-4.3448086772516197</v>
      </c>
      <c r="J2" s="2">
        <f>('[1]Qc, Winter, S1'!J2*Main!$B$5)</f>
        <v>-1.279521167785185</v>
      </c>
      <c r="K2" s="2">
        <f>('[1]Qc, Winter, S1'!K2*Main!$B$5)</f>
        <v>-0.20015979485322147</v>
      </c>
      <c r="L2" s="2">
        <f>('[1]Qc, Winter, S1'!L2*Main!$B$5)</f>
        <v>-1.7969205297987789</v>
      </c>
      <c r="M2" s="2">
        <f>('[1]Qc, Winter, S1'!M2*Main!$B$5)</f>
        <v>-1.3210610789899735</v>
      </c>
      <c r="N2" s="2">
        <f>('[1]Qc, Winter, S1'!N2*Main!$B$5)</f>
        <v>-1.8285283339653522</v>
      </c>
      <c r="O2" s="2">
        <f>('[1]Qc, Winter, S1'!O2*Main!$B$5)</f>
        <v>-1.8445620785156689</v>
      </c>
      <c r="P2" s="2">
        <f>('[1]Qc, Winter, S1'!P2*Main!$B$5)</f>
        <v>-4.6631050318085014</v>
      </c>
      <c r="Q2" s="2">
        <f>('[1]Qc, Winter, S1'!Q2*Main!$B$5)</f>
        <v>-6.7156054101239393</v>
      </c>
      <c r="R2" s="2">
        <f>('[1]Qc, Winter, S1'!R2*Main!$B$5)</f>
        <v>-5.972304497359171</v>
      </c>
      <c r="S2" s="2">
        <f>('[1]Qc, Winter, S1'!S2*Main!$B$5)</f>
        <v>-2.0386626743236667</v>
      </c>
      <c r="T2" s="2">
        <f>('[1]Qc, Winter, S1'!T2*Main!$B$5)</f>
        <v>-2.965523165342665</v>
      </c>
      <c r="U2" s="2">
        <f>('[1]Qc, Winter, S1'!U2*Main!$B$5)</f>
        <v>-3.727804346475045</v>
      </c>
      <c r="V2" s="2">
        <f>('[1]Qc, Winter, S1'!V2*Main!$B$5)</f>
        <v>-5.8557200152212614</v>
      </c>
      <c r="W2" s="2">
        <f>('[1]Qc, Winter, S1'!W2*Main!$B$5)</f>
        <v>-7.6011048643115657</v>
      </c>
      <c r="X2" s="2">
        <f>('[1]Qc, Winter, S1'!X2*Main!$B$5)</f>
        <v>-10.197916005856632</v>
      </c>
      <c r="Y2" s="2">
        <f>('[1]Qc, Winter, S1'!Y2*Main!$B$5)</f>
        <v>-11.478621972151531</v>
      </c>
    </row>
    <row r="3" spans="1:25" x14ac:dyDescent="0.3">
      <c r="A3">
        <v>2</v>
      </c>
      <c r="B3" s="2">
        <f>('[1]Qc, Winter, S1'!B3*Main!$B$5)</f>
        <v>14.996674640209612</v>
      </c>
      <c r="C3" s="2">
        <f>('[1]Qc, Winter, S1'!C3*Main!$B$5)</f>
        <v>18.576602635517503</v>
      </c>
      <c r="D3" s="2">
        <f>('[1]Qc, Winter, S1'!D3*Main!$B$5)</f>
        <v>18.576602635517503</v>
      </c>
      <c r="E3" s="2">
        <f>('[1]Qc, Winter, S1'!E3*Main!$B$5)</f>
        <v>18.576602635517503</v>
      </c>
      <c r="F3" s="2">
        <f>('[1]Qc, Winter, S1'!F3*Main!$B$5)</f>
        <v>18.576602635517503</v>
      </c>
      <c r="G3" s="2">
        <f>('[1]Qc, Winter, S1'!G3*Main!$B$5)</f>
        <v>15.05175245591435</v>
      </c>
      <c r="H3" s="2">
        <f>('[1]Qc, Winter, S1'!H3*Main!$B$5)</f>
        <v>6.8271020678504595</v>
      </c>
      <c r="I3" s="2">
        <f>('[1]Qc, Winter, S1'!I3*Main!$B$5)</f>
        <v>0.87891862952953059</v>
      </c>
      <c r="J3" s="2">
        <f>('[1]Qc, Winter, S1'!J3*Main!$B$5)</f>
        <v>-5.1426940301598947</v>
      </c>
      <c r="K3" s="2">
        <f>('[1]Qc, Winter, S1'!K3*Main!$B$5)</f>
        <v>-5.1426940301598947</v>
      </c>
      <c r="L3" s="2">
        <f>('[1]Qc, Winter, S1'!L3*Main!$B$5)</f>
        <v>-0.44289379068902213</v>
      </c>
      <c r="M3" s="2">
        <f>('[1]Qc, Winter, S1'!M3*Main!$B$5)</f>
        <v>-5.363005292978845</v>
      </c>
      <c r="N3" s="2">
        <f>('[1]Qc, Winter, S1'!N3*Main!$B$5)</f>
        <v>-5.363005292978845</v>
      </c>
      <c r="O3" s="2">
        <f>('[1]Qc, Winter, S1'!O3*Main!$B$5)</f>
        <v>-4.1513366893079686</v>
      </c>
      <c r="P3" s="2">
        <f>('[1]Qc, Winter, S1'!P3*Main!$B$5)</f>
        <v>-0.51633087829533919</v>
      </c>
      <c r="Q3" s="2">
        <f>('[1]Qc, Winter, S1'!Q3*Main!$B$5)</f>
        <v>3.1186631178554909</v>
      </c>
      <c r="R3" s="2">
        <f>('[1]Qc, Winter, S1'!R3*Main!$B$5)</f>
        <v>4.3303277832391016</v>
      </c>
      <c r="S3" s="2">
        <f>('[1]Qc, Winter, S1'!S3*Main!$B$5)</f>
        <v>4.3303277832391016</v>
      </c>
      <c r="T3" s="2">
        <f>('[1]Qc, Winter, S1'!T3*Main!$B$5)</f>
        <v>4.3303277832391016</v>
      </c>
      <c r="U3" s="2">
        <f>('[1]Qc, Winter, S1'!U3*Main!$B$5)</f>
        <v>4.3303277832391016</v>
      </c>
      <c r="V3" s="2">
        <f>('[1]Qc, Winter, S1'!V3*Main!$B$5)</f>
        <v>4.3303277832391016</v>
      </c>
      <c r="W3" s="2">
        <f>('[1]Qc, Winter, S1'!W3*Main!$B$5)</f>
        <v>9.0301279813631261</v>
      </c>
      <c r="X3" s="2">
        <f>('[1]Qc, Winter, S1'!X3*Main!$B$5)</f>
        <v>13.803365308440315</v>
      </c>
      <c r="Y3" s="2">
        <f>('[1]Qc, Winter, S1'!Y3*Main!$B$5)</f>
        <v>13.803365308440315</v>
      </c>
    </row>
    <row r="4" spans="1:25" x14ac:dyDescent="0.3">
      <c r="A4">
        <v>3</v>
      </c>
      <c r="B4" s="2">
        <f>('[1]Qc, Winter, S1'!B4*Main!$B$5)</f>
        <v>10.1759713685978</v>
      </c>
      <c r="C4" s="2">
        <f>('[1]Qc, Winter, S1'!C4*Main!$B$5)</f>
        <v>7.8494647788134317</v>
      </c>
      <c r="D4" s="2">
        <f>('[1]Qc, Winter, S1'!D4*Main!$B$5)</f>
        <v>6.7195435530243071</v>
      </c>
      <c r="E4" s="2">
        <f>('[1]Qc, Winter, S1'!E4*Main!$B$5)</f>
        <v>6.5755199277791627</v>
      </c>
      <c r="F4" s="2">
        <f>('[1]Qc, Winter, S1'!F4*Main!$B$5)</f>
        <v>7.4734779942109855</v>
      </c>
      <c r="G4" s="2">
        <f>('[1]Qc, Winter, S1'!G4*Main!$B$5)</f>
        <v>9.2793527273120784</v>
      </c>
      <c r="H4" s="2">
        <f>('[1]Qc, Winter, S1'!H4*Main!$B$5)</f>
        <v>14.396991811279191</v>
      </c>
      <c r="I4" s="2">
        <f>('[1]Qc, Winter, S1'!I4*Main!$B$5)</f>
        <v>17.575972240563146</v>
      </c>
      <c r="J4" s="2">
        <f>('[1]Qc, Winter, S1'!J4*Main!$B$5)</f>
        <v>20.306546421850751</v>
      </c>
      <c r="K4" s="2">
        <f>('[1]Qc, Winter, S1'!K4*Main!$B$5)</f>
        <v>22.361244270651724</v>
      </c>
      <c r="L4" s="2">
        <f>('[1]Qc, Winter, S1'!L4*Main!$B$5)</f>
        <v>22.549956025547353</v>
      </c>
      <c r="M4" s="2">
        <f>('[1]Qc, Winter, S1'!M4*Main!$B$5)</f>
        <v>22.145617059981323</v>
      </c>
      <c r="N4" s="2">
        <f>('[1]Qc, Winter, S1'!N4*Main!$B$5)</f>
        <v>22.23993409493141</v>
      </c>
      <c r="O4" s="2">
        <f>('[1]Qc, Winter, S1'!O4*Main!$B$5)</f>
        <v>22.012988356001689</v>
      </c>
      <c r="P4" s="2">
        <f>('[1]Qc, Winter, S1'!P4*Main!$B$5)</f>
        <v>19.858256433011348</v>
      </c>
      <c r="Q4" s="2">
        <f>('[1]Qc, Winter, S1'!Q4*Main!$B$5)</f>
        <v>18.867126792746383</v>
      </c>
      <c r="R4" s="2">
        <f>('[1]Qc, Winter, S1'!R4*Main!$B$5)</f>
        <v>19.470932253793542</v>
      </c>
      <c r="S4" s="2">
        <f>('[1]Qc, Winter, S1'!S4*Main!$B$5)</f>
        <v>26.538003765025003</v>
      </c>
      <c r="T4" s="2">
        <f>('[1]Qc, Winter, S1'!T4*Main!$B$5)</f>
        <v>26.499478632866801</v>
      </c>
      <c r="U4" s="2">
        <f>('[1]Qc, Winter, S1'!U4*Main!$B$5)</f>
        <v>25.690839183138031</v>
      </c>
      <c r="V4" s="2">
        <f>('[1]Qc, Winter, S1'!V4*Main!$B$5)</f>
        <v>23.779581686060066</v>
      </c>
      <c r="W4" s="2">
        <f>('[1]Qc, Winter, S1'!W4*Main!$B$5)</f>
        <v>21.147974153996397</v>
      </c>
      <c r="X4" s="2">
        <f>('[1]Qc, Winter, S1'!X4*Main!$B$5)</f>
        <v>17.248779186272529</v>
      </c>
      <c r="Y4" s="2">
        <f>('[1]Qc, Winter, S1'!Y4*Main!$B$5)</f>
        <v>13.23313654049208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-13.634036453681317</v>
      </c>
      <c r="C2" s="2">
        <f>('[1]Qc, Winter, S2'!C2*Main!$B$5)</f>
        <v>-14.818325351935487</v>
      </c>
      <c r="D2" s="2">
        <f>('[1]Qc, Winter, S2'!D2*Main!$B$5)</f>
        <v>-15.961382716536697</v>
      </c>
      <c r="E2" s="2">
        <f>('[1]Qc, Winter, S2'!E2*Main!$B$5)</f>
        <v>-15.845187942084499</v>
      </c>
      <c r="F2" s="2">
        <f>('[1]Qc, Winter, S2'!F2*Main!$B$5)</f>
        <v>-16.400486326785455</v>
      </c>
      <c r="G2" s="2">
        <f>('[1]Qc, Winter, S2'!G2*Main!$B$5)</f>
        <v>-14.599520055502056</v>
      </c>
      <c r="H2" s="2">
        <f>('[1]Qc, Winter, S2'!H2*Main!$B$5)</f>
        <v>-10.872052017627841</v>
      </c>
      <c r="I2" s="2">
        <f>('[1]Qc, Winter, S2'!I2*Main!$B$5)</f>
        <v>-4.4751529375691677</v>
      </c>
      <c r="J2" s="2">
        <f>('[1]Qc, Winter, S2'!J2*Main!$B$5)</f>
        <v>-1.3179068028187404</v>
      </c>
      <c r="K2" s="2">
        <f>('[1]Qc, Winter, S2'!K2*Main!$B$5)</f>
        <v>-0.20616458869881812</v>
      </c>
      <c r="L2" s="2">
        <f>('[1]Qc, Winter, S2'!L2*Main!$B$5)</f>
        <v>-1.8508281456927422</v>
      </c>
      <c r="M2" s="2">
        <f>('[1]Qc, Winter, S2'!M2*Main!$B$5)</f>
        <v>-1.3606929113596726</v>
      </c>
      <c r="N2" s="2">
        <f>('[1]Qc, Winter, S2'!N2*Main!$B$5)</f>
        <v>-1.8833841839843128</v>
      </c>
      <c r="O2" s="2">
        <f>('[1]Qc, Winter, S2'!O2*Main!$B$5)</f>
        <v>-1.8998989408711391</v>
      </c>
      <c r="P2" s="2">
        <f>('[1]Qc, Winter, S2'!P2*Main!$B$5)</f>
        <v>-4.8029981827627566</v>
      </c>
      <c r="Q2" s="2">
        <f>('[1]Qc, Winter, S2'!Q2*Main!$B$5)</f>
        <v>-6.9170735724276575</v>
      </c>
      <c r="R2" s="2">
        <f>('[1]Qc, Winter, S2'!R2*Main!$B$5)</f>
        <v>-6.1514736322799468</v>
      </c>
      <c r="S2" s="2">
        <f>('[1]Qc, Winter, S2'!S2*Main!$B$5)</f>
        <v>-2.0998225545533766</v>
      </c>
      <c r="T2" s="2">
        <f>('[1]Qc, Winter, S2'!T2*Main!$B$5)</f>
        <v>-3.0544888603029454</v>
      </c>
      <c r="U2" s="2">
        <f>('[1]Qc, Winter, S2'!U2*Main!$B$5)</f>
        <v>-3.8396384768692959</v>
      </c>
      <c r="V2" s="2">
        <f>('[1]Qc, Winter, S2'!V2*Main!$B$5)</f>
        <v>-6.0313916156778999</v>
      </c>
      <c r="W2" s="2">
        <f>('[1]Qc, Winter, S2'!W2*Main!$B$5)</f>
        <v>-7.8291380102409134</v>
      </c>
      <c r="X2" s="2">
        <f>('[1]Qc, Winter, S2'!X2*Main!$B$5)</f>
        <v>-10.503853486032332</v>
      </c>
      <c r="Y2" s="2">
        <f>('[1]Qc, Winter, S2'!Y2*Main!$B$5)</f>
        <v>-11.822980631316076</v>
      </c>
    </row>
    <row r="3" spans="1:25" x14ac:dyDescent="0.3">
      <c r="A3">
        <v>2</v>
      </c>
      <c r="B3" s="2">
        <f>('[1]Qc, Winter, S2'!B3*Main!$B$5)</f>
        <v>15.4465748794159</v>
      </c>
      <c r="C3" s="2">
        <f>('[1]Qc, Winter, S2'!C3*Main!$B$5)</f>
        <v>19.133900714583028</v>
      </c>
      <c r="D3" s="2">
        <f>('[1]Qc, Winter, S2'!D3*Main!$B$5)</f>
        <v>19.133900714583028</v>
      </c>
      <c r="E3" s="2">
        <f>('[1]Qc, Winter, S2'!E3*Main!$B$5)</f>
        <v>19.133900714583028</v>
      </c>
      <c r="F3" s="2">
        <f>('[1]Qc, Winter, S2'!F3*Main!$B$5)</f>
        <v>19.133900714583028</v>
      </c>
      <c r="G3" s="2">
        <f>('[1]Qc, Winter, S2'!G3*Main!$B$5)</f>
        <v>15.503305029591781</v>
      </c>
      <c r="H3" s="2">
        <f>('[1]Qc, Winter, S2'!H3*Main!$B$5)</f>
        <v>7.0319151298859737</v>
      </c>
      <c r="I3" s="2">
        <f>('[1]Qc, Winter, S2'!I3*Main!$B$5)</f>
        <v>0.90528618841541653</v>
      </c>
      <c r="J3" s="2">
        <f>('[1]Qc, Winter, S2'!J3*Main!$B$5)</f>
        <v>-5.2969748510646912</v>
      </c>
      <c r="K3" s="2">
        <f>('[1]Qc, Winter, S2'!K3*Main!$B$5)</f>
        <v>-5.2969748510646912</v>
      </c>
      <c r="L3" s="2">
        <f>('[1]Qc, Winter, S2'!L3*Main!$B$5)</f>
        <v>-0.45618060440969277</v>
      </c>
      <c r="M3" s="2">
        <f>('[1]Qc, Winter, S2'!M3*Main!$B$5)</f>
        <v>-5.5238954517682108</v>
      </c>
      <c r="N3" s="2">
        <f>('[1]Qc, Winter, S2'!N3*Main!$B$5)</f>
        <v>-5.5238954517682108</v>
      </c>
      <c r="O3" s="2">
        <f>('[1]Qc, Winter, S2'!O3*Main!$B$5)</f>
        <v>-4.2758767899872074</v>
      </c>
      <c r="P3" s="2">
        <f>('[1]Qc, Winter, S2'!P3*Main!$B$5)</f>
        <v>-0.53182080464419934</v>
      </c>
      <c r="Q3" s="2">
        <f>('[1]Qc, Winter, S2'!Q3*Main!$B$5)</f>
        <v>3.2122230113911558</v>
      </c>
      <c r="R3" s="2">
        <f>('[1]Qc, Winter, S2'!R3*Main!$B$5)</f>
        <v>4.4602376167362747</v>
      </c>
      <c r="S3" s="2">
        <f>('[1]Qc, Winter, S2'!S3*Main!$B$5)</f>
        <v>4.4602376167362747</v>
      </c>
      <c r="T3" s="2">
        <f>('[1]Qc, Winter, S2'!T3*Main!$B$5)</f>
        <v>4.4602376167362747</v>
      </c>
      <c r="U3" s="2">
        <f>('[1]Qc, Winter, S2'!U3*Main!$B$5)</f>
        <v>4.4602376167362747</v>
      </c>
      <c r="V3" s="2">
        <f>('[1]Qc, Winter, S2'!V3*Main!$B$5)</f>
        <v>4.4602376167362747</v>
      </c>
      <c r="W3" s="2">
        <f>('[1]Qc, Winter, S2'!W3*Main!$B$5)</f>
        <v>9.3010318208040186</v>
      </c>
      <c r="X3" s="2">
        <f>('[1]Qc, Winter, S2'!X3*Main!$B$5)</f>
        <v>14.217466267693524</v>
      </c>
      <c r="Y3" s="2">
        <f>('[1]Qc, Winter, S2'!Y3*Main!$B$5)</f>
        <v>14.217466267693524</v>
      </c>
    </row>
    <row r="4" spans="1:25" x14ac:dyDescent="0.3">
      <c r="A4">
        <v>3</v>
      </c>
      <c r="B4" s="2">
        <f>('[1]Qc, Winter, S2'!B4*Main!$B$5)</f>
        <v>10.481250509655734</v>
      </c>
      <c r="C4" s="2">
        <f>('[1]Qc, Winter, S2'!C4*Main!$B$5)</f>
        <v>8.0849487221778347</v>
      </c>
      <c r="D4" s="2">
        <f>('[1]Qc, Winter, S2'!D4*Main!$B$5)</f>
        <v>6.9211298596150357</v>
      </c>
      <c r="E4" s="2">
        <f>('[1]Qc, Winter, S2'!E4*Main!$B$5)</f>
        <v>6.7727855256125382</v>
      </c>
      <c r="F4" s="2">
        <f>('[1]Qc, Winter, S2'!F4*Main!$B$5)</f>
        <v>7.6976823340373146</v>
      </c>
      <c r="G4" s="2">
        <f>('[1]Qc, Winter, S2'!G4*Main!$B$5)</f>
        <v>9.5577333091314411</v>
      </c>
      <c r="H4" s="2">
        <f>('[1]Qc, Winter, S2'!H4*Main!$B$5)</f>
        <v>14.828901565617567</v>
      </c>
      <c r="I4" s="2">
        <f>('[1]Qc, Winter, S2'!I4*Main!$B$5)</f>
        <v>18.103251407780043</v>
      </c>
      <c r="J4" s="2">
        <f>('[1]Qc, Winter, S2'!J4*Main!$B$5)</f>
        <v>20.915742814506277</v>
      </c>
      <c r="K4" s="2">
        <f>('[1]Qc, Winter, S2'!K4*Main!$B$5)</f>
        <v>23.032081598771274</v>
      </c>
      <c r="L4" s="2">
        <f>('[1]Qc, Winter, S2'!L4*Main!$B$5)</f>
        <v>23.226454706313771</v>
      </c>
      <c r="M4" s="2">
        <f>('[1]Qc, Winter, S2'!M4*Main!$B$5)</f>
        <v>22.809985571780764</v>
      </c>
      <c r="N4" s="2">
        <f>('[1]Qc, Winter, S2'!N4*Main!$B$5)</f>
        <v>22.907132117779351</v>
      </c>
      <c r="O4" s="2">
        <f>('[1]Qc, Winter, S2'!O4*Main!$B$5)</f>
        <v>22.673378006681737</v>
      </c>
      <c r="P4" s="2">
        <f>('[1]Qc, Winter, S2'!P4*Main!$B$5)</f>
        <v>20.454004126001688</v>
      </c>
      <c r="Q4" s="2">
        <f>('[1]Qc, Winter, S2'!Q4*Main!$B$5)</f>
        <v>19.433140596528776</v>
      </c>
      <c r="R4" s="2">
        <f>('[1]Qc, Winter, S2'!R4*Main!$B$5)</f>
        <v>20.055060221407349</v>
      </c>
      <c r="S4" s="2">
        <f>('[1]Qc, Winter, S2'!S4*Main!$B$5)</f>
        <v>27.334143877975752</v>
      </c>
      <c r="T4" s="2">
        <f>('[1]Qc, Winter, S2'!T4*Main!$B$5)</f>
        <v>27.294462991852804</v>
      </c>
      <c r="U4" s="2">
        <f>('[1]Qc, Winter, S2'!U4*Main!$B$5)</f>
        <v>26.461564358632174</v>
      </c>
      <c r="V4" s="2">
        <f>('[1]Qc, Winter, S2'!V4*Main!$B$5)</f>
        <v>24.492969136641868</v>
      </c>
      <c r="W4" s="2">
        <f>('[1]Qc, Winter, S2'!W4*Main!$B$5)</f>
        <v>21.782413378616287</v>
      </c>
      <c r="X4" s="2">
        <f>('[1]Qc, Winter, S2'!X4*Main!$B$5)</f>
        <v>17.766242561860707</v>
      </c>
      <c r="Y4" s="2">
        <f>('[1]Qc, Winter, S2'!Y4*Main!$B$5)</f>
        <v>13.630130636706845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-13.634036453681317</v>
      </c>
      <c r="C2" s="2">
        <f>('[1]Qc, Winter, S2'!C2*Main!$B$5)</f>
        <v>-14.818325351935487</v>
      </c>
      <c r="D2" s="2">
        <f>('[1]Qc, Winter, S2'!D2*Main!$B$5)</f>
        <v>-15.961382716536697</v>
      </c>
      <c r="E2" s="2">
        <f>('[1]Qc, Winter, S2'!E2*Main!$B$5)</f>
        <v>-15.845187942084499</v>
      </c>
      <c r="F2" s="2">
        <f>('[1]Qc, Winter, S2'!F2*Main!$B$5)</f>
        <v>-16.400486326785455</v>
      </c>
      <c r="G2" s="2">
        <f>('[1]Qc, Winter, S2'!G2*Main!$B$5)</f>
        <v>-14.599520055502056</v>
      </c>
      <c r="H2" s="2">
        <f>('[1]Qc, Winter, S2'!H2*Main!$B$5)</f>
        <v>-10.872052017627841</v>
      </c>
      <c r="I2" s="2">
        <f>('[1]Qc, Winter, S2'!I2*Main!$B$5)</f>
        <v>-4.4751529375691677</v>
      </c>
      <c r="J2" s="2">
        <f>('[1]Qc, Winter, S2'!J2*Main!$B$5)</f>
        <v>-1.3179068028187404</v>
      </c>
      <c r="K2" s="2">
        <f>('[1]Qc, Winter, S2'!K2*Main!$B$5)</f>
        <v>-0.20616458869881812</v>
      </c>
      <c r="L2" s="2">
        <f>('[1]Qc, Winter, S2'!L2*Main!$B$5)</f>
        <v>-1.8508281456927422</v>
      </c>
      <c r="M2" s="2">
        <f>('[1]Qc, Winter, S2'!M2*Main!$B$5)</f>
        <v>-1.3606929113596726</v>
      </c>
      <c r="N2" s="2">
        <f>('[1]Qc, Winter, S2'!N2*Main!$B$5)</f>
        <v>-1.8833841839843128</v>
      </c>
      <c r="O2" s="2">
        <f>('[1]Qc, Winter, S2'!O2*Main!$B$5)</f>
        <v>-1.8998989408711391</v>
      </c>
      <c r="P2" s="2">
        <f>('[1]Qc, Winter, S2'!P2*Main!$B$5)</f>
        <v>-4.8029981827627566</v>
      </c>
      <c r="Q2" s="2">
        <f>('[1]Qc, Winter, S2'!Q2*Main!$B$5)</f>
        <v>-6.9170735724276575</v>
      </c>
      <c r="R2" s="2">
        <f>('[1]Qc, Winter, S2'!R2*Main!$B$5)</f>
        <v>-6.1514736322799468</v>
      </c>
      <c r="S2" s="2">
        <f>('[1]Qc, Winter, S2'!S2*Main!$B$5)</f>
        <v>-2.0998225545533766</v>
      </c>
      <c r="T2" s="2">
        <f>('[1]Qc, Winter, S2'!T2*Main!$B$5)</f>
        <v>-3.0544888603029454</v>
      </c>
      <c r="U2" s="2">
        <f>('[1]Qc, Winter, S2'!U2*Main!$B$5)</f>
        <v>-3.8396384768692959</v>
      </c>
      <c r="V2" s="2">
        <f>('[1]Qc, Winter, S2'!V2*Main!$B$5)</f>
        <v>-6.0313916156778999</v>
      </c>
      <c r="W2" s="2">
        <f>('[1]Qc, Winter, S2'!W2*Main!$B$5)</f>
        <v>-7.8291380102409134</v>
      </c>
      <c r="X2" s="2">
        <f>('[1]Qc, Winter, S2'!X2*Main!$B$5)</f>
        <v>-10.503853486032332</v>
      </c>
      <c r="Y2" s="2">
        <f>('[1]Qc, Winter, S2'!Y2*Main!$B$5)</f>
        <v>-11.822980631316076</v>
      </c>
    </row>
    <row r="3" spans="1:25" x14ac:dyDescent="0.3">
      <c r="A3">
        <v>2</v>
      </c>
      <c r="B3" s="2">
        <f>('[1]Qc, Winter, S2'!B3*Main!$B$5)</f>
        <v>15.4465748794159</v>
      </c>
      <c r="C3" s="2">
        <f>('[1]Qc, Winter, S2'!C3*Main!$B$5)</f>
        <v>19.133900714583028</v>
      </c>
      <c r="D3" s="2">
        <f>('[1]Qc, Winter, S2'!D3*Main!$B$5)</f>
        <v>19.133900714583028</v>
      </c>
      <c r="E3" s="2">
        <f>('[1]Qc, Winter, S2'!E3*Main!$B$5)</f>
        <v>19.133900714583028</v>
      </c>
      <c r="F3" s="2">
        <f>('[1]Qc, Winter, S2'!F3*Main!$B$5)</f>
        <v>19.133900714583028</v>
      </c>
      <c r="G3" s="2">
        <f>('[1]Qc, Winter, S2'!G3*Main!$B$5)</f>
        <v>15.503305029591781</v>
      </c>
      <c r="H3" s="2">
        <f>('[1]Qc, Winter, S2'!H3*Main!$B$5)</f>
        <v>7.0319151298859737</v>
      </c>
      <c r="I3" s="2">
        <f>('[1]Qc, Winter, S2'!I3*Main!$B$5)</f>
        <v>0.90528618841541653</v>
      </c>
      <c r="J3" s="2">
        <f>('[1]Qc, Winter, S2'!J3*Main!$B$5)</f>
        <v>-5.2969748510646912</v>
      </c>
      <c r="K3" s="2">
        <f>('[1]Qc, Winter, S2'!K3*Main!$B$5)</f>
        <v>-5.2969748510646912</v>
      </c>
      <c r="L3" s="2">
        <f>('[1]Qc, Winter, S2'!L3*Main!$B$5)</f>
        <v>-0.45618060440969277</v>
      </c>
      <c r="M3" s="2">
        <f>('[1]Qc, Winter, S2'!M3*Main!$B$5)</f>
        <v>-5.5238954517682108</v>
      </c>
      <c r="N3" s="2">
        <f>('[1]Qc, Winter, S2'!N3*Main!$B$5)</f>
        <v>-5.5238954517682108</v>
      </c>
      <c r="O3" s="2">
        <f>('[1]Qc, Winter, S2'!O3*Main!$B$5)</f>
        <v>-4.2758767899872074</v>
      </c>
      <c r="P3" s="2">
        <f>('[1]Qc, Winter, S2'!P3*Main!$B$5)</f>
        <v>-0.53182080464419934</v>
      </c>
      <c r="Q3" s="2">
        <f>('[1]Qc, Winter, S2'!Q3*Main!$B$5)</f>
        <v>3.2122230113911558</v>
      </c>
      <c r="R3" s="2">
        <f>('[1]Qc, Winter, S2'!R3*Main!$B$5)</f>
        <v>4.4602376167362747</v>
      </c>
      <c r="S3" s="2">
        <f>('[1]Qc, Winter, S2'!S3*Main!$B$5)</f>
        <v>4.4602376167362747</v>
      </c>
      <c r="T3" s="2">
        <f>('[1]Qc, Winter, S2'!T3*Main!$B$5)</f>
        <v>4.4602376167362747</v>
      </c>
      <c r="U3" s="2">
        <f>('[1]Qc, Winter, S2'!U3*Main!$B$5)</f>
        <v>4.4602376167362747</v>
      </c>
      <c r="V3" s="2">
        <f>('[1]Qc, Winter, S2'!V3*Main!$B$5)</f>
        <v>4.4602376167362747</v>
      </c>
      <c r="W3" s="2">
        <f>('[1]Qc, Winter, S2'!W3*Main!$B$5)</f>
        <v>9.3010318208040186</v>
      </c>
      <c r="X3" s="2">
        <f>('[1]Qc, Winter, S2'!X3*Main!$B$5)</f>
        <v>14.217466267693524</v>
      </c>
      <c r="Y3" s="2">
        <f>('[1]Qc, Winter, S2'!Y3*Main!$B$5)</f>
        <v>14.217466267693524</v>
      </c>
    </row>
    <row r="4" spans="1:25" x14ac:dyDescent="0.3">
      <c r="A4">
        <v>3</v>
      </c>
      <c r="B4" s="2">
        <f>('[1]Qc, Winter, S2'!B4*Main!$B$5)</f>
        <v>10.481250509655734</v>
      </c>
      <c r="C4" s="2">
        <f>('[1]Qc, Winter, S2'!C4*Main!$B$5)</f>
        <v>8.0849487221778347</v>
      </c>
      <c r="D4" s="2">
        <f>('[1]Qc, Winter, S2'!D4*Main!$B$5)</f>
        <v>6.9211298596150357</v>
      </c>
      <c r="E4" s="2">
        <f>('[1]Qc, Winter, S2'!E4*Main!$B$5)</f>
        <v>6.7727855256125382</v>
      </c>
      <c r="F4" s="2">
        <f>('[1]Qc, Winter, S2'!F4*Main!$B$5)</f>
        <v>7.6976823340373146</v>
      </c>
      <c r="G4" s="2">
        <f>('[1]Qc, Winter, S2'!G4*Main!$B$5)</f>
        <v>9.5577333091314411</v>
      </c>
      <c r="H4" s="2">
        <f>('[1]Qc, Winter, S2'!H4*Main!$B$5)</f>
        <v>14.828901565617567</v>
      </c>
      <c r="I4" s="2">
        <f>('[1]Qc, Winter, S2'!I4*Main!$B$5)</f>
        <v>18.103251407780043</v>
      </c>
      <c r="J4" s="2">
        <f>('[1]Qc, Winter, S2'!J4*Main!$B$5)</f>
        <v>20.915742814506277</v>
      </c>
      <c r="K4" s="2">
        <f>('[1]Qc, Winter, S2'!K4*Main!$B$5)</f>
        <v>23.032081598771274</v>
      </c>
      <c r="L4" s="2">
        <f>('[1]Qc, Winter, S2'!L4*Main!$B$5)</f>
        <v>23.226454706313771</v>
      </c>
      <c r="M4" s="2">
        <f>('[1]Qc, Winter, S2'!M4*Main!$B$5)</f>
        <v>22.809985571780764</v>
      </c>
      <c r="N4" s="2">
        <f>('[1]Qc, Winter, S2'!N4*Main!$B$5)</f>
        <v>22.907132117779351</v>
      </c>
      <c r="O4" s="2">
        <f>('[1]Qc, Winter, S2'!O4*Main!$B$5)</f>
        <v>22.673378006681737</v>
      </c>
      <c r="P4" s="2">
        <f>('[1]Qc, Winter, S2'!P4*Main!$B$5)</f>
        <v>20.454004126001688</v>
      </c>
      <c r="Q4" s="2">
        <f>('[1]Qc, Winter, S2'!Q4*Main!$B$5)</f>
        <v>19.433140596528776</v>
      </c>
      <c r="R4" s="2">
        <f>('[1]Qc, Winter, S2'!R4*Main!$B$5)</f>
        <v>20.055060221407349</v>
      </c>
      <c r="S4" s="2">
        <f>('[1]Qc, Winter, S2'!S4*Main!$B$5)</f>
        <v>27.334143877975752</v>
      </c>
      <c r="T4" s="2">
        <f>('[1]Qc, Winter, S2'!T4*Main!$B$5)</f>
        <v>27.294462991852804</v>
      </c>
      <c r="U4" s="2">
        <f>('[1]Qc, Winter, S2'!U4*Main!$B$5)</f>
        <v>26.461564358632174</v>
      </c>
      <c r="V4" s="2">
        <f>('[1]Qc, Winter, S2'!V4*Main!$B$5)</f>
        <v>24.492969136641868</v>
      </c>
      <c r="W4" s="2">
        <f>('[1]Qc, Winter, S2'!W4*Main!$B$5)</f>
        <v>21.782413378616287</v>
      </c>
      <c r="X4" s="2">
        <f>('[1]Qc, Winter, S2'!X4*Main!$B$5)</f>
        <v>17.766242561860707</v>
      </c>
      <c r="Y4" s="2">
        <f>('[1]Qc, Winter, S2'!Y4*Main!$B$5)</f>
        <v>13.630130636706845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-13.634036453681317</v>
      </c>
      <c r="C2" s="2">
        <f>('[1]Qc, Winter, S2'!C2*Main!$B$5)</f>
        <v>-14.818325351935487</v>
      </c>
      <c r="D2" s="2">
        <f>('[1]Qc, Winter, S2'!D2*Main!$B$5)</f>
        <v>-15.961382716536697</v>
      </c>
      <c r="E2" s="2">
        <f>('[1]Qc, Winter, S2'!E2*Main!$B$5)</f>
        <v>-15.845187942084499</v>
      </c>
      <c r="F2" s="2">
        <f>('[1]Qc, Winter, S2'!F2*Main!$B$5)</f>
        <v>-16.400486326785455</v>
      </c>
      <c r="G2" s="2">
        <f>('[1]Qc, Winter, S2'!G2*Main!$B$5)</f>
        <v>-14.599520055502056</v>
      </c>
      <c r="H2" s="2">
        <f>('[1]Qc, Winter, S2'!H2*Main!$B$5)</f>
        <v>-10.872052017627841</v>
      </c>
      <c r="I2" s="2">
        <f>('[1]Qc, Winter, S2'!I2*Main!$B$5)</f>
        <v>-4.4751529375691677</v>
      </c>
      <c r="J2" s="2">
        <f>('[1]Qc, Winter, S2'!J2*Main!$B$5)</f>
        <v>-1.3179068028187404</v>
      </c>
      <c r="K2" s="2">
        <f>('[1]Qc, Winter, S2'!K2*Main!$B$5)</f>
        <v>-0.20616458869881812</v>
      </c>
      <c r="L2" s="2">
        <f>('[1]Qc, Winter, S2'!L2*Main!$B$5)</f>
        <v>-1.8508281456927422</v>
      </c>
      <c r="M2" s="2">
        <f>('[1]Qc, Winter, S2'!M2*Main!$B$5)</f>
        <v>-1.3606929113596726</v>
      </c>
      <c r="N2" s="2">
        <f>('[1]Qc, Winter, S2'!N2*Main!$B$5)</f>
        <v>-1.8833841839843128</v>
      </c>
      <c r="O2" s="2">
        <f>('[1]Qc, Winter, S2'!O2*Main!$B$5)</f>
        <v>-1.8998989408711391</v>
      </c>
      <c r="P2" s="2">
        <f>('[1]Qc, Winter, S2'!P2*Main!$B$5)</f>
        <v>-4.8029981827627566</v>
      </c>
      <c r="Q2" s="2">
        <f>('[1]Qc, Winter, S2'!Q2*Main!$B$5)</f>
        <v>-6.9170735724276575</v>
      </c>
      <c r="R2" s="2">
        <f>('[1]Qc, Winter, S2'!R2*Main!$B$5)</f>
        <v>-6.1514736322799468</v>
      </c>
      <c r="S2" s="2">
        <f>('[1]Qc, Winter, S2'!S2*Main!$B$5)</f>
        <v>-2.0998225545533766</v>
      </c>
      <c r="T2" s="2">
        <f>('[1]Qc, Winter, S2'!T2*Main!$B$5)</f>
        <v>-3.0544888603029454</v>
      </c>
      <c r="U2" s="2">
        <f>('[1]Qc, Winter, S2'!U2*Main!$B$5)</f>
        <v>-3.8396384768692959</v>
      </c>
      <c r="V2" s="2">
        <f>('[1]Qc, Winter, S2'!V2*Main!$B$5)</f>
        <v>-6.0313916156778999</v>
      </c>
      <c r="W2" s="2">
        <f>('[1]Qc, Winter, S2'!W2*Main!$B$5)</f>
        <v>-7.8291380102409134</v>
      </c>
      <c r="X2" s="2">
        <f>('[1]Qc, Winter, S2'!X2*Main!$B$5)</f>
        <v>-10.503853486032332</v>
      </c>
      <c r="Y2" s="2">
        <f>('[1]Qc, Winter, S2'!Y2*Main!$B$5)</f>
        <v>-11.822980631316076</v>
      </c>
    </row>
    <row r="3" spans="1:25" x14ac:dyDescent="0.3">
      <c r="A3">
        <v>2</v>
      </c>
      <c r="B3" s="2">
        <f>('[1]Qc, Winter, S2'!B3*Main!$B$5)</f>
        <v>15.4465748794159</v>
      </c>
      <c r="C3" s="2">
        <f>('[1]Qc, Winter, S2'!C3*Main!$B$5)</f>
        <v>19.133900714583028</v>
      </c>
      <c r="D3" s="2">
        <f>('[1]Qc, Winter, S2'!D3*Main!$B$5)</f>
        <v>19.133900714583028</v>
      </c>
      <c r="E3" s="2">
        <f>('[1]Qc, Winter, S2'!E3*Main!$B$5)</f>
        <v>19.133900714583028</v>
      </c>
      <c r="F3" s="2">
        <f>('[1]Qc, Winter, S2'!F3*Main!$B$5)</f>
        <v>19.133900714583028</v>
      </c>
      <c r="G3" s="2">
        <f>('[1]Qc, Winter, S2'!G3*Main!$B$5)</f>
        <v>15.503305029591781</v>
      </c>
      <c r="H3" s="2">
        <f>('[1]Qc, Winter, S2'!H3*Main!$B$5)</f>
        <v>7.0319151298859737</v>
      </c>
      <c r="I3" s="2">
        <f>('[1]Qc, Winter, S2'!I3*Main!$B$5)</f>
        <v>0.90528618841541653</v>
      </c>
      <c r="J3" s="2">
        <f>('[1]Qc, Winter, S2'!J3*Main!$B$5)</f>
        <v>-5.2969748510646912</v>
      </c>
      <c r="K3" s="2">
        <f>('[1]Qc, Winter, S2'!K3*Main!$B$5)</f>
        <v>-5.2969748510646912</v>
      </c>
      <c r="L3" s="2">
        <f>('[1]Qc, Winter, S2'!L3*Main!$B$5)</f>
        <v>-0.45618060440969277</v>
      </c>
      <c r="M3" s="2">
        <f>('[1]Qc, Winter, S2'!M3*Main!$B$5)</f>
        <v>-5.5238954517682108</v>
      </c>
      <c r="N3" s="2">
        <f>('[1]Qc, Winter, S2'!N3*Main!$B$5)</f>
        <v>-5.5238954517682108</v>
      </c>
      <c r="O3" s="2">
        <f>('[1]Qc, Winter, S2'!O3*Main!$B$5)</f>
        <v>-4.2758767899872074</v>
      </c>
      <c r="P3" s="2">
        <f>('[1]Qc, Winter, S2'!P3*Main!$B$5)</f>
        <v>-0.53182080464419934</v>
      </c>
      <c r="Q3" s="2">
        <f>('[1]Qc, Winter, S2'!Q3*Main!$B$5)</f>
        <v>3.2122230113911558</v>
      </c>
      <c r="R3" s="2">
        <f>('[1]Qc, Winter, S2'!R3*Main!$B$5)</f>
        <v>4.4602376167362747</v>
      </c>
      <c r="S3" s="2">
        <f>('[1]Qc, Winter, S2'!S3*Main!$B$5)</f>
        <v>4.4602376167362747</v>
      </c>
      <c r="T3" s="2">
        <f>('[1]Qc, Winter, S2'!T3*Main!$B$5)</f>
        <v>4.4602376167362747</v>
      </c>
      <c r="U3" s="2">
        <f>('[1]Qc, Winter, S2'!U3*Main!$B$5)</f>
        <v>4.4602376167362747</v>
      </c>
      <c r="V3" s="2">
        <f>('[1]Qc, Winter, S2'!V3*Main!$B$5)</f>
        <v>4.4602376167362747</v>
      </c>
      <c r="W3" s="2">
        <f>('[1]Qc, Winter, S2'!W3*Main!$B$5)</f>
        <v>9.3010318208040186</v>
      </c>
      <c r="X3" s="2">
        <f>('[1]Qc, Winter, S2'!X3*Main!$B$5)</f>
        <v>14.217466267693524</v>
      </c>
      <c r="Y3" s="2">
        <f>('[1]Qc, Winter, S2'!Y3*Main!$B$5)</f>
        <v>14.217466267693524</v>
      </c>
    </row>
    <row r="4" spans="1:25" x14ac:dyDescent="0.3">
      <c r="A4">
        <v>3</v>
      </c>
      <c r="B4" s="2">
        <f>('[1]Qc, Winter, S2'!B4*Main!$B$5)</f>
        <v>10.481250509655734</v>
      </c>
      <c r="C4" s="2">
        <f>('[1]Qc, Winter, S2'!C4*Main!$B$5)</f>
        <v>8.0849487221778347</v>
      </c>
      <c r="D4" s="2">
        <f>('[1]Qc, Winter, S2'!D4*Main!$B$5)</f>
        <v>6.9211298596150357</v>
      </c>
      <c r="E4" s="2">
        <f>('[1]Qc, Winter, S2'!E4*Main!$B$5)</f>
        <v>6.7727855256125382</v>
      </c>
      <c r="F4" s="2">
        <f>('[1]Qc, Winter, S2'!F4*Main!$B$5)</f>
        <v>7.6976823340373146</v>
      </c>
      <c r="G4" s="2">
        <f>('[1]Qc, Winter, S2'!G4*Main!$B$5)</f>
        <v>9.5577333091314411</v>
      </c>
      <c r="H4" s="2">
        <f>('[1]Qc, Winter, S2'!H4*Main!$B$5)</f>
        <v>14.828901565617567</v>
      </c>
      <c r="I4" s="2">
        <f>('[1]Qc, Winter, S2'!I4*Main!$B$5)</f>
        <v>18.103251407780043</v>
      </c>
      <c r="J4" s="2">
        <f>('[1]Qc, Winter, S2'!J4*Main!$B$5)</f>
        <v>20.915742814506277</v>
      </c>
      <c r="K4" s="2">
        <f>('[1]Qc, Winter, S2'!K4*Main!$B$5)</f>
        <v>23.032081598771274</v>
      </c>
      <c r="L4" s="2">
        <f>('[1]Qc, Winter, S2'!L4*Main!$B$5)</f>
        <v>23.226454706313771</v>
      </c>
      <c r="M4" s="2">
        <f>('[1]Qc, Winter, S2'!M4*Main!$B$5)</f>
        <v>22.809985571780764</v>
      </c>
      <c r="N4" s="2">
        <f>('[1]Qc, Winter, S2'!N4*Main!$B$5)</f>
        <v>22.907132117779351</v>
      </c>
      <c r="O4" s="2">
        <f>('[1]Qc, Winter, S2'!O4*Main!$B$5)</f>
        <v>22.673378006681737</v>
      </c>
      <c r="P4" s="2">
        <f>('[1]Qc, Winter, S2'!P4*Main!$B$5)</f>
        <v>20.454004126001688</v>
      </c>
      <c r="Q4" s="2">
        <f>('[1]Qc, Winter, S2'!Q4*Main!$B$5)</f>
        <v>19.433140596528776</v>
      </c>
      <c r="R4" s="2">
        <f>('[1]Qc, Winter, S2'!R4*Main!$B$5)</f>
        <v>20.055060221407349</v>
      </c>
      <c r="S4" s="2">
        <f>('[1]Qc, Winter, S2'!S4*Main!$B$5)</f>
        <v>27.334143877975752</v>
      </c>
      <c r="T4" s="2">
        <f>('[1]Qc, Winter, S2'!T4*Main!$B$5)</f>
        <v>27.294462991852804</v>
      </c>
      <c r="U4" s="2">
        <f>('[1]Qc, Winter, S2'!U4*Main!$B$5)</f>
        <v>26.461564358632174</v>
      </c>
      <c r="V4" s="2">
        <f>('[1]Qc, Winter, S2'!V4*Main!$B$5)</f>
        <v>24.492969136641868</v>
      </c>
      <c r="W4" s="2">
        <f>('[1]Qc, Winter, S2'!W4*Main!$B$5)</f>
        <v>21.782413378616287</v>
      </c>
      <c r="X4" s="2">
        <f>('[1]Qc, Winter, S2'!X4*Main!$B$5)</f>
        <v>17.766242561860707</v>
      </c>
      <c r="Y4" s="2">
        <f>('[1]Qc, Winter, S2'!Y4*Main!$B$5)</f>
        <v>13.630130636706845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-12.97219002389096</v>
      </c>
      <c r="C2" s="2">
        <f>('[1]Qc, Winter, S3'!C2*Main!$B$5)</f>
        <v>-14.098989169802694</v>
      </c>
      <c r="D2" s="2">
        <f>('[1]Qc, Winter, S3'!D2*Main!$B$5)</f>
        <v>-15.186558312821322</v>
      </c>
      <c r="E2" s="2">
        <f>('[1]Qc, Winter, S3'!E2*Main!$B$5)</f>
        <v>-15.076004061400784</v>
      </c>
      <c r="F2" s="2">
        <f>('[1]Qc, Winter, S3'!F2*Main!$B$5)</f>
        <v>-15.604346213834701</v>
      </c>
      <c r="G2" s="2">
        <f>('[1]Qc, Winter, S3'!G2*Main!$B$5)</f>
        <v>-13.890805489700986</v>
      </c>
      <c r="H2" s="2">
        <f>('[1]Qc, Winter, S3'!H2*Main!$B$5)</f>
        <v>-10.344282502209012</v>
      </c>
      <c r="I2" s="2">
        <f>('[1]Qc, Winter, S3'!I2*Main!$B$5)</f>
        <v>-4.2579125037065868</v>
      </c>
      <c r="J2" s="2">
        <f>('[1]Qc, Winter, S3'!J2*Main!$B$5)</f>
        <v>-1.2539307444294812</v>
      </c>
      <c r="K2" s="2">
        <f>('[1]Qc, Winter, S3'!K2*Main!$B$5)</f>
        <v>-0.19615659895615706</v>
      </c>
      <c r="L2" s="2">
        <f>('[1]Qc, Winter, S3'!L2*Main!$B$5)</f>
        <v>-1.7609821192028032</v>
      </c>
      <c r="M2" s="2">
        <f>('[1]Qc, Winter, S3'!M2*Main!$B$5)</f>
        <v>-1.2946398574101738</v>
      </c>
      <c r="N2" s="2">
        <f>('[1]Qc, Winter, S3'!N2*Main!$B$5)</f>
        <v>-1.7919577672860449</v>
      </c>
      <c r="O2" s="2">
        <f>('[1]Qc, Winter, S3'!O2*Main!$B$5)</f>
        <v>-1.8076708369453554</v>
      </c>
      <c r="P2" s="2">
        <f>('[1]Qc, Winter, S3'!P2*Main!$B$5)</f>
        <v>-4.5698429311723316</v>
      </c>
      <c r="Q2" s="2">
        <f>('[1]Qc, Winter, S3'!Q2*Main!$B$5)</f>
        <v>-6.5812933019214599</v>
      </c>
      <c r="R2" s="2">
        <f>('[1]Qc, Winter, S3'!R2*Main!$B$5)</f>
        <v>-5.852858407411988</v>
      </c>
      <c r="S2" s="2">
        <f>('[1]Qc, Winter, S3'!S2*Main!$B$5)</f>
        <v>-1.9978894208371931</v>
      </c>
      <c r="T2" s="2">
        <f>('[1]Qc, Winter, S3'!T2*Main!$B$5)</f>
        <v>-2.9062127020358122</v>
      </c>
      <c r="U2" s="2">
        <f>('[1]Qc, Winter, S3'!U2*Main!$B$5)</f>
        <v>-3.6532482595455442</v>
      </c>
      <c r="V2" s="2">
        <f>('[1]Qc, Winter, S3'!V2*Main!$B$5)</f>
        <v>-5.7386056149168372</v>
      </c>
      <c r="W2" s="2">
        <f>('[1]Qc, Winter, S3'!W2*Main!$B$5)</f>
        <v>-7.4490827670253346</v>
      </c>
      <c r="X2" s="2">
        <f>('[1]Qc, Winter, S3'!X2*Main!$B$5)</f>
        <v>-9.9939576857394972</v>
      </c>
      <c r="Y2" s="2">
        <f>('[1]Qc, Winter, S3'!Y2*Main!$B$5)</f>
        <v>-11.249049532708501</v>
      </c>
    </row>
    <row r="3" spans="1:25" x14ac:dyDescent="0.3">
      <c r="A3">
        <v>2</v>
      </c>
      <c r="B3" s="2">
        <f>('[1]Qc, Winter, S3'!B3*Main!$B$5)</f>
        <v>14.696741147405421</v>
      </c>
      <c r="C3" s="2">
        <f>('[1]Qc, Winter, S3'!C3*Main!$B$5)</f>
        <v>18.205070582807149</v>
      </c>
      <c r="D3" s="2">
        <f>('[1]Qc, Winter, S3'!D3*Main!$B$5)</f>
        <v>18.205070582807149</v>
      </c>
      <c r="E3" s="2">
        <f>('[1]Qc, Winter, S3'!E3*Main!$B$5)</f>
        <v>18.205070582807149</v>
      </c>
      <c r="F3" s="2">
        <f>('[1]Qc, Winter, S3'!F3*Main!$B$5)</f>
        <v>18.205070582807149</v>
      </c>
      <c r="G3" s="2">
        <f>('[1]Qc, Winter, S3'!G3*Main!$B$5)</f>
        <v>14.750717406796062</v>
      </c>
      <c r="H3" s="2">
        <f>('[1]Qc, Winter, S3'!H3*Main!$B$5)</f>
        <v>6.6905600264934515</v>
      </c>
      <c r="I3" s="2">
        <f>('[1]Qc, Winter, S3'!I3*Main!$B$5)</f>
        <v>0.8613402569389399</v>
      </c>
      <c r="J3" s="2">
        <f>('[1]Qc, Winter, S3'!J3*Main!$B$5)</f>
        <v>-5.0398401495566976</v>
      </c>
      <c r="K3" s="2">
        <f>('[1]Qc, Winter, S3'!K3*Main!$B$5)</f>
        <v>-5.0398401495566976</v>
      </c>
      <c r="L3" s="2">
        <f>('[1]Qc, Winter, S3'!L3*Main!$B$5)</f>
        <v>-0.43403591487524168</v>
      </c>
      <c r="M3" s="2">
        <f>('[1]Qc, Winter, S3'!M3*Main!$B$5)</f>
        <v>-5.2557451871192677</v>
      </c>
      <c r="N3" s="2">
        <f>('[1]Qc, Winter, S3'!N3*Main!$B$5)</f>
        <v>-5.2557451871192677</v>
      </c>
      <c r="O3" s="2">
        <f>('[1]Qc, Winter, S3'!O3*Main!$B$5)</f>
        <v>-4.0683099555218085</v>
      </c>
      <c r="P3" s="2">
        <f>('[1]Qc, Winter, S3'!P3*Main!$B$5)</f>
        <v>-0.50600426072943239</v>
      </c>
      <c r="Q3" s="2">
        <f>('[1]Qc, Winter, S3'!Q3*Main!$B$5)</f>
        <v>3.0562898554983811</v>
      </c>
      <c r="R3" s="2">
        <f>('[1]Qc, Winter, S3'!R3*Main!$B$5)</f>
        <v>4.2437212275743192</v>
      </c>
      <c r="S3" s="2">
        <f>('[1]Qc, Winter, S3'!S3*Main!$B$5)</f>
        <v>4.2437212275743192</v>
      </c>
      <c r="T3" s="2">
        <f>('[1]Qc, Winter, S3'!T3*Main!$B$5)</f>
        <v>4.2437212275743192</v>
      </c>
      <c r="U3" s="2">
        <f>('[1]Qc, Winter, S3'!U3*Main!$B$5)</f>
        <v>4.2437212275743192</v>
      </c>
      <c r="V3" s="2">
        <f>('[1]Qc, Winter, S3'!V3*Main!$B$5)</f>
        <v>4.2437212275743192</v>
      </c>
      <c r="W3" s="2">
        <f>('[1]Qc, Winter, S3'!W3*Main!$B$5)</f>
        <v>8.8495254217358621</v>
      </c>
      <c r="X3" s="2">
        <f>('[1]Qc, Winter, S3'!X3*Main!$B$5)</f>
        <v>13.527298002271509</v>
      </c>
      <c r="Y3" s="2">
        <f>('[1]Qc, Winter, S3'!Y3*Main!$B$5)</f>
        <v>13.527298002271509</v>
      </c>
    </row>
    <row r="4" spans="1:25" x14ac:dyDescent="0.3">
      <c r="A4">
        <v>3</v>
      </c>
      <c r="B4" s="2">
        <f>('[1]Qc, Winter, S3'!B4*Main!$B$5)</f>
        <v>9.9724519412258417</v>
      </c>
      <c r="C4" s="2">
        <f>('[1]Qc, Winter, S3'!C4*Main!$B$5)</f>
        <v>7.6924754832371649</v>
      </c>
      <c r="D4" s="2">
        <f>('[1]Qc, Winter, S3'!D4*Main!$B$5)</f>
        <v>6.5851526819638204</v>
      </c>
      <c r="E4" s="2">
        <f>('[1]Qc, Winter, S3'!E4*Main!$B$5)</f>
        <v>6.4440095292235799</v>
      </c>
      <c r="F4" s="2">
        <f>('[1]Qc, Winter, S3'!F4*Main!$B$5)</f>
        <v>7.3240084343267657</v>
      </c>
      <c r="G4" s="2">
        <f>('[1]Qc, Winter, S3'!G4*Main!$B$5)</f>
        <v>9.0937656727658371</v>
      </c>
      <c r="H4" s="2">
        <f>('[1]Qc, Winter, S3'!H4*Main!$B$5)</f>
        <v>14.109051975053605</v>
      </c>
      <c r="I4" s="2">
        <f>('[1]Qc, Winter, S3'!I4*Main!$B$5)</f>
        <v>17.224452795751887</v>
      </c>
      <c r="J4" s="2">
        <f>('[1]Qc, Winter, S3'!J4*Main!$B$5)</f>
        <v>19.900415493413739</v>
      </c>
      <c r="K4" s="2">
        <f>('[1]Qc, Winter, S3'!K4*Main!$B$5)</f>
        <v>21.914019385238685</v>
      </c>
      <c r="L4" s="2">
        <f>('[1]Qc, Winter, S3'!L4*Main!$B$5)</f>
        <v>22.098956905036403</v>
      </c>
      <c r="M4" s="2">
        <f>('[1]Qc, Winter, S3'!M4*Main!$B$5)</f>
        <v>21.702704718781696</v>
      </c>
      <c r="N4" s="2">
        <f>('[1]Qc, Winter, S3'!N4*Main!$B$5)</f>
        <v>21.795135413032781</v>
      </c>
      <c r="O4" s="2">
        <f>('[1]Qc, Winter, S3'!O4*Main!$B$5)</f>
        <v>21.572728588881656</v>
      </c>
      <c r="P4" s="2">
        <f>('[1]Qc, Winter, S3'!P4*Main!$B$5)</f>
        <v>19.461091304351118</v>
      </c>
      <c r="Q4" s="2">
        <f>('[1]Qc, Winter, S3'!Q4*Main!$B$5)</f>
        <v>18.489784256891458</v>
      </c>
      <c r="R4" s="2">
        <f>('[1]Qc, Winter, S3'!R4*Main!$B$5)</f>
        <v>19.081513608717671</v>
      </c>
      <c r="S4" s="2">
        <f>('[1]Qc, Winter, S3'!S4*Main!$B$5)</f>
        <v>26.007243689724504</v>
      </c>
      <c r="T4" s="2">
        <f>('[1]Qc, Winter, S3'!T4*Main!$B$5)</f>
        <v>25.969489060209465</v>
      </c>
      <c r="U4" s="2">
        <f>('[1]Qc, Winter, S3'!U4*Main!$B$5)</f>
        <v>25.17702239947527</v>
      </c>
      <c r="V4" s="2">
        <f>('[1]Qc, Winter, S3'!V4*Main!$B$5)</f>
        <v>23.303990052338865</v>
      </c>
      <c r="W4" s="2">
        <f>('[1]Qc, Winter, S3'!W4*Main!$B$5)</f>
        <v>20.725014670916472</v>
      </c>
      <c r="X4" s="2">
        <f>('[1]Qc, Winter, S3'!X4*Main!$B$5)</f>
        <v>16.903803602547079</v>
      </c>
      <c r="Y4" s="2">
        <f>('[1]Qc, Winter, S3'!Y4*Main!$B$5)</f>
        <v>12.968473809682237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-12.97219002389096</v>
      </c>
      <c r="C2" s="2">
        <f>('[1]Qc, Winter, S3'!C2*Main!$B$5)</f>
        <v>-14.098989169802694</v>
      </c>
      <c r="D2" s="2">
        <f>('[1]Qc, Winter, S3'!D2*Main!$B$5)</f>
        <v>-15.186558312821322</v>
      </c>
      <c r="E2" s="2">
        <f>('[1]Qc, Winter, S3'!E2*Main!$B$5)</f>
        <v>-15.076004061400784</v>
      </c>
      <c r="F2" s="2">
        <f>('[1]Qc, Winter, S3'!F2*Main!$B$5)</f>
        <v>-15.604346213834701</v>
      </c>
      <c r="G2" s="2">
        <f>('[1]Qc, Winter, S3'!G2*Main!$B$5)</f>
        <v>-13.890805489700986</v>
      </c>
      <c r="H2" s="2">
        <f>('[1]Qc, Winter, S3'!H2*Main!$B$5)</f>
        <v>-10.344282502209012</v>
      </c>
      <c r="I2" s="2">
        <f>('[1]Qc, Winter, S3'!I2*Main!$B$5)</f>
        <v>-4.2579125037065868</v>
      </c>
      <c r="J2" s="2">
        <f>('[1]Qc, Winter, S3'!J2*Main!$B$5)</f>
        <v>-1.2539307444294812</v>
      </c>
      <c r="K2" s="2">
        <f>('[1]Qc, Winter, S3'!K2*Main!$B$5)</f>
        <v>-0.19615659895615706</v>
      </c>
      <c r="L2" s="2">
        <f>('[1]Qc, Winter, S3'!L2*Main!$B$5)</f>
        <v>-1.7609821192028032</v>
      </c>
      <c r="M2" s="2">
        <f>('[1]Qc, Winter, S3'!M2*Main!$B$5)</f>
        <v>-1.2946398574101738</v>
      </c>
      <c r="N2" s="2">
        <f>('[1]Qc, Winter, S3'!N2*Main!$B$5)</f>
        <v>-1.7919577672860449</v>
      </c>
      <c r="O2" s="2">
        <f>('[1]Qc, Winter, S3'!O2*Main!$B$5)</f>
        <v>-1.8076708369453554</v>
      </c>
      <c r="P2" s="2">
        <f>('[1]Qc, Winter, S3'!P2*Main!$B$5)</f>
        <v>-4.5698429311723316</v>
      </c>
      <c r="Q2" s="2">
        <f>('[1]Qc, Winter, S3'!Q2*Main!$B$5)</f>
        <v>-6.5812933019214599</v>
      </c>
      <c r="R2" s="2">
        <f>('[1]Qc, Winter, S3'!R2*Main!$B$5)</f>
        <v>-5.852858407411988</v>
      </c>
      <c r="S2" s="2">
        <f>('[1]Qc, Winter, S3'!S2*Main!$B$5)</f>
        <v>-1.9978894208371931</v>
      </c>
      <c r="T2" s="2">
        <f>('[1]Qc, Winter, S3'!T2*Main!$B$5)</f>
        <v>-2.9062127020358122</v>
      </c>
      <c r="U2" s="2">
        <f>('[1]Qc, Winter, S3'!U2*Main!$B$5)</f>
        <v>-3.6532482595455442</v>
      </c>
      <c r="V2" s="2">
        <f>('[1]Qc, Winter, S3'!V2*Main!$B$5)</f>
        <v>-5.7386056149168372</v>
      </c>
      <c r="W2" s="2">
        <f>('[1]Qc, Winter, S3'!W2*Main!$B$5)</f>
        <v>-7.4490827670253346</v>
      </c>
      <c r="X2" s="2">
        <f>('[1]Qc, Winter, S3'!X2*Main!$B$5)</f>
        <v>-9.9939576857394972</v>
      </c>
      <c r="Y2" s="2">
        <f>('[1]Qc, Winter, S3'!Y2*Main!$B$5)</f>
        <v>-11.249049532708501</v>
      </c>
    </row>
    <row r="3" spans="1:25" x14ac:dyDescent="0.3">
      <c r="A3">
        <v>2</v>
      </c>
      <c r="B3" s="2">
        <f>('[1]Qc, Winter, S3'!B3*Main!$B$5)</f>
        <v>14.696741147405421</v>
      </c>
      <c r="C3" s="2">
        <f>('[1]Qc, Winter, S3'!C3*Main!$B$5)</f>
        <v>18.205070582807149</v>
      </c>
      <c r="D3" s="2">
        <f>('[1]Qc, Winter, S3'!D3*Main!$B$5)</f>
        <v>18.205070582807149</v>
      </c>
      <c r="E3" s="2">
        <f>('[1]Qc, Winter, S3'!E3*Main!$B$5)</f>
        <v>18.205070582807149</v>
      </c>
      <c r="F3" s="2">
        <f>('[1]Qc, Winter, S3'!F3*Main!$B$5)</f>
        <v>18.205070582807149</v>
      </c>
      <c r="G3" s="2">
        <f>('[1]Qc, Winter, S3'!G3*Main!$B$5)</f>
        <v>14.750717406796062</v>
      </c>
      <c r="H3" s="2">
        <f>('[1]Qc, Winter, S3'!H3*Main!$B$5)</f>
        <v>6.6905600264934515</v>
      </c>
      <c r="I3" s="2">
        <f>('[1]Qc, Winter, S3'!I3*Main!$B$5)</f>
        <v>0.8613402569389399</v>
      </c>
      <c r="J3" s="2">
        <f>('[1]Qc, Winter, S3'!J3*Main!$B$5)</f>
        <v>-5.0398401495566976</v>
      </c>
      <c r="K3" s="2">
        <f>('[1]Qc, Winter, S3'!K3*Main!$B$5)</f>
        <v>-5.0398401495566976</v>
      </c>
      <c r="L3" s="2">
        <f>('[1]Qc, Winter, S3'!L3*Main!$B$5)</f>
        <v>-0.43403591487524168</v>
      </c>
      <c r="M3" s="2">
        <f>('[1]Qc, Winter, S3'!M3*Main!$B$5)</f>
        <v>-5.2557451871192677</v>
      </c>
      <c r="N3" s="2">
        <f>('[1]Qc, Winter, S3'!N3*Main!$B$5)</f>
        <v>-5.2557451871192677</v>
      </c>
      <c r="O3" s="2">
        <f>('[1]Qc, Winter, S3'!O3*Main!$B$5)</f>
        <v>-4.0683099555218085</v>
      </c>
      <c r="P3" s="2">
        <f>('[1]Qc, Winter, S3'!P3*Main!$B$5)</f>
        <v>-0.50600426072943239</v>
      </c>
      <c r="Q3" s="2">
        <f>('[1]Qc, Winter, S3'!Q3*Main!$B$5)</f>
        <v>3.0562898554983811</v>
      </c>
      <c r="R3" s="2">
        <f>('[1]Qc, Winter, S3'!R3*Main!$B$5)</f>
        <v>4.2437212275743192</v>
      </c>
      <c r="S3" s="2">
        <f>('[1]Qc, Winter, S3'!S3*Main!$B$5)</f>
        <v>4.2437212275743192</v>
      </c>
      <c r="T3" s="2">
        <f>('[1]Qc, Winter, S3'!T3*Main!$B$5)</f>
        <v>4.2437212275743192</v>
      </c>
      <c r="U3" s="2">
        <f>('[1]Qc, Winter, S3'!U3*Main!$B$5)</f>
        <v>4.2437212275743192</v>
      </c>
      <c r="V3" s="2">
        <f>('[1]Qc, Winter, S3'!V3*Main!$B$5)</f>
        <v>4.2437212275743192</v>
      </c>
      <c r="W3" s="2">
        <f>('[1]Qc, Winter, S3'!W3*Main!$B$5)</f>
        <v>8.8495254217358621</v>
      </c>
      <c r="X3" s="2">
        <f>('[1]Qc, Winter, S3'!X3*Main!$B$5)</f>
        <v>13.527298002271509</v>
      </c>
      <c r="Y3" s="2">
        <f>('[1]Qc, Winter, S3'!Y3*Main!$B$5)</f>
        <v>13.527298002271509</v>
      </c>
    </row>
    <row r="4" spans="1:25" x14ac:dyDescent="0.3">
      <c r="A4">
        <v>3</v>
      </c>
      <c r="B4" s="2">
        <f>('[1]Qc, Winter, S3'!B4*Main!$B$5)</f>
        <v>9.9724519412258417</v>
      </c>
      <c r="C4" s="2">
        <f>('[1]Qc, Winter, S3'!C4*Main!$B$5)</f>
        <v>7.6924754832371649</v>
      </c>
      <c r="D4" s="2">
        <f>('[1]Qc, Winter, S3'!D4*Main!$B$5)</f>
        <v>6.5851526819638204</v>
      </c>
      <c r="E4" s="2">
        <f>('[1]Qc, Winter, S3'!E4*Main!$B$5)</f>
        <v>6.4440095292235799</v>
      </c>
      <c r="F4" s="2">
        <f>('[1]Qc, Winter, S3'!F4*Main!$B$5)</f>
        <v>7.3240084343267657</v>
      </c>
      <c r="G4" s="2">
        <f>('[1]Qc, Winter, S3'!G4*Main!$B$5)</f>
        <v>9.0937656727658371</v>
      </c>
      <c r="H4" s="2">
        <f>('[1]Qc, Winter, S3'!H4*Main!$B$5)</f>
        <v>14.109051975053605</v>
      </c>
      <c r="I4" s="2">
        <f>('[1]Qc, Winter, S3'!I4*Main!$B$5)</f>
        <v>17.224452795751887</v>
      </c>
      <c r="J4" s="2">
        <f>('[1]Qc, Winter, S3'!J4*Main!$B$5)</f>
        <v>19.900415493413739</v>
      </c>
      <c r="K4" s="2">
        <f>('[1]Qc, Winter, S3'!K4*Main!$B$5)</f>
        <v>21.914019385238685</v>
      </c>
      <c r="L4" s="2">
        <f>('[1]Qc, Winter, S3'!L4*Main!$B$5)</f>
        <v>22.098956905036403</v>
      </c>
      <c r="M4" s="2">
        <f>('[1]Qc, Winter, S3'!M4*Main!$B$5)</f>
        <v>21.702704718781696</v>
      </c>
      <c r="N4" s="2">
        <f>('[1]Qc, Winter, S3'!N4*Main!$B$5)</f>
        <v>21.795135413032781</v>
      </c>
      <c r="O4" s="2">
        <f>('[1]Qc, Winter, S3'!O4*Main!$B$5)</f>
        <v>21.572728588881656</v>
      </c>
      <c r="P4" s="2">
        <f>('[1]Qc, Winter, S3'!P4*Main!$B$5)</f>
        <v>19.461091304351118</v>
      </c>
      <c r="Q4" s="2">
        <f>('[1]Qc, Winter, S3'!Q4*Main!$B$5)</f>
        <v>18.489784256891458</v>
      </c>
      <c r="R4" s="2">
        <f>('[1]Qc, Winter, S3'!R4*Main!$B$5)</f>
        <v>19.081513608717671</v>
      </c>
      <c r="S4" s="2">
        <f>('[1]Qc, Winter, S3'!S4*Main!$B$5)</f>
        <v>26.007243689724504</v>
      </c>
      <c r="T4" s="2">
        <f>('[1]Qc, Winter, S3'!T4*Main!$B$5)</f>
        <v>25.969489060209465</v>
      </c>
      <c r="U4" s="2">
        <f>('[1]Qc, Winter, S3'!U4*Main!$B$5)</f>
        <v>25.17702239947527</v>
      </c>
      <c r="V4" s="2">
        <f>('[1]Qc, Winter, S3'!V4*Main!$B$5)</f>
        <v>23.303990052338865</v>
      </c>
      <c r="W4" s="2">
        <f>('[1]Qc, Winter, S3'!W4*Main!$B$5)</f>
        <v>20.725014670916472</v>
      </c>
      <c r="X4" s="2">
        <f>('[1]Qc, Winter, S3'!X4*Main!$B$5)</f>
        <v>16.903803602547079</v>
      </c>
      <c r="Y4" s="2">
        <f>('[1]Qc, Winter, S3'!Y4*Main!$B$5)</f>
        <v>12.968473809682237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-12.97219002389096</v>
      </c>
      <c r="C2" s="2">
        <f>('[1]Qc, Winter, S3'!C2*Main!$B$5)</f>
        <v>-14.098989169802694</v>
      </c>
      <c r="D2" s="2">
        <f>('[1]Qc, Winter, S3'!D2*Main!$B$5)</f>
        <v>-15.186558312821322</v>
      </c>
      <c r="E2" s="2">
        <f>('[1]Qc, Winter, S3'!E2*Main!$B$5)</f>
        <v>-15.076004061400784</v>
      </c>
      <c r="F2" s="2">
        <f>('[1]Qc, Winter, S3'!F2*Main!$B$5)</f>
        <v>-15.604346213834701</v>
      </c>
      <c r="G2" s="2">
        <f>('[1]Qc, Winter, S3'!G2*Main!$B$5)</f>
        <v>-13.890805489700986</v>
      </c>
      <c r="H2" s="2">
        <f>('[1]Qc, Winter, S3'!H2*Main!$B$5)</f>
        <v>-10.344282502209012</v>
      </c>
      <c r="I2" s="2">
        <f>('[1]Qc, Winter, S3'!I2*Main!$B$5)</f>
        <v>-4.2579125037065868</v>
      </c>
      <c r="J2" s="2">
        <f>('[1]Qc, Winter, S3'!J2*Main!$B$5)</f>
        <v>-1.2539307444294812</v>
      </c>
      <c r="K2" s="2">
        <f>('[1]Qc, Winter, S3'!K2*Main!$B$5)</f>
        <v>-0.19615659895615706</v>
      </c>
      <c r="L2" s="2">
        <f>('[1]Qc, Winter, S3'!L2*Main!$B$5)</f>
        <v>-1.7609821192028032</v>
      </c>
      <c r="M2" s="2">
        <f>('[1]Qc, Winter, S3'!M2*Main!$B$5)</f>
        <v>-1.2946398574101738</v>
      </c>
      <c r="N2" s="2">
        <f>('[1]Qc, Winter, S3'!N2*Main!$B$5)</f>
        <v>-1.7919577672860449</v>
      </c>
      <c r="O2" s="2">
        <f>('[1]Qc, Winter, S3'!O2*Main!$B$5)</f>
        <v>-1.8076708369453554</v>
      </c>
      <c r="P2" s="2">
        <f>('[1]Qc, Winter, S3'!P2*Main!$B$5)</f>
        <v>-4.5698429311723316</v>
      </c>
      <c r="Q2" s="2">
        <f>('[1]Qc, Winter, S3'!Q2*Main!$B$5)</f>
        <v>-6.5812933019214599</v>
      </c>
      <c r="R2" s="2">
        <f>('[1]Qc, Winter, S3'!R2*Main!$B$5)</f>
        <v>-5.852858407411988</v>
      </c>
      <c r="S2" s="2">
        <f>('[1]Qc, Winter, S3'!S2*Main!$B$5)</f>
        <v>-1.9978894208371931</v>
      </c>
      <c r="T2" s="2">
        <f>('[1]Qc, Winter, S3'!T2*Main!$B$5)</f>
        <v>-2.9062127020358122</v>
      </c>
      <c r="U2" s="2">
        <f>('[1]Qc, Winter, S3'!U2*Main!$B$5)</f>
        <v>-3.6532482595455442</v>
      </c>
      <c r="V2" s="2">
        <f>('[1]Qc, Winter, S3'!V2*Main!$B$5)</f>
        <v>-5.7386056149168372</v>
      </c>
      <c r="W2" s="2">
        <f>('[1]Qc, Winter, S3'!W2*Main!$B$5)</f>
        <v>-7.4490827670253346</v>
      </c>
      <c r="X2" s="2">
        <f>('[1]Qc, Winter, S3'!X2*Main!$B$5)</f>
        <v>-9.9939576857394972</v>
      </c>
      <c r="Y2" s="2">
        <f>('[1]Qc, Winter, S3'!Y2*Main!$B$5)</f>
        <v>-11.249049532708501</v>
      </c>
    </row>
    <row r="3" spans="1:25" x14ac:dyDescent="0.3">
      <c r="A3">
        <v>2</v>
      </c>
      <c r="B3" s="2">
        <f>('[1]Qc, Winter, S3'!B3*Main!$B$5)</f>
        <v>14.696741147405421</v>
      </c>
      <c r="C3" s="2">
        <f>('[1]Qc, Winter, S3'!C3*Main!$B$5)</f>
        <v>18.205070582807149</v>
      </c>
      <c r="D3" s="2">
        <f>('[1]Qc, Winter, S3'!D3*Main!$B$5)</f>
        <v>18.205070582807149</v>
      </c>
      <c r="E3" s="2">
        <f>('[1]Qc, Winter, S3'!E3*Main!$B$5)</f>
        <v>18.205070582807149</v>
      </c>
      <c r="F3" s="2">
        <f>('[1]Qc, Winter, S3'!F3*Main!$B$5)</f>
        <v>18.205070582807149</v>
      </c>
      <c r="G3" s="2">
        <f>('[1]Qc, Winter, S3'!G3*Main!$B$5)</f>
        <v>14.750717406796062</v>
      </c>
      <c r="H3" s="2">
        <f>('[1]Qc, Winter, S3'!H3*Main!$B$5)</f>
        <v>6.6905600264934515</v>
      </c>
      <c r="I3" s="2">
        <f>('[1]Qc, Winter, S3'!I3*Main!$B$5)</f>
        <v>0.8613402569389399</v>
      </c>
      <c r="J3" s="2">
        <f>('[1]Qc, Winter, S3'!J3*Main!$B$5)</f>
        <v>-5.0398401495566976</v>
      </c>
      <c r="K3" s="2">
        <f>('[1]Qc, Winter, S3'!K3*Main!$B$5)</f>
        <v>-5.0398401495566976</v>
      </c>
      <c r="L3" s="2">
        <f>('[1]Qc, Winter, S3'!L3*Main!$B$5)</f>
        <v>-0.43403591487524168</v>
      </c>
      <c r="M3" s="2">
        <f>('[1]Qc, Winter, S3'!M3*Main!$B$5)</f>
        <v>-5.2557451871192677</v>
      </c>
      <c r="N3" s="2">
        <f>('[1]Qc, Winter, S3'!N3*Main!$B$5)</f>
        <v>-5.2557451871192677</v>
      </c>
      <c r="O3" s="2">
        <f>('[1]Qc, Winter, S3'!O3*Main!$B$5)</f>
        <v>-4.0683099555218085</v>
      </c>
      <c r="P3" s="2">
        <f>('[1]Qc, Winter, S3'!P3*Main!$B$5)</f>
        <v>-0.50600426072943239</v>
      </c>
      <c r="Q3" s="2">
        <f>('[1]Qc, Winter, S3'!Q3*Main!$B$5)</f>
        <v>3.0562898554983811</v>
      </c>
      <c r="R3" s="2">
        <f>('[1]Qc, Winter, S3'!R3*Main!$B$5)</f>
        <v>4.2437212275743192</v>
      </c>
      <c r="S3" s="2">
        <f>('[1]Qc, Winter, S3'!S3*Main!$B$5)</f>
        <v>4.2437212275743192</v>
      </c>
      <c r="T3" s="2">
        <f>('[1]Qc, Winter, S3'!T3*Main!$B$5)</f>
        <v>4.2437212275743192</v>
      </c>
      <c r="U3" s="2">
        <f>('[1]Qc, Winter, S3'!U3*Main!$B$5)</f>
        <v>4.2437212275743192</v>
      </c>
      <c r="V3" s="2">
        <f>('[1]Qc, Winter, S3'!V3*Main!$B$5)</f>
        <v>4.2437212275743192</v>
      </c>
      <c r="W3" s="2">
        <f>('[1]Qc, Winter, S3'!W3*Main!$B$5)</f>
        <v>8.8495254217358621</v>
      </c>
      <c r="X3" s="2">
        <f>('[1]Qc, Winter, S3'!X3*Main!$B$5)</f>
        <v>13.527298002271509</v>
      </c>
      <c r="Y3" s="2">
        <f>('[1]Qc, Winter, S3'!Y3*Main!$B$5)</f>
        <v>13.527298002271509</v>
      </c>
    </row>
    <row r="4" spans="1:25" x14ac:dyDescent="0.3">
      <c r="A4">
        <v>3</v>
      </c>
      <c r="B4" s="2">
        <f>('[1]Qc, Winter, S3'!B4*Main!$B$5)</f>
        <v>9.9724519412258417</v>
      </c>
      <c r="C4" s="2">
        <f>('[1]Qc, Winter, S3'!C4*Main!$B$5)</f>
        <v>7.6924754832371649</v>
      </c>
      <c r="D4" s="2">
        <f>('[1]Qc, Winter, S3'!D4*Main!$B$5)</f>
        <v>6.5851526819638204</v>
      </c>
      <c r="E4" s="2">
        <f>('[1]Qc, Winter, S3'!E4*Main!$B$5)</f>
        <v>6.4440095292235799</v>
      </c>
      <c r="F4" s="2">
        <f>('[1]Qc, Winter, S3'!F4*Main!$B$5)</f>
        <v>7.3240084343267657</v>
      </c>
      <c r="G4" s="2">
        <f>('[1]Qc, Winter, S3'!G4*Main!$B$5)</f>
        <v>9.0937656727658371</v>
      </c>
      <c r="H4" s="2">
        <f>('[1]Qc, Winter, S3'!H4*Main!$B$5)</f>
        <v>14.109051975053605</v>
      </c>
      <c r="I4" s="2">
        <f>('[1]Qc, Winter, S3'!I4*Main!$B$5)</f>
        <v>17.224452795751887</v>
      </c>
      <c r="J4" s="2">
        <f>('[1]Qc, Winter, S3'!J4*Main!$B$5)</f>
        <v>19.900415493413739</v>
      </c>
      <c r="K4" s="2">
        <f>('[1]Qc, Winter, S3'!K4*Main!$B$5)</f>
        <v>21.914019385238685</v>
      </c>
      <c r="L4" s="2">
        <f>('[1]Qc, Winter, S3'!L4*Main!$B$5)</f>
        <v>22.098956905036403</v>
      </c>
      <c r="M4" s="2">
        <f>('[1]Qc, Winter, S3'!M4*Main!$B$5)</f>
        <v>21.702704718781696</v>
      </c>
      <c r="N4" s="2">
        <f>('[1]Qc, Winter, S3'!N4*Main!$B$5)</f>
        <v>21.795135413032781</v>
      </c>
      <c r="O4" s="2">
        <f>('[1]Qc, Winter, S3'!O4*Main!$B$5)</f>
        <v>21.572728588881656</v>
      </c>
      <c r="P4" s="2">
        <f>('[1]Qc, Winter, S3'!P4*Main!$B$5)</f>
        <v>19.461091304351118</v>
      </c>
      <c r="Q4" s="2">
        <f>('[1]Qc, Winter, S3'!Q4*Main!$B$5)</f>
        <v>18.489784256891458</v>
      </c>
      <c r="R4" s="2">
        <f>('[1]Qc, Winter, S3'!R4*Main!$B$5)</f>
        <v>19.081513608717671</v>
      </c>
      <c r="S4" s="2">
        <f>('[1]Qc, Winter, S3'!S4*Main!$B$5)</f>
        <v>26.007243689724504</v>
      </c>
      <c r="T4" s="2">
        <f>('[1]Qc, Winter, S3'!T4*Main!$B$5)</f>
        <v>25.969489060209465</v>
      </c>
      <c r="U4" s="2">
        <f>('[1]Qc, Winter, S3'!U4*Main!$B$5)</f>
        <v>25.17702239947527</v>
      </c>
      <c r="V4" s="2">
        <f>('[1]Qc, Winter, S3'!V4*Main!$B$5)</f>
        <v>23.303990052338865</v>
      </c>
      <c r="W4" s="2">
        <f>('[1]Qc, Winter, S3'!W4*Main!$B$5)</f>
        <v>20.725014670916472</v>
      </c>
      <c r="X4" s="2">
        <f>('[1]Qc, Winter, S3'!X4*Main!$B$5)</f>
        <v>16.903803602547079</v>
      </c>
      <c r="Y4" s="2">
        <f>('[1]Qc, Winter, S3'!Y4*Main!$B$5)</f>
        <v>12.968473809682237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2.2332448093209263</v>
      </c>
      <c r="C2" s="2">
        <f>('FL Characterization'!C$4-'FL Characterization'!C$2)*VLOOKUP($A2,'FL Ratio'!$A$2:$B$21,2,FALSE)</f>
        <v>2.4585191214535076</v>
      </c>
      <c r="D2" s="2">
        <f>('FL Characterization'!D$4-'FL Characterization'!D$2)*VLOOKUP($A2,'FL Ratio'!$A$2:$B$21,2,FALSE)</f>
        <v>3.1999961679010114</v>
      </c>
      <c r="E2" s="2">
        <f>('FL Characterization'!E$4-'FL Characterization'!E$2)*VLOOKUP($A2,'FL Ratio'!$A$2:$B$21,2,FALSE)</f>
        <v>3.668666934648114</v>
      </c>
      <c r="F2" s="2">
        <f>('FL Characterization'!F$4-'FL Characterization'!F$2)*VLOOKUP($A2,'FL Ratio'!$A$2:$B$21,2,FALSE)</f>
        <v>4.3135183254901186</v>
      </c>
      <c r="G2" s="2">
        <f>('FL Characterization'!G$4-'FL Characterization'!G$2)*VLOOKUP($A2,'FL Ratio'!$A$2:$B$21,2,FALSE)</f>
        <v>5.0421923566005518</v>
      </c>
      <c r="H2" s="2">
        <f>('FL Characterization'!H$4-'FL Characterization'!H$2)*VLOOKUP($A2,'FL Ratio'!$A$2:$B$21,2,FALSE)</f>
        <v>4.4946624374149717</v>
      </c>
      <c r="I2" s="2">
        <f>('FL Characterization'!I$4-'FL Characterization'!I$2)*VLOOKUP($A2,'FL Ratio'!$A$2:$B$21,2,FALSE)</f>
        <v>6.4256138290550719</v>
      </c>
      <c r="J2" s="2">
        <f>('FL Characterization'!J$4-'FL Characterization'!J$2)*VLOOKUP($A2,'FL Ratio'!$A$2:$B$21,2,FALSE)</f>
        <v>5.8947834950917581</v>
      </c>
      <c r="K2" s="2">
        <f>('FL Characterization'!K$4-'FL Characterization'!K$2)*VLOOKUP($A2,'FL Ratio'!$A$2:$B$21,2,FALSE)</f>
        <v>6.6578153765391122</v>
      </c>
      <c r="L2" s="2">
        <f>('FL Characterization'!L$4-'FL Characterization'!L$2)*VLOOKUP($A2,'FL Ratio'!$A$2:$B$21,2,FALSE)</f>
        <v>6.8424540312975139</v>
      </c>
      <c r="M2" s="2">
        <f>('FL Characterization'!M$4-'FL Characterization'!M$2)*VLOOKUP($A2,'FL Ratio'!$A$2:$B$21,2,FALSE)</f>
        <v>6.3469402275635094</v>
      </c>
      <c r="N2" s="2">
        <f>('FL Characterization'!N$4-'FL Characterization'!N$2)*VLOOKUP($A2,'FL Ratio'!$A$2:$B$21,2,FALSE)</f>
        <v>5.9874198053386047</v>
      </c>
      <c r="O2" s="2">
        <f>('FL Characterization'!O$4-'FL Characterization'!O$2)*VLOOKUP($A2,'FL Ratio'!$A$2:$B$21,2,FALSE)</f>
        <v>5.512285680607329</v>
      </c>
      <c r="P2" s="2">
        <f>('FL Characterization'!P$4-'FL Characterization'!P$2)*VLOOKUP($A2,'FL Ratio'!$A$2:$B$21,2,FALSE)</f>
        <v>5.0774161113564045</v>
      </c>
      <c r="Q2" s="2">
        <f>('FL Characterization'!Q$4-'FL Characterization'!Q$2)*VLOOKUP($A2,'FL Ratio'!$A$2:$B$21,2,FALSE)</f>
        <v>4.5696095573893443</v>
      </c>
      <c r="R2" s="2">
        <f>('FL Characterization'!R$4-'FL Characterization'!R$2)*VLOOKUP($A2,'FL Ratio'!$A$2:$B$21,2,FALSE)</f>
        <v>4.522046664663705</v>
      </c>
      <c r="S2" s="2">
        <f>('FL Characterization'!S$4-'FL Characterization'!S$2)*VLOOKUP($A2,'FL Ratio'!$A$2:$B$21,2,FALSE)</f>
        <v>3.5828650842792689</v>
      </c>
      <c r="T2" s="2">
        <f>('FL Characterization'!T$4-'FL Characterization'!T$2)*VLOOKUP($A2,'FL Ratio'!$A$2:$B$21,2,FALSE)</f>
        <v>2.9643928530568804</v>
      </c>
      <c r="U2" s="2">
        <f>('FL Characterization'!U$4-'FL Characterization'!U$2)*VLOOKUP($A2,'FL Ratio'!$A$2:$B$21,2,FALSE)</f>
        <v>3.5176439264389772</v>
      </c>
      <c r="V2" s="2">
        <f>('FL Characterization'!V$4-'FL Characterization'!V$2)*VLOOKUP($A2,'FL Ratio'!$A$2:$B$21,2,FALSE)</f>
        <v>3.584133015749849</v>
      </c>
      <c r="W2" s="2">
        <f>('FL Characterization'!W$4-'FL Characterization'!W$2)*VLOOKUP($A2,'FL Ratio'!$A$2:$B$21,2,FALSE)</f>
        <v>4.0959443776544706</v>
      </c>
      <c r="X2" s="2">
        <f>('FL Characterization'!X$4-'FL Characterization'!X$2)*VLOOKUP($A2,'FL Ratio'!$A$2:$B$21,2,FALSE)</f>
        <v>1.9887968993405585</v>
      </c>
      <c r="Y2" s="2">
        <f>('FL Characterization'!Y$4-'FL Characterization'!Y$2)*VLOOKUP($A2,'FL Ratio'!$A$2:$B$21,2,FALSE)</f>
        <v>1.9094738695347975</v>
      </c>
    </row>
    <row r="3" spans="1:25" x14ac:dyDescent="0.3">
      <c r="A3">
        <v>2</v>
      </c>
      <c r="B3" s="2">
        <f>('FL Characterization'!B$4-'FL Characterization'!B$2)*VLOOKUP($A3,'FL Ratio'!$A$2:$B$21,2,FALSE)</f>
        <v>2.2332448093209263</v>
      </c>
      <c r="C3" s="2">
        <f>('FL Characterization'!C$4-'FL Characterization'!C$2)*VLOOKUP($A3,'FL Ratio'!$A$2:$B$21,2,FALSE)</f>
        <v>2.4585191214535076</v>
      </c>
      <c r="D3" s="2">
        <f>('FL Characterization'!D$4-'FL Characterization'!D$2)*VLOOKUP($A3,'FL Ratio'!$A$2:$B$21,2,FALSE)</f>
        <v>3.1999961679010114</v>
      </c>
      <c r="E3" s="2">
        <f>('FL Characterization'!E$4-'FL Characterization'!E$2)*VLOOKUP($A3,'FL Ratio'!$A$2:$B$21,2,FALSE)</f>
        <v>3.668666934648114</v>
      </c>
      <c r="F3" s="2">
        <f>('FL Characterization'!F$4-'FL Characterization'!F$2)*VLOOKUP($A3,'FL Ratio'!$A$2:$B$21,2,FALSE)</f>
        <v>4.3135183254901186</v>
      </c>
      <c r="G3" s="2">
        <f>('FL Characterization'!G$4-'FL Characterization'!G$2)*VLOOKUP($A3,'FL Ratio'!$A$2:$B$21,2,FALSE)</f>
        <v>5.0421923566005518</v>
      </c>
      <c r="H3" s="2">
        <f>('FL Characterization'!H$4-'FL Characterization'!H$2)*VLOOKUP($A3,'FL Ratio'!$A$2:$B$21,2,FALSE)</f>
        <v>4.4946624374149717</v>
      </c>
      <c r="I3" s="2">
        <f>('FL Characterization'!I$4-'FL Characterization'!I$2)*VLOOKUP($A3,'FL Ratio'!$A$2:$B$21,2,FALSE)</f>
        <v>6.4256138290550719</v>
      </c>
      <c r="J3" s="2">
        <f>('FL Characterization'!J$4-'FL Characterization'!J$2)*VLOOKUP($A3,'FL Ratio'!$A$2:$B$21,2,FALSE)</f>
        <v>5.8947834950917581</v>
      </c>
      <c r="K3" s="2">
        <f>('FL Characterization'!K$4-'FL Characterization'!K$2)*VLOOKUP($A3,'FL Ratio'!$A$2:$B$21,2,FALSE)</f>
        <v>6.6578153765391122</v>
      </c>
      <c r="L3" s="2">
        <f>('FL Characterization'!L$4-'FL Characterization'!L$2)*VLOOKUP($A3,'FL Ratio'!$A$2:$B$21,2,FALSE)</f>
        <v>6.8424540312975139</v>
      </c>
      <c r="M3" s="2">
        <f>('FL Characterization'!M$4-'FL Characterization'!M$2)*VLOOKUP($A3,'FL Ratio'!$A$2:$B$21,2,FALSE)</f>
        <v>6.3469402275635094</v>
      </c>
      <c r="N3" s="2">
        <f>('FL Characterization'!N$4-'FL Characterization'!N$2)*VLOOKUP($A3,'FL Ratio'!$A$2:$B$21,2,FALSE)</f>
        <v>5.9874198053386047</v>
      </c>
      <c r="O3" s="2">
        <f>('FL Characterization'!O$4-'FL Characterization'!O$2)*VLOOKUP($A3,'FL Ratio'!$A$2:$B$21,2,FALSE)</f>
        <v>5.512285680607329</v>
      </c>
      <c r="P3" s="2">
        <f>('FL Characterization'!P$4-'FL Characterization'!P$2)*VLOOKUP($A3,'FL Ratio'!$A$2:$B$21,2,FALSE)</f>
        <v>5.0774161113564045</v>
      </c>
      <c r="Q3" s="2">
        <f>('FL Characterization'!Q$4-'FL Characterization'!Q$2)*VLOOKUP($A3,'FL Ratio'!$A$2:$B$21,2,FALSE)</f>
        <v>4.5696095573893443</v>
      </c>
      <c r="R3" s="2">
        <f>('FL Characterization'!R$4-'FL Characterization'!R$2)*VLOOKUP($A3,'FL Ratio'!$A$2:$B$21,2,FALSE)</f>
        <v>4.522046664663705</v>
      </c>
      <c r="S3" s="2">
        <f>('FL Characterization'!S$4-'FL Characterization'!S$2)*VLOOKUP($A3,'FL Ratio'!$A$2:$B$21,2,FALSE)</f>
        <v>3.5828650842792689</v>
      </c>
      <c r="T3" s="2">
        <f>('FL Characterization'!T$4-'FL Characterization'!T$2)*VLOOKUP($A3,'FL Ratio'!$A$2:$B$21,2,FALSE)</f>
        <v>2.9643928530568804</v>
      </c>
      <c r="U3" s="2">
        <f>('FL Characterization'!U$4-'FL Characterization'!U$2)*VLOOKUP($A3,'FL Ratio'!$A$2:$B$21,2,FALSE)</f>
        <v>3.5176439264389772</v>
      </c>
      <c r="V3" s="2">
        <f>('FL Characterization'!V$4-'FL Characterization'!V$2)*VLOOKUP($A3,'FL Ratio'!$A$2:$B$21,2,FALSE)</f>
        <v>3.584133015749849</v>
      </c>
      <c r="W3" s="2">
        <f>('FL Characterization'!W$4-'FL Characterization'!W$2)*VLOOKUP($A3,'FL Ratio'!$A$2:$B$21,2,FALSE)</f>
        <v>4.0959443776544706</v>
      </c>
      <c r="X3" s="2">
        <f>('FL Characterization'!X$4-'FL Characterization'!X$2)*VLOOKUP($A3,'FL Ratio'!$A$2:$B$21,2,FALSE)</f>
        <v>1.9887968993405585</v>
      </c>
      <c r="Y3" s="2">
        <f>('FL Characterization'!Y$4-'FL Characterization'!Y$2)*VLOOKUP($A3,'FL Ratio'!$A$2:$B$21,2,FALSE)</f>
        <v>1.9094738695347975</v>
      </c>
    </row>
    <row r="4" spans="1:25" x14ac:dyDescent="0.3">
      <c r="A4">
        <v>3</v>
      </c>
      <c r="B4" s="2">
        <f>('FL Characterization'!B$4-'FL Characterization'!B$2)*VLOOKUP($A4,'FL Ratio'!$A$2:$B$21,2,FALSE)</f>
        <v>2.2332448093209263</v>
      </c>
      <c r="C4" s="2">
        <f>('FL Characterization'!C$4-'FL Characterization'!C$2)*VLOOKUP($A4,'FL Ratio'!$A$2:$B$21,2,FALSE)</f>
        <v>2.4585191214535076</v>
      </c>
      <c r="D4" s="2">
        <f>('FL Characterization'!D$4-'FL Characterization'!D$2)*VLOOKUP($A4,'FL Ratio'!$A$2:$B$21,2,FALSE)</f>
        <v>3.1999961679010114</v>
      </c>
      <c r="E4" s="2">
        <f>('FL Characterization'!E$4-'FL Characterization'!E$2)*VLOOKUP($A4,'FL Ratio'!$A$2:$B$21,2,FALSE)</f>
        <v>3.668666934648114</v>
      </c>
      <c r="F4" s="2">
        <f>('FL Characterization'!F$4-'FL Characterization'!F$2)*VLOOKUP($A4,'FL Ratio'!$A$2:$B$21,2,FALSE)</f>
        <v>4.3135183254901186</v>
      </c>
      <c r="G4" s="2">
        <f>('FL Characterization'!G$4-'FL Characterization'!G$2)*VLOOKUP($A4,'FL Ratio'!$A$2:$B$21,2,FALSE)</f>
        <v>5.0421923566005518</v>
      </c>
      <c r="H4" s="2">
        <f>('FL Characterization'!H$4-'FL Characterization'!H$2)*VLOOKUP($A4,'FL Ratio'!$A$2:$B$21,2,FALSE)</f>
        <v>4.4946624374149717</v>
      </c>
      <c r="I4" s="2">
        <f>('FL Characterization'!I$4-'FL Characterization'!I$2)*VLOOKUP($A4,'FL Ratio'!$A$2:$B$21,2,FALSE)</f>
        <v>6.4256138290550719</v>
      </c>
      <c r="J4" s="2">
        <f>('FL Characterization'!J$4-'FL Characterization'!J$2)*VLOOKUP($A4,'FL Ratio'!$A$2:$B$21,2,FALSE)</f>
        <v>5.8947834950917581</v>
      </c>
      <c r="K4" s="2">
        <f>('FL Characterization'!K$4-'FL Characterization'!K$2)*VLOOKUP($A4,'FL Ratio'!$A$2:$B$21,2,FALSE)</f>
        <v>6.6578153765391122</v>
      </c>
      <c r="L4" s="2">
        <f>('FL Characterization'!L$4-'FL Characterization'!L$2)*VLOOKUP($A4,'FL Ratio'!$A$2:$B$21,2,FALSE)</f>
        <v>6.8424540312975139</v>
      </c>
      <c r="M4" s="2">
        <f>('FL Characterization'!M$4-'FL Characterization'!M$2)*VLOOKUP($A4,'FL Ratio'!$A$2:$B$21,2,FALSE)</f>
        <v>6.3469402275635094</v>
      </c>
      <c r="N4" s="2">
        <f>('FL Characterization'!N$4-'FL Characterization'!N$2)*VLOOKUP($A4,'FL Ratio'!$A$2:$B$21,2,FALSE)</f>
        <v>5.9874198053386047</v>
      </c>
      <c r="O4" s="2">
        <f>('FL Characterization'!O$4-'FL Characterization'!O$2)*VLOOKUP($A4,'FL Ratio'!$A$2:$B$21,2,FALSE)</f>
        <v>5.512285680607329</v>
      </c>
      <c r="P4" s="2">
        <f>('FL Characterization'!P$4-'FL Characterization'!P$2)*VLOOKUP($A4,'FL Ratio'!$A$2:$B$21,2,FALSE)</f>
        <v>5.0774161113564045</v>
      </c>
      <c r="Q4" s="2">
        <f>('FL Characterization'!Q$4-'FL Characterization'!Q$2)*VLOOKUP($A4,'FL Ratio'!$A$2:$B$21,2,FALSE)</f>
        <v>4.5696095573893443</v>
      </c>
      <c r="R4" s="2">
        <f>('FL Characterization'!R$4-'FL Characterization'!R$2)*VLOOKUP($A4,'FL Ratio'!$A$2:$B$21,2,FALSE)</f>
        <v>4.522046664663705</v>
      </c>
      <c r="S4" s="2">
        <f>('FL Characterization'!S$4-'FL Characterization'!S$2)*VLOOKUP($A4,'FL Ratio'!$A$2:$B$21,2,FALSE)</f>
        <v>3.5828650842792689</v>
      </c>
      <c r="T4" s="2">
        <f>('FL Characterization'!T$4-'FL Characterization'!T$2)*VLOOKUP($A4,'FL Ratio'!$A$2:$B$21,2,FALSE)</f>
        <v>2.9643928530568804</v>
      </c>
      <c r="U4" s="2">
        <f>('FL Characterization'!U$4-'FL Characterization'!U$2)*VLOOKUP($A4,'FL Ratio'!$A$2:$B$21,2,FALSE)</f>
        <v>3.5176439264389772</v>
      </c>
      <c r="V4" s="2">
        <f>('FL Characterization'!V$4-'FL Characterization'!V$2)*VLOOKUP($A4,'FL Ratio'!$A$2:$B$21,2,FALSE)</f>
        <v>3.584133015749849</v>
      </c>
      <c r="W4" s="2">
        <f>('FL Characterization'!W$4-'FL Characterization'!W$2)*VLOOKUP($A4,'FL Ratio'!$A$2:$B$21,2,FALSE)</f>
        <v>4.0959443776544706</v>
      </c>
      <c r="X4" s="2">
        <f>('FL Characterization'!X$4-'FL Characterization'!X$2)*VLOOKUP($A4,'FL Ratio'!$A$2:$B$21,2,FALSE)</f>
        <v>1.9887968993405585</v>
      </c>
      <c r="Y4" s="2">
        <f>('FL Characterization'!Y$4-'FL Characterization'!Y$2)*VLOOKUP($A4,'FL Ratio'!$A$2:$B$21,2,FALSE)</f>
        <v>1.9094738695347975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6.1913712211549781</v>
      </c>
      <c r="C2" s="2">
        <f>('FL Characterization'!C$2-'FL Characterization'!C$3)*VLOOKUP($A2,'FL Ratio'!$A$2:$B$21,2,FALSE)</f>
        <v>6.55226781290283</v>
      </c>
      <c r="D2" s="2">
        <f>('FL Characterization'!D$2-'FL Characterization'!D$3)*VLOOKUP($A2,'FL Ratio'!$A$2:$B$21,2,FALSE)</f>
        <v>6.9190401846362928</v>
      </c>
      <c r="E2" s="2">
        <f>('FL Characterization'!E$2-'FL Characterization'!E$3)*VLOOKUP($A2,'FL Ratio'!$A$2:$B$21,2,FALSE)</f>
        <v>7.2335490396556281</v>
      </c>
      <c r="F2" s="2">
        <f>('FL Characterization'!F$2-'FL Characterization'!F$3)*VLOOKUP($A2,'FL Ratio'!$A$2:$B$21,2,FALSE)</f>
        <v>7.3156553336651005</v>
      </c>
      <c r="G2" s="2">
        <f>('FL Characterization'!G$2-'FL Characterization'!G$3)*VLOOKUP($A2,'FL Ratio'!$A$2:$B$21,2,FALSE)</f>
        <v>7.6525849281032183</v>
      </c>
      <c r="H2" s="2">
        <f>('FL Characterization'!H$2-'FL Characterization'!H$3)*VLOOKUP($A2,'FL Ratio'!$A$2:$B$21,2,FALSE)</f>
        <v>7.6134646034621714</v>
      </c>
      <c r="I2" s="2">
        <f>('FL Characterization'!I$2-'FL Characterization'!I$3)*VLOOKUP($A2,'FL Ratio'!$A$2:$B$21,2,FALSE)</f>
        <v>7.1965007005884534</v>
      </c>
      <c r="J2" s="2">
        <f>('FL Characterization'!J$2-'FL Characterization'!J$3)*VLOOKUP($A2,'FL Ratio'!$A$2:$B$21,2,FALSE)</f>
        <v>6.5203221248757917</v>
      </c>
      <c r="K2" s="2">
        <f>('FL Characterization'!K$2-'FL Characterization'!K$3)*VLOOKUP($A2,'FL Ratio'!$A$2:$B$21,2,FALSE)</f>
        <v>9.574908200711814</v>
      </c>
      <c r="L2" s="2">
        <f>('FL Characterization'!L$2-'FL Characterization'!L$3)*VLOOKUP($A2,'FL Ratio'!$A$2:$B$21,2,FALSE)</f>
        <v>9.3502833168934334</v>
      </c>
      <c r="M2" s="2">
        <f>('FL Characterization'!M$2-'FL Characterization'!M$3)*VLOOKUP($A2,'FL Ratio'!$A$2:$B$21,2,FALSE)</f>
        <v>8.6099350387063254</v>
      </c>
      <c r="N2" s="2">
        <f>('FL Characterization'!N$2-'FL Characterization'!N$3)*VLOOKUP($A2,'FL Ratio'!$A$2:$B$21,2,FALSE)</f>
        <v>8.4007263460607184</v>
      </c>
      <c r="O2" s="2">
        <f>('FL Characterization'!O$2-'FL Characterization'!O$3)*VLOOKUP($A2,'FL Ratio'!$A$2:$B$21,2,FALSE)</f>
        <v>8.4352542847656444</v>
      </c>
      <c r="P2" s="2">
        <f>('FL Characterization'!P$2-'FL Characterization'!P$3)*VLOOKUP($A2,'FL Ratio'!$A$2:$B$21,2,FALSE)</f>
        <v>8.0356239328494823</v>
      </c>
      <c r="Q2" s="2">
        <f>('FL Characterization'!Q$2-'FL Characterization'!Q$3)*VLOOKUP($A2,'FL Ratio'!$A$2:$B$21,2,FALSE)</f>
        <v>7.3658468648053557</v>
      </c>
      <c r="R2" s="2">
        <f>('FL Characterization'!R$2-'FL Characterization'!R$3)*VLOOKUP($A2,'FL Ratio'!$A$2:$B$21,2,FALSE)</f>
        <v>6.6199011330530055</v>
      </c>
      <c r="S2" s="2">
        <f>('FL Characterization'!S$2-'FL Characterization'!S$3)*VLOOKUP($A2,'FL Ratio'!$A$2:$B$21,2,FALSE)</f>
        <v>6.3824268461608238</v>
      </c>
      <c r="T2" s="2">
        <f>('FL Characterization'!T$2-'FL Characterization'!T$3)*VLOOKUP($A2,'FL Ratio'!$A$2:$B$21,2,FALSE)</f>
        <v>4.011967111596948</v>
      </c>
      <c r="U2" s="2">
        <f>('FL Characterization'!U$2-'FL Characterization'!U$3)*VLOOKUP($A2,'FL Ratio'!$A$2:$B$21,2,FALSE)</f>
        <v>4.290432695178227</v>
      </c>
      <c r="V2" s="2">
        <f>('FL Characterization'!V$2-'FL Characterization'!V$3)*VLOOKUP($A2,'FL Ratio'!$A$2:$B$21,2,FALSE)</f>
        <v>4.6908207134609547</v>
      </c>
      <c r="W2" s="2">
        <f>('FL Characterization'!W$2-'FL Characterization'!W$3)*VLOOKUP($A2,'FL Ratio'!$A$2:$B$21,2,FALSE)</f>
        <v>4.8027543221868632</v>
      </c>
      <c r="X2" s="2">
        <f>('FL Characterization'!X$2-'FL Characterization'!X$3)*VLOOKUP($A2,'FL Ratio'!$A$2:$B$21,2,FALSE)</f>
        <v>5.0089478119451147</v>
      </c>
      <c r="Y2" s="2">
        <f>('FL Characterization'!Y$2-'FL Characterization'!Y$3)*VLOOKUP($A2,'FL Ratio'!$A$2:$B$21,2,FALSE)</f>
        <v>5.5289543406717749</v>
      </c>
    </row>
    <row r="3" spans="1:25" x14ac:dyDescent="0.3">
      <c r="A3">
        <v>2</v>
      </c>
      <c r="B3" s="2">
        <f>('FL Characterization'!B$2-'FL Characterization'!B$3)*VLOOKUP($A3,'FL Ratio'!$A$2:$B$21,2,FALSE)</f>
        <v>6.1913712211549781</v>
      </c>
      <c r="C3" s="2">
        <f>('FL Characterization'!C$2-'FL Characterization'!C$3)*VLOOKUP($A3,'FL Ratio'!$A$2:$B$21,2,FALSE)</f>
        <v>6.55226781290283</v>
      </c>
      <c r="D3" s="2">
        <f>('FL Characterization'!D$2-'FL Characterization'!D$3)*VLOOKUP($A3,'FL Ratio'!$A$2:$B$21,2,FALSE)</f>
        <v>6.9190401846362928</v>
      </c>
      <c r="E3" s="2">
        <f>('FL Characterization'!E$2-'FL Characterization'!E$3)*VLOOKUP($A3,'FL Ratio'!$A$2:$B$21,2,FALSE)</f>
        <v>7.2335490396556281</v>
      </c>
      <c r="F3" s="2">
        <f>('FL Characterization'!F$2-'FL Characterization'!F$3)*VLOOKUP($A3,'FL Ratio'!$A$2:$B$21,2,FALSE)</f>
        <v>7.3156553336651005</v>
      </c>
      <c r="G3" s="2">
        <f>('FL Characterization'!G$2-'FL Characterization'!G$3)*VLOOKUP($A3,'FL Ratio'!$A$2:$B$21,2,FALSE)</f>
        <v>7.6525849281032183</v>
      </c>
      <c r="H3" s="2">
        <f>('FL Characterization'!H$2-'FL Characterization'!H$3)*VLOOKUP($A3,'FL Ratio'!$A$2:$B$21,2,FALSE)</f>
        <v>7.6134646034621714</v>
      </c>
      <c r="I3" s="2">
        <f>('FL Characterization'!I$2-'FL Characterization'!I$3)*VLOOKUP($A3,'FL Ratio'!$A$2:$B$21,2,FALSE)</f>
        <v>7.1965007005884534</v>
      </c>
      <c r="J3" s="2">
        <f>('FL Characterization'!J$2-'FL Characterization'!J$3)*VLOOKUP($A3,'FL Ratio'!$A$2:$B$21,2,FALSE)</f>
        <v>6.5203221248757917</v>
      </c>
      <c r="K3" s="2">
        <f>('FL Characterization'!K$2-'FL Characterization'!K$3)*VLOOKUP($A3,'FL Ratio'!$A$2:$B$21,2,FALSE)</f>
        <v>9.574908200711814</v>
      </c>
      <c r="L3" s="2">
        <f>('FL Characterization'!L$2-'FL Characterization'!L$3)*VLOOKUP($A3,'FL Ratio'!$A$2:$B$21,2,FALSE)</f>
        <v>9.3502833168934334</v>
      </c>
      <c r="M3" s="2">
        <f>('FL Characterization'!M$2-'FL Characterization'!M$3)*VLOOKUP($A3,'FL Ratio'!$A$2:$B$21,2,FALSE)</f>
        <v>8.6099350387063254</v>
      </c>
      <c r="N3" s="2">
        <f>('FL Characterization'!N$2-'FL Characterization'!N$3)*VLOOKUP($A3,'FL Ratio'!$A$2:$B$21,2,FALSE)</f>
        <v>8.4007263460607184</v>
      </c>
      <c r="O3" s="2">
        <f>('FL Characterization'!O$2-'FL Characterization'!O$3)*VLOOKUP($A3,'FL Ratio'!$A$2:$B$21,2,FALSE)</f>
        <v>8.4352542847656444</v>
      </c>
      <c r="P3" s="2">
        <f>('FL Characterization'!P$2-'FL Characterization'!P$3)*VLOOKUP($A3,'FL Ratio'!$A$2:$B$21,2,FALSE)</f>
        <v>8.0356239328494823</v>
      </c>
      <c r="Q3" s="2">
        <f>('FL Characterization'!Q$2-'FL Characterization'!Q$3)*VLOOKUP($A3,'FL Ratio'!$A$2:$B$21,2,FALSE)</f>
        <v>7.3658468648053557</v>
      </c>
      <c r="R3" s="2">
        <f>('FL Characterization'!R$2-'FL Characterization'!R$3)*VLOOKUP($A3,'FL Ratio'!$A$2:$B$21,2,FALSE)</f>
        <v>6.6199011330530055</v>
      </c>
      <c r="S3" s="2">
        <f>('FL Characterization'!S$2-'FL Characterization'!S$3)*VLOOKUP($A3,'FL Ratio'!$A$2:$B$21,2,FALSE)</f>
        <v>6.3824268461608238</v>
      </c>
      <c r="T3" s="2">
        <f>('FL Characterization'!T$2-'FL Characterization'!T$3)*VLOOKUP($A3,'FL Ratio'!$A$2:$B$21,2,FALSE)</f>
        <v>4.011967111596948</v>
      </c>
      <c r="U3" s="2">
        <f>('FL Characterization'!U$2-'FL Characterization'!U$3)*VLOOKUP($A3,'FL Ratio'!$A$2:$B$21,2,FALSE)</f>
        <v>4.290432695178227</v>
      </c>
      <c r="V3" s="2">
        <f>('FL Characterization'!V$2-'FL Characterization'!V$3)*VLOOKUP($A3,'FL Ratio'!$A$2:$B$21,2,FALSE)</f>
        <v>4.6908207134609547</v>
      </c>
      <c r="W3" s="2">
        <f>('FL Characterization'!W$2-'FL Characterization'!W$3)*VLOOKUP($A3,'FL Ratio'!$A$2:$B$21,2,FALSE)</f>
        <v>4.8027543221868632</v>
      </c>
      <c r="X3" s="2">
        <f>('FL Characterization'!X$2-'FL Characterization'!X$3)*VLOOKUP($A3,'FL Ratio'!$A$2:$B$21,2,FALSE)</f>
        <v>5.0089478119451147</v>
      </c>
      <c r="Y3" s="2">
        <f>('FL Characterization'!Y$2-'FL Characterization'!Y$3)*VLOOKUP($A3,'FL Ratio'!$A$2:$B$21,2,FALSE)</f>
        <v>5.5289543406717749</v>
      </c>
    </row>
    <row r="4" spans="1:25" x14ac:dyDescent="0.3">
      <c r="A4">
        <v>3</v>
      </c>
      <c r="B4" s="2">
        <f>('FL Characterization'!B$2-'FL Characterization'!B$3)*VLOOKUP($A4,'FL Ratio'!$A$2:$B$21,2,FALSE)</f>
        <v>6.1913712211549781</v>
      </c>
      <c r="C4" s="2">
        <f>('FL Characterization'!C$2-'FL Characterization'!C$3)*VLOOKUP($A4,'FL Ratio'!$A$2:$B$21,2,FALSE)</f>
        <v>6.55226781290283</v>
      </c>
      <c r="D4" s="2">
        <f>('FL Characterization'!D$2-'FL Characterization'!D$3)*VLOOKUP($A4,'FL Ratio'!$A$2:$B$21,2,FALSE)</f>
        <v>6.9190401846362928</v>
      </c>
      <c r="E4" s="2">
        <f>('FL Characterization'!E$2-'FL Characterization'!E$3)*VLOOKUP($A4,'FL Ratio'!$A$2:$B$21,2,FALSE)</f>
        <v>7.2335490396556281</v>
      </c>
      <c r="F4" s="2">
        <f>('FL Characterization'!F$2-'FL Characterization'!F$3)*VLOOKUP($A4,'FL Ratio'!$A$2:$B$21,2,FALSE)</f>
        <v>7.3156553336651005</v>
      </c>
      <c r="G4" s="2">
        <f>('FL Characterization'!G$2-'FL Characterization'!G$3)*VLOOKUP($A4,'FL Ratio'!$A$2:$B$21,2,FALSE)</f>
        <v>7.6525849281032183</v>
      </c>
      <c r="H4" s="2">
        <f>('FL Characterization'!H$2-'FL Characterization'!H$3)*VLOOKUP($A4,'FL Ratio'!$A$2:$B$21,2,FALSE)</f>
        <v>7.6134646034621714</v>
      </c>
      <c r="I4" s="2">
        <f>('FL Characterization'!I$2-'FL Characterization'!I$3)*VLOOKUP($A4,'FL Ratio'!$A$2:$B$21,2,FALSE)</f>
        <v>7.1965007005884534</v>
      </c>
      <c r="J4" s="2">
        <f>('FL Characterization'!J$2-'FL Characterization'!J$3)*VLOOKUP($A4,'FL Ratio'!$A$2:$B$21,2,FALSE)</f>
        <v>6.5203221248757917</v>
      </c>
      <c r="K4" s="2">
        <f>('FL Characterization'!K$2-'FL Characterization'!K$3)*VLOOKUP($A4,'FL Ratio'!$A$2:$B$21,2,FALSE)</f>
        <v>9.574908200711814</v>
      </c>
      <c r="L4" s="2">
        <f>('FL Characterization'!L$2-'FL Characterization'!L$3)*VLOOKUP($A4,'FL Ratio'!$A$2:$B$21,2,FALSE)</f>
        <v>9.3502833168934334</v>
      </c>
      <c r="M4" s="2">
        <f>('FL Characterization'!M$2-'FL Characterization'!M$3)*VLOOKUP($A4,'FL Ratio'!$A$2:$B$21,2,FALSE)</f>
        <v>8.6099350387063254</v>
      </c>
      <c r="N4" s="2">
        <f>('FL Characterization'!N$2-'FL Characterization'!N$3)*VLOOKUP($A4,'FL Ratio'!$A$2:$B$21,2,FALSE)</f>
        <v>8.4007263460607184</v>
      </c>
      <c r="O4" s="2">
        <f>('FL Characterization'!O$2-'FL Characterization'!O$3)*VLOOKUP($A4,'FL Ratio'!$A$2:$B$21,2,FALSE)</f>
        <v>8.4352542847656444</v>
      </c>
      <c r="P4" s="2">
        <f>('FL Characterization'!P$2-'FL Characterization'!P$3)*VLOOKUP($A4,'FL Ratio'!$A$2:$B$21,2,FALSE)</f>
        <v>8.0356239328494823</v>
      </c>
      <c r="Q4" s="2">
        <f>('FL Characterization'!Q$2-'FL Characterization'!Q$3)*VLOOKUP($A4,'FL Ratio'!$A$2:$B$21,2,FALSE)</f>
        <v>7.3658468648053557</v>
      </c>
      <c r="R4" s="2">
        <f>('FL Characterization'!R$2-'FL Characterization'!R$3)*VLOOKUP($A4,'FL Ratio'!$A$2:$B$21,2,FALSE)</f>
        <v>6.6199011330530055</v>
      </c>
      <c r="S4" s="2">
        <f>('FL Characterization'!S$2-'FL Characterization'!S$3)*VLOOKUP($A4,'FL Ratio'!$A$2:$B$21,2,FALSE)</f>
        <v>6.3824268461608238</v>
      </c>
      <c r="T4" s="2">
        <f>('FL Characterization'!T$2-'FL Characterization'!T$3)*VLOOKUP($A4,'FL Ratio'!$A$2:$B$21,2,FALSE)</f>
        <v>4.011967111596948</v>
      </c>
      <c r="U4" s="2">
        <f>('FL Characterization'!U$2-'FL Characterization'!U$3)*VLOOKUP($A4,'FL Ratio'!$A$2:$B$21,2,FALSE)</f>
        <v>4.290432695178227</v>
      </c>
      <c r="V4" s="2">
        <f>('FL Characterization'!V$2-'FL Characterization'!V$3)*VLOOKUP($A4,'FL Ratio'!$A$2:$B$21,2,FALSE)</f>
        <v>4.6908207134609547</v>
      </c>
      <c r="W4" s="2">
        <f>('FL Characterization'!W$2-'FL Characterization'!W$3)*VLOOKUP($A4,'FL Ratio'!$A$2:$B$21,2,FALSE)</f>
        <v>4.8027543221868632</v>
      </c>
      <c r="X4" s="2">
        <f>('FL Characterization'!X$2-'FL Characterization'!X$3)*VLOOKUP($A4,'FL Ratio'!$A$2:$B$21,2,FALSE)</f>
        <v>5.0089478119451147</v>
      </c>
      <c r="Y4" s="2">
        <f>('FL Characterization'!Y$2-'FL Characterization'!Y$3)*VLOOKUP($A4,'FL Ratio'!$A$2:$B$21,2,FALSE)</f>
        <v>5.5289543406717749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16.264552388598958</v>
      </c>
      <c r="C5" s="9">
        <f>VLOOKUP($A5,'RES installed'!$A$2:$C$7,3,FALSE)*'[1]Profiles, RES, Winter'!C$5</f>
        <v>17.498996386993174</v>
      </c>
      <c r="D5" s="9">
        <f>VLOOKUP($A5,'RES installed'!$A$2:$C$7,3,FALSE)*'[1]Profiles, RES, Winter'!D$5</f>
        <v>17.408671216378966</v>
      </c>
      <c r="E5" s="9">
        <f>VLOOKUP($A5,'RES installed'!$A$2:$C$7,3,FALSE)*'[1]Profiles, RES, Winter'!E$5</f>
        <v>17.444801284624649</v>
      </c>
      <c r="F5" s="9">
        <f>VLOOKUP($A5,'RES installed'!$A$2:$C$7,3,FALSE)*'[1]Profiles, RES, Winter'!F$5</f>
        <v>18.059012444801287</v>
      </c>
      <c r="G5" s="9">
        <f>VLOOKUP($A5,'RES installed'!$A$2:$C$7,3,FALSE)*'[1]Profiles, RES, Winter'!G$5</f>
        <v>19.064632677639505</v>
      </c>
      <c r="H5" s="9">
        <f>VLOOKUP($A5,'RES installed'!$A$2:$C$7,3,FALSE)*'[1]Profiles, RES, Winter'!H$5</f>
        <v>20.311120032115614</v>
      </c>
      <c r="I5" s="9">
        <f>VLOOKUP($A5,'RES installed'!$A$2:$C$7,3,FALSE)*'[1]Profiles, RES, Winter'!I$5</f>
        <v>20.3472501003613</v>
      </c>
      <c r="J5" s="9">
        <f>VLOOKUP($A5,'RES installed'!$A$2:$C$7,3,FALSE)*'[1]Profiles, RES, Winter'!J$5</f>
        <v>20.166599759132879</v>
      </c>
      <c r="K5" s="9">
        <f>VLOOKUP($A5,'RES installed'!$A$2:$C$7,3,FALSE)*'[1]Profiles, RES, Winter'!K$5</f>
        <v>18.926134082697711</v>
      </c>
      <c r="L5" s="9">
        <f>VLOOKUP($A5,'RES installed'!$A$2:$C$7,3,FALSE)*'[1]Profiles, RES, Winter'!L$5</f>
        <v>16.505419510236852</v>
      </c>
      <c r="M5" s="9">
        <f>VLOOKUP($A5,'RES installed'!$A$2:$C$7,3,FALSE)*'[1]Profiles, RES, Winter'!M$5</f>
        <v>15.186672019269368</v>
      </c>
      <c r="N5" s="9">
        <f>VLOOKUP($A5,'RES installed'!$A$2:$C$7,3,FALSE)*'[1]Profiles, RES, Winter'!N$5</f>
        <v>14.590525893215577</v>
      </c>
      <c r="O5" s="9">
        <f>VLOOKUP($A5,'RES installed'!$A$2:$C$7,3,FALSE)*'[1]Profiles, RES, Winter'!O$5</f>
        <v>13.596949016459254</v>
      </c>
      <c r="P5" s="9">
        <f>VLOOKUP($A5,'RES installed'!$A$2:$C$7,3,FALSE)*'[1]Profiles, RES, Winter'!P$5</f>
        <v>12.428743476515455</v>
      </c>
      <c r="Q5" s="9">
        <f>VLOOKUP($A5,'RES installed'!$A$2:$C$7,3,FALSE)*'[1]Profiles, RES, Winter'!Q$5</f>
        <v>12.537133681252509</v>
      </c>
      <c r="R5" s="9">
        <f>VLOOKUP($A5,'RES installed'!$A$2:$C$7,3,FALSE)*'[1]Profiles, RES, Winter'!R$5</f>
        <v>13.006824568446408</v>
      </c>
      <c r="S5" s="9">
        <f>VLOOKUP($A5,'RES installed'!$A$2:$C$7,3,FALSE)*'[1]Profiles, RES, Winter'!S$5</f>
        <v>14.987956643918105</v>
      </c>
      <c r="T5" s="9">
        <f>VLOOKUP($A5,'RES installed'!$A$2:$C$7,3,FALSE)*'[1]Profiles, RES, Winter'!T$5</f>
        <v>16.228422320353275</v>
      </c>
      <c r="U5" s="9">
        <f>VLOOKUP($A5,'RES installed'!$A$2:$C$7,3,FALSE)*'[1]Profiles, RES, Winter'!U$5</f>
        <v>16.631874749096749</v>
      </c>
      <c r="V5" s="9">
        <f>VLOOKUP($A5,'RES installed'!$A$2:$C$7,3,FALSE)*'[1]Profiles, RES, Winter'!V$5</f>
        <v>16.083902047370533</v>
      </c>
      <c r="W5" s="9">
        <f>VLOOKUP($A5,'RES installed'!$A$2:$C$7,3,FALSE)*'[1]Profiles, RES, Winter'!W$5</f>
        <v>15.210758731433158</v>
      </c>
      <c r="X5" s="9">
        <f>VLOOKUP($A5,'RES installed'!$A$2:$C$7,3,FALSE)*'[1]Profiles, RES, Winter'!X$5</f>
        <v>15.37334403853874</v>
      </c>
      <c r="Y5" s="9">
        <f>VLOOKUP($A5,'RES installed'!$A$2:$C$7,3,FALSE)*'[1]Profiles, RES, Winter'!Y$5</f>
        <v>16.005620232838218</v>
      </c>
    </row>
    <row r="6" spans="1:25" x14ac:dyDescent="0.3">
      <c r="A6" s="8">
        <v>5</v>
      </c>
      <c r="B6" s="9">
        <f>VLOOKUP($A6,'RES installed'!$A$2:$C$7,3,FALSE)*'[1]Profiles, RES, Winter'!B$5</f>
        <v>10.843034925732638</v>
      </c>
      <c r="C6" s="9">
        <f>VLOOKUP($A6,'RES installed'!$A$2:$C$7,3,FALSE)*'[1]Profiles, RES, Winter'!C$5</f>
        <v>11.665997591328782</v>
      </c>
      <c r="D6" s="9">
        <f>VLOOKUP($A6,'RES installed'!$A$2:$C$7,3,FALSE)*'[1]Profiles, RES, Winter'!D$5</f>
        <v>11.60578081091931</v>
      </c>
      <c r="E6" s="9">
        <f>VLOOKUP($A6,'RES installed'!$A$2:$C$7,3,FALSE)*'[1]Profiles, RES, Winter'!E$5</f>
        <v>11.629867523083099</v>
      </c>
      <c r="F6" s="9">
        <f>VLOOKUP($A6,'RES installed'!$A$2:$C$7,3,FALSE)*'[1]Profiles, RES, Winter'!F$5</f>
        <v>12.039341629867524</v>
      </c>
      <c r="G6" s="9">
        <f>VLOOKUP($A6,'RES installed'!$A$2:$C$7,3,FALSE)*'[1]Profiles, RES, Winter'!G$5</f>
        <v>12.709755118426337</v>
      </c>
      <c r="H6" s="9">
        <f>VLOOKUP($A6,'RES installed'!$A$2:$C$7,3,FALSE)*'[1]Profiles, RES, Winter'!H$5</f>
        <v>13.540746688077077</v>
      </c>
      <c r="I6" s="9">
        <f>VLOOKUP($A6,'RES installed'!$A$2:$C$7,3,FALSE)*'[1]Profiles, RES, Winter'!I$5</f>
        <v>13.564833400240868</v>
      </c>
      <c r="J6" s="9">
        <f>VLOOKUP($A6,'RES installed'!$A$2:$C$7,3,FALSE)*'[1]Profiles, RES, Winter'!J$5</f>
        <v>13.444399839421919</v>
      </c>
      <c r="K6" s="9">
        <f>VLOOKUP($A6,'RES installed'!$A$2:$C$7,3,FALSE)*'[1]Profiles, RES, Winter'!K$5</f>
        <v>12.617422721798475</v>
      </c>
      <c r="L6" s="9">
        <f>VLOOKUP($A6,'RES installed'!$A$2:$C$7,3,FALSE)*'[1]Profiles, RES, Winter'!L$5</f>
        <v>11.003613006824569</v>
      </c>
      <c r="M6" s="9">
        <f>VLOOKUP($A6,'RES installed'!$A$2:$C$7,3,FALSE)*'[1]Profiles, RES, Winter'!M$5</f>
        <v>10.124448012846246</v>
      </c>
      <c r="N6" s="9">
        <f>VLOOKUP($A6,'RES installed'!$A$2:$C$7,3,FALSE)*'[1]Profiles, RES, Winter'!N$5</f>
        <v>9.7270172621437183</v>
      </c>
      <c r="O6" s="9">
        <f>VLOOKUP($A6,'RES installed'!$A$2:$C$7,3,FALSE)*'[1]Profiles, RES, Winter'!O$5</f>
        <v>9.0646326776395032</v>
      </c>
      <c r="P6" s="9">
        <f>VLOOKUP($A6,'RES installed'!$A$2:$C$7,3,FALSE)*'[1]Profiles, RES, Winter'!P$5</f>
        <v>8.2858289843436381</v>
      </c>
      <c r="Q6" s="9">
        <f>VLOOKUP($A6,'RES installed'!$A$2:$C$7,3,FALSE)*'[1]Profiles, RES, Winter'!Q$5</f>
        <v>8.3580891208350057</v>
      </c>
      <c r="R6" s="9">
        <f>VLOOKUP($A6,'RES installed'!$A$2:$C$7,3,FALSE)*'[1]Profiles, RES, Winter'!R$5</f>
        <v>8.6712163789642709</v>
      </c>
      <c r="S6" s="9">
        <f>VLOOKUP($A6,'RES installed'!$A$2:$C$7,3,FALSE)*'[1]Profiles, RES, Winter'!S$5</f>
        <v>9.991971095945404</v>
      </c>
      <c r="T6" s="9">
        <f>VLOOKUP($A6,'RES installed'!$A$2:$C$7,3,FALSE)*'[1]Profiles, RES, Winter'!T$5</f>
        <v>10.818948213568849</v>
      </c>
      <c r="U6" s="9">
        <f>VLOOKUP($A6,'RES installed'!$A$2:$C$7,3,FALSE)*'[1]Profiles, RES, Winter'!U$5</f>
        <v>11.087916499397831</v>
      </c>
      <c r="V6" s="9">
        <f>VLOOKUP($A6,'RES installed'!$A$2:$C$7,3,FALSE)*'[1]Profiles, RES, Winter'!V$5</f>
        <v>10.72260136491369</v>
      </c>
      <c r="W6" s="9">
        <f>VLOOKUP($A6,'RES installed'!$A$2:$C$7,3,FALSE)*'[1]Profiles, RES, Winter'!W$5</f>
        <v>10.14050582095544</v>
      </c>
      <c r="X6" s="9">
        <f>VLOOKUP($A6,'RES installed'!$A$2:$C$7,3,FALSE)*'[1]Profiles, RES, Winter'!X$5</f>
        <v>10.248896025692494</v>
      </c>
      <c r="Y6" s="9">
        <f>VLOOKUP($A6,'RES installed'!$A$2:$C$7,3,FALSE)*'[1]Profiles, RES, Winter'!Y$5</f>
        <v>10.670413488558811</v>
      </c>
    </row>
    <row r="7" spans="1:25" x14ac:dyDescent="0.3">
      <c r="A7" s="8">
        <v>6</v>
      </c>
      <c r="B7" s="9">
        <f>VLOOKUP($A7,'RES installed'!$A$2:$C$7,3,FALSE)*'[1]Profiles, RES, Winter'!B$5</f>
        <v>16.264552388598958</v>
      </c>
      <c r="C7" s="9">
        <f>VLOOKUP($A7,'RES installed'!$A$2:$C$7,3,FALSE)*'[1]Profiles, RES, Winter'!C$5</f>
        <v>17.498996386993174</v>
      </c>
      <c r="D7" s="9">
        <f>VLOOKUP($A7,'RES installed'!$A$2:$C$7,3,FALSE)*'[1]Profiles, RES, Winter'!D$5</f>
        <v>17.408671216378966</v>
      </c>
      <c r="E7" s="9">
        <f>VLOOKUP($A7,'RES installed'!$A$2:$C$7,3,FALSE)*'[1]Profiles, RES, Winter'!E$5</f>
        <v>17.444801284624649</v>
      </c>
      <c r="F7" s="9">
        <f>VLOOKUP($A7,'RES installed'!$A$2:$C$7,3,FALSE)*'[1]Profiles, RES, Winter'!F$5</f>
        <v>18.059012444801287</v>
      </c>
      <c r="G7" s="9">
        <f>VLOOKUP($A7,'RES installed'!$A$2:$C$7,3,FALSE)*'[1]Profiles, RES, Winter'!G$5</f>
        <v>19.064632677639505</v>
      </c>
      <c r="H7" s="9">
        <f>VLOOKUP($A7,'RES installed'!$A$2:$C$7,3,FALSE)*'[1]Profiles, RES, Winter'!H$5</f>
        <v>20.311120032115614</v>
      </c>
      <c r="I7" s="9">
        <f>VLOOKUP($A7,'RES installed'!$A$2:$C$7,3,FALSE)*'[1]Profiles, RES, Winter'!I$5</f>
        <v>20.3472501003613</v>
      </c>
      <c r="J7" s="9">
        <f>VLOOKUP($A7,'RES installed'!$A$2:$C$7,3,FALSE)*'[1]Profiles, RES, Winter'!J$5</f>
        <v>20.166599759132879</v>
      </c>
      <c r="K7" s="9">
        <f>VLOOKUP($A7,'RES installed'!$A$2:$C$7,3,FALSE)*'[1]Profiles, RES, Winter'!K$5</f>
        <v>18.926134082697711</v>
      </c>
      <c r="L7" s="9">
        <f>VLOOKUP($A7,'RES installed'!$A$2:$C$7,3,FALSE)*'[1]Profiles, RES, Winter'!L$5</f>
        <v>16.505419510236852</v>
      </c>
      <c r="M7" s="9">
        <f>VLOOKUP($A7,'RES installed'!$A$2:$C$7,3,FALSE)*'[1]Profiles, RES, Winter'!M$5</f>
        <v>15.186672019269368</v>
      </c>
      <c r="N7" s="9">
        <f>VLOOKUP($A7,'RES installed'!$A$2:$C$7,3,FALSE)*'[1]Profiles, RES, Winter'!N$5</f>
        <v>14.590525893215577</v>
      </c>
      <c r="O7" s="9">
        <f>VLOOKUP($A7,'RES installed'!$A$2:$C$7,3,FALSE)*'[1]Profiles, RES, Winter'!O$5</f>
        <v>13.596949016459254</v>
      </c>
      <c r="P7" s="9">
        <f>VLOOKUP($A7,'RES installed'!$A$2:$C$7,3,FALSE)*'[1]Profiles, RES, Winter'!P$5</f>
        <v>12.428743476515455</v>
      </c>
      <c r="Q7" s="9">
        <f>VLOOKUP($A7,'RES installed'!$A$2:$C$7,3,FALSE)*'[1]Profiles, RES, Winter'!Q$5</f>
        <v>12.537133681252509</v>
      </c>
      <c r="R7" s="9">
        <f>VLOOKUP($A7,'RES installed'!$A$2:$C$7,3,FALSE)*'[1]Profiles, RES, Winter'!R$5</f>
        <v>13.006824568446408</v>
      </c>
      <c r="S7" s="9">
        <f>VLOOKUP($A7,'RES installed'!$A$2:$C$7,3,FALSE)*'[1]Profiles, RES, Winter'!S$5</f>
        <v>14.987956643918105</v>
      </c>
      <c r="T7" s="9">
        <f>VLOOKUP($A7,'RES installed'!$A$2:$C$7,3,FALSE)*'[1]Profiles, RES, Winter'!T$5</f>
        <v>16.228422320353275</v>
      </c>
      <c r="U7" s="9">
        <f>VLOOKUP($A7,'RES installed'!$A$2:$C$7,3,FALSE)*'[1]Profiles, RES, Winter'!U$5</f>
        <v>16.631874749096749</v>
      </c>
      <c r="V7" s="9">
        <f>VLOOKUP($A7,'RES installed'!$A$2:$C$7,3,FALSE)*'[1]Profiles, RES, Winter'!V$5</f>
        <v>16.083902047370533</v>
      </c>
      <c r="W7" s="9">
        <f>VLOOKUP($A7,'RES installed'!$A$2:$C$7,3,FALSE)*'[1]Profiles, RES, Winter'!W$5</f>
        <v>15.210758731433158</v>
      </c>
      <c r="X7" s="9">
        <f>VLOOKUP($A7,'RES installed'!$A$2:$C$7,3,FALSE)*'[1]Profiles, RES, Winter'!X$5</f>
        <v>15.37334403853874</v>
      </c>
      <c r="Y7" s="9">
        <f>VLOOKUP($A7,'RES installed'!$A$2:$C$7,3,FALSE)*'[1]Profiles, RES, Winter'!Y$5</f>
        <v>16.005620232838218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1.1372251705837756E-2</v>
      </c>
      <c r="J8" s="6">
        <f>VLOOKUP($A8,'RES installed'!$A$2:$C$7,3,FALSE)*'[1]Profiles, RES, Winter'!J$2</f>
        <v>1.3305534495830176</v>
      </c>
      <c r="K8" s="6">
        <f>VLOOKUP($A8,'RES installed'!$A$2:$C$7,3,FALSE)*'[1]Profiles, RES, Winter'!K$2</f>
        <v>5.6178923426838514</v>
      </c>
      <c r="L8" s="6">
        <f>VLOOKUP($A8,'RES installed'!$A$2:$C$7,3,FALSE)*'[1]Profiles, RES, Winter'!L$2</f>
        <v>9.8824867323730103</v>
      </c>
      <c r="M8" s="6">
        <f>VLOOKUP($A8,'RES installed'!$A$2:$C$7,3,FALSE)*'[1]Profiles, RES, Winter'!M$2</f>
        <v>11.75890826383624</v>
      </c>
      <c r="N8" s="6">
        <f>VLOOKUP($A8,'RES installed'!$A$2:$C$7,3,FALSE)*'[1]Profiles, RES, Winter'!N$2</f>
        <v>11.315390447308568</v>
      </c>
      <c r="O8" s="6">
        <f>VLOOKUP($A8,'RES installed'!$A$2:$C$7,3,FALSE)*'[1]Profiles, RES, Winter'!O$2</f>
        <v>11.406368460955269</v>
      </c>
      <c r="P8" s="6">
        <f>VLOOKUP($A8,'RES installed'!$A$2:$C$7,3,FALSE)*'[1]Profiles, RES, Winter'!P$2</f>
        <v>10.769522365428356</v>
      </c>
      <c r="Q8" s="6">
        <f>VLOOKUP($A8,'RES installed'!$A$2:$C$7,3,FALSE)*'[1]Profiles, RES, Winter'!Q$2</f>
        <v>8.0629264594389696</v>
      </c>
      <c r="R8" s="6">
        <f>VLOOKUP($A8,'RES installed'!$A$2:$C$7,3,FALSE)*'[1]Profiles, RES, Winter'!R$2</f>
        <v>3.0363912054586808</v>
      </c>
      <c r="S8" s="6">
        <f>VLOOKUP($A8,'RES installed'!$A$2:$C$7,3,FALSE)*'[1]Profiles, RES, Winter'!S$2</f>
        <v>0.13646702047005307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3.7907505686125853E-3</v>
      </c>
      <c r="J9" s="6">
        <f>VLOOKUP($A9,'RES installed'!$A$2:$C$7,3,FALSE)*'[1]Profiles, RES, Winter'!J$2</f>
        <v>0.44351781652767253</v>
      </c>
      <c r="K9" s="6">
        <f>VLOOKUP($A9,'RES installed'!$A$2:$C$7,3,FALSE)*'[1]Profiles, RES, Winter'!K$2</f>
        <v>1.8726307808946172</v>
      </c>
      <c r="L9" s="6">
        <f>VLOOKUP($A9,'RES installed'!$A$2:$C$7,3,FALSE)*'[1]Profiles, RES, Winter'!L$2</f>
        <v>3.2941622441243368</v>
      </c>
      <c r="M9" s="6">
        <f>VLOOKUP($A9,'RES installed'!$A$2:$C$7,3,FALSE)*'[1]Profiles, RES, Winter'!M$2</f>
        <v>3.9196360879454133</v>
      </c>
      <c r="N9" s="6">
        <f>VLOOKUP($A9,'RES installed'!$A$2:$C$7,3,FALSE)*'[1]Profiles, RES, Winter'!N$2</f>
        <v>3.7717968157695223</v>
      </c>
      <c r="O9" s="6">
        <f>VLOOKUP($A9,'RES installed'!$A$2:$C$7,3,FALSE)*'[1]Profiles, RES, Winter'!O$2</f>
        <v>3.8021228203184232</v>
      </c>
      <c r="P9" s="6">
        <f>VLOOKUP($A9,'RES installed'!$A$2:$C$7,3,FALSE)*'[1]Profiles, RES, Winter'!P$2</f>
        <v>3.5898407884761188</v>
      </c>
      <c r="Q9" s="6">
        <f>VLOOKUP($A9,'RES installed'!$A$2:$C$7,3,FALSE)*'[1]Profiles, RES, Winter'!Q$2</f>
        <v>2.687642153146323</v>
      </c>
      <c r="R9" s="6">
        <f>VLOOKUP($A9,'RES installed'!$A$2:$C$7,3,FALSE)*'[1]Profiles, RES, Winter'!R$2</f>
        <v>1.0121304018195603</v>
      </c>
      <c r="S9" s="6">
        <f>VLOOKUP($A9,'RES installed'!$A$2:$C$7,3,FALSE)*'[1]Profiles, RES, Winter'!S$2</f>
        <v>4.5489006823351025E-2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7.5815011372251705E-3</v>
      </c>
      <c r="J10" s="6">
        <f>VLOOKUP($A10,'RES installed'!$A$2:$C$7,3,FALSE)*'[1]Profiles, RES, Winter'!J$2</f>
        <v>0.88703563305534505</v>
      </c>
      <c r="K10" s="6">
        <f>VLOOKUP($A10,'RES installed'!$A$2:$C$7,3,FALSE)*'[1]Profiles, RES, Winter'!K$2</f>
        <v>3.7452615617892344</v>
      </c>
      <c r="L10" s="6">
        <f>VLOOKUP($A10,'RES installed'!$A$2:$C$7,3,FALSE)*'[1]Profiles, RES, Winter'!L$2</f>
        <v>6.5883244882486736</v>
      </c>
      <c r="M10" s="6">
        <f>VLOOKUP($A10,'RES installed'!$A$2:$C$7,3,FALSE)*'[1]Profiles, RES, Winter'!M$2</f>
        <v>7.8392721758908266</v>
      </c>
      <c r="N10" s="6">
        <f>VLOOKUP($A10,'RES installed'!$A$2:$C$7,3,FALSE)*'[1]Profiles, RES, Winter'!N$2</f>
        <v>7.5435936315390446</v>
      </c>
      <c r="O10" s="6">
        <f>VLOOKUP($A10,'RES installed'!$A$2:$C$7,3,FALSE)*'[1]Profiles, RES, Winter'!O$2</f>
        <v>7.6042456406368464</v>
      </c>
      <c r="P10" s="6">
        <f>VLOOKUP($A10,'RES installed'!$A$2:$C$7,3,FALSE)*'[1]Profiles, RES, Winter'!P$2</f>
        <v>7.1796815769522375</v>
      </c>
      <c r="Q10" s="6">
        <f>VLOOKUP($A10,'RES installed'!$A$2:$C$7,3,FALSE)*'[1]Profiles, RES, Winter'!Q$2</f>
        <v>5.3752843062926461</v>
      </c>
      <c r="R10" s="6">
        <f>VLOOKUP($A10,'RES installed'!$A$2:$C$7,3,FALSE)*'[1]Profiles, RES, Winter'!R$2</f>
        <v>2.0242608036391205</v>
      </c>
      <c r="S10" s="6">
        <f>VLOOKUP($A10,'RES installed'!$A$2:$C$7,3,FALSE)*'[1]Profiles, RES, Winter'!S$2</f>
        <v>9.0978013646702049E-2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15.740666399036531</v>
      </c>
      <c r="C5" s="9">
        <f>VLOOKUP($A5,'RES installed'!$A$2:$C$7,3,FALSE)*'[1]Profiles, RES, Winter'!C$6</f>
        <v>15.981533520674429</v>
      </c>
      <c r="D5" s="9">
        <f>VLOOKUP($A5,'RES installed'!$A$2:$C$7,3,FALSE)*'[1]Profiles, RES, Winter'!D$6</f>
        <v>16.035728623042953</v>
      </c>
      <c r="E5" s="9">
        <f>VLOOKUP($A5,'RES installed'!$A$2:$C$7,3,FALSE)*'[1]Profiles, RES, Winter'!E$6</f>
        <v>14.662786029706945</v>
      </c>
      <c r="F5" s="9">
        <f>VLOOKUP($A5,'RES installed'!$A$2:$C$7,3,FALSE)*'[1]Profiles, RES, Winter'!F$6</f>
        <v>15.132476916900844</v>
      </c>
      <c r="G5" s="9">
        <f>VLOOKUP($A5,'RES installed'!$A$2:$C$7,3,FALSE)*'[1]Profiles, RES, Winter'!G$6</f>
        <v>15.97551184263348</v>
      </c>
      <c r="H5" s="9">
        <f>VLOOKUP($A5,'RES installed'!$A$2:$C$7,3,FALSE)*'[1]Profiles, RES, Winter'!H$6</f>
        <v>16.354877559213168</v>
      </c>
      <c r="I5" s="9">
        <f>VLOOKUP($A5,'RES installed'!$A$2:$C$7,3,FALSE)*'[1]Profiles, RES, Winter'!I$6</f>
        <v>15.578081091930949</v>
      </c>
      <c r="J5" s="9">
        <f>VLOOKUP($A5,'RES installed'!$A$2:$C$7,3,FALSE)*'[1]Profiles, RES, Winter'!J$6</f>
        <v>14.825371336812525</v>
      </c>
      <c r="K5" s="9">
        <f>VLOOKUP($A5,'RES installed'!$A$2:$C$7,3,FALSE)*'[1]Profiles, RES, Winter'!K$6</f>
        <v>13.964271376957045</v>
      </c>
      <c r="L5" s="9">
        <f>VLOOKUP($A5,'RES installed'!$A$2:$C$7,3,FALSE)*'[1]Profiles, RES, Winter'!L$6</f>
        <v>13.121236451224407</v>
      </c>
      <c r="M5" s="9">
        <f>VLOOKUP($A5,'RES installed'!$A$2:$C$7,3,FALSE)*'[1]Profiles, RES, Winter'!M$6</f>
        <v>12.398635086310719</v>
      </c>
      <c r="N5" s="9">
        <f>VLOOKUP($A5,'RES installed'!$A$2:$C$7,3,FALSE)*'[1]Profiles, RES, Winter'!N$6</f>
        <v>11.429144921718187</v>
      </c>
      <c r="O5" s="9">
        <f>VLOOKUP($A5,'RES installed'!$A$2:$C$7,3,FALSE)*'[1]Profiles, RES, Winter'!O$6</f>
        <v>8.8518667201926942</v>
      </c>
      <c r="P5" s="9">
        <f>VLOOKUP($A5,'RES installed'!$A$2:$C$7,3,FALSE)*'[1]Profiles, RES, Winter'!P$6</f>
        <v>8.6591730228823778</v>
      </c>
      <c r="Q5" s="9">
        <f>VLOOKUP($A5,'RES installed'!$A$2:$C$7,3,FALSE)*'[1]Profiles, RES, Winter'!Q$6</f>
        <v>8.8097149739060612</v>
      </c>
      <c r="R5" s="9">
        <f>VLOOKUP($A5,'RES installed'!$A$2:$C$7,3,FALSE)*'[1]Profiles, RES, Winter'!R$6</f>
        <v>11.176234443998394</v>
      </c>
      <c r="S5" s="9">
        <f>VLOOKUP($A5,'RES installed'!$A$2:$C$7,3,FALSE)*'[1]Profiles, RES, Winter'!S$6</f>
        <v>13.097149739060619</v>
      </c>
      <c r="T5" s="9">
        <f>VLOOKUP($A5,'RES installed'!$A$2:$C$7,3,FALSE)*'[1]Profiles, RES, Winter'!T$6</f>
        <v>13.95222802087515</v>
      </c>
      <c r="U5" s="9">
        <f>VLOOKUP($A5,'RES installed'!$A$2:$C$7,3,FALSE)*'[1]Profiles, RES, Winter'!U$6</f>
        <v>14.572460859092734</v>
      </c>
      <c r="V5" s="9">
        <f>VLOOKUP($A5,'RES installed'!$A$2:$C$7,3,FALSE)*'[1]Profiles, RES, Winter'!V$6</f>
        <v>15.060216780409473</v>
      </c>
      <c r="W5" s="9">
        <f>VLOOKUP($A5,'RES installed'!$A$2:$C$7,3,FALSE)*'[1]Profiles, RES, Winter'!W$6</f>
        <v>15.632276194299479</v>
      </c>
      <c r="X5" s="9">
        <f>VLOOKUP($A5,'RES installed'!$A$2:$C$7,3,FALSE)*'[1]Profiles, RES, Winter'!X$6</f>
        <v>15.337213970293057</v>
      </c>
      <c r="Y5" s="9">
        <f>VLOOKUP($A5,'RES installed'!$A$2:$C$7,3,FALSE)*'[1]Profiles, RES, Winter'!Y$6</f>
        <v>14.921718185467684</v>
      </c>
    </row>
    <row r="6" spans="1:25" x14ac:dyDescent="0.3">
      <c r="A6" s="8">
        <v>5</v>
      </c>
      <c r="B6" s="9">
        <f>VLOOKUP($A6,'RES installed'!$A$2:$C$7,3,FALSE)*'[1]Profiles, RES, Winter'!B$6</f>
        <v>10.493777599357689</v>
      </c>
      <c r="C6" s="9">
        <f>VLOOKUP($A6,'RES installed'!$A$2:$C$7,3,FALSE)*'[1]Profiles, RES, Winter'!C$6</f>
        <v>10.654355680449619</v>
      </c>
      <c r="D6" s="9">
        <f>VLOOKUP($A6,'RES installed'!$A$2:$C$7,3,FALSE)*'[1]Profiles, RES, Winter'!D$6</f>
        <v>10.690485748695302</v>
      </c>
      <c r="E6" s="9">
        <f>VLOOKUP($A6,'RES installed'!$A$2:$C$7,3,FALSE)*'[1]Profiles, RES, Winter'!E$6</f>
        <v>9.7751906864712961</v>
      </c>
      <c r="F6" s="9">
        <f>VLOOKUP($A6,'RES installed'!$A$2:$C$7,3,FALSE)*'[1]Profiles, RES, Winter'!F$6</f>
        <v>10.088317944600561</v>
      </c>
      <c r="G6" s="9">
        <f>VLOOKUP($A6,'RES installed'!$A$2:$C$7,3,FALSE)*'[1]Profiles, RES, Winter'!G$6</f>
        <v>10.65034122842232</v>
      </c>
      <c r="H6" s="9">
        <f>VLOOKUP($A6,'RES installed'!$A$2:$C$7,3,FALSE)*'[1]Profiles, RES, Winter'!H$6</f>
        <v>10.903251706142111</v>
      </c>
      <c r="I6" s="9">
        <f>VLOOKUP($A6,'RES installed'!$A$2:$C$7,3,FALSE)*'[1]Profiles, RES, Winter'!I$6</f>
        <v>10.385387394620633</v>
      </c>
      <c r="J6" s="9">
        <f>VLOOKUP($A6,'RES installed'!$A$2:$C$7,3,FALSE)*'[1]Profiles, RES, Winter'!J$6</f>
        <v>9.88358089120835</v>
      </c>
      <c r="K6" s="9">
        <f>VLOOKUP($A6,'RES installed'!$A$2:$C$7,3,FALSE)*'[1]Profiles, RES, Winter'!K$6</f>
        <v>9.3095142513046962</v>
      </c>
      <c r="L6" s="9">
        <f>VLOOKUP($A6,'RES installed'!$A$2:$C$7,3,FALSE)*'[1]Profiles, RES, Winter'!L$6</f>
        <v>8.7474909674829391</v>
      </c>
      <c r="M6" s="9">
        <f>VLOOKUP($A6,'RES installed'!$A$2:$C$7,3,FALSE)*'[1]Profiles, RES, Winter'!M$6</f>
        <v>8.2657567242071455</v>
      </c>
      <c r="N6" s="9">
        <f>VLOOKUP($A6,'RES installed'!$A$2:$C$7,3,FALSE)*'[1]Profiles, RES, Winter'!N$6</f>
        <v>7.6194299478121241</v>
      </c>
      <c r="O6" s="9">
        <f>VLOOKUP($A6,'RES installed'!$A$2:$C$7,3,FALSE)*'[1]Profiles, RES, Winter'!O$6</f>
        <v>5.9012444801284625</v>
      </c>
      <c r="P6" s="9">
        <f>VLOOKUP($A6,'RES installed'!$A$2:$C$7,3,FALSE)*'[1]Profiles, RES, Winter'!P$6</f>
        <v>5.7727820152549185</v>
      </c>
      <c r="Q6" s="9">
        <f>VLOOKUP($A6,'RES installed'!$A$2:$C$7,3,FALSE)*'[1]Profiles, RES, Winter'!Q$6</f>
        <v>5.8731433159373747</v>
      </c>
      <c r="R6" s="9">
        <f>VLOOKUP($A6,'RES installed'!$A$2:$C$7,3,FALSE)*'[1]Profiles, RES, Winter'!R$6</f>
        <v>7.4508229626655966</v>
      </c>
      <c r="S6" s="9">
        <f>VLOOKUP($A6,'RES installed'!$A$2:$C$7,3,FALSE)*'[1]Profiles, RES, Winter'!S$6</f>
        <v>8.7314331593737453</v>
      </c>
      <c r="T6" s="9">
        <f>VLOOKUP($A6,'RES installed'!$A$2:$C$7,3,FALSE)*'[1]Profiles, RES, Winter'!T$6</f>
        <v>9.3014853472501002</v>
      </c>
      <c r="U6" s="9">
        <f>VLOOKUP($A6,'RES installed'!$A$2:$C$7,3,FALSE)*'[1]Profiles, RES, Winter'!U$6</f>
        <v>9.7149739060618217</v>
      </c>
      <c r="V6" s="9">
        <f>VLOOKUP($A6,'RES installed'!$A$2:$C$7,3,FALSE)*'[1]Profiles, RES, Winter'!V$6</f>
        <v>10.040144520272982</v>
      </c>
      <c r="W6" s="9">
        <f>VLOOKUP($A6,'RES installed'!$A$2:$C$7,3,FALSE)*'[1]Profiles, RES, Winter'!W$6</f>
        <v>10.421517462866319</v>
      </c>
      <c r="X6" s="9">
        <f>VLOOKUP($A6,'RES installed'!$A$2:$C$7,3,FALSE)*'[1]Profiles, RES, Winter'!X$6</f>
        <v>10.224809313528704</v>
      </c>
      <c r="Y6" s="9">
        <f>VLOOKUP($A6,'RES installed'!$A$2:$C$7,3,FALSE)*'[1]Profiles, RES, Winter'!Y$6</f>
        <v>9.9478121236451216</v>
      </c>
    </row>
    <row r="7" spans="1:25" x14ac:dyDescent="0.3">
      <c r="A7" s="8">
        <v>6</v>
      </c>
      <c r="B7" s="9">
        <f>VLOOKUP($A7,'RES installed'!$A$2:$C$7,3,FALSE)*'[1]Profiles, RES, Winter'!B$6</f>
        <v>15.740666399036531</v>
      </c>
      <c r="C7" s="9">
        <f>VLOOKUP($A7,'RES installed'!$A$2:$C$7,3,FALSE)*'[1]Profiles, RES, Winter'!C$6</f>
        <v>15.981533520674429</v>
      </c>
      <c r="D7" s="9">
        <f>VLOOKUP($A7,'RES installed'!$A$2:$C$7,3,FALSE)*'[1]Profiles, RES, Winter'!D$6</f>
        <v>16.035728623042953</v>
      </c>
      <c r="E7" s="9">
        <f>VLOOKUP($A7,'RES installed'!$A$2:$C$7,3,FALSE)*'[1]Profiles, RES, Winter'!E$6</f>
        <v>14.662786029706945</v>
      </c>
      <c r="F7" s="9">
        <f>VLOOKUP($A7,'RES installed'!$A$2:$C$7,3,FALSE)*'[1]Profiles, RES, Winter'!F$6</f>
        <v>15.132476916900844</v>
      </c>
      <c r="G7" s="9">
        <f>VLOOKUP($A7,'RES installed'!$A$2:$C$7,3,FALSE)*'[1]Profiles, RES, Winter'!G$6</f>
        <v>15.97551184263348</v>
      </c>
      <c r="H7" s="9">
        <f>VLOOKUP($A7,'RES installed'!$A$2:$C$7,3,FALSE)*'[1]Profiles, RES, Winter'!H$6</f>
        <v>16.354877559213168</v>
      </c>
      <c r="I7" s="9">
        <f>VLOOKUP($A7,'RES installed'!$A$2:$C$7,3,FALSE)*'[1]Profiles, RES, Winter'!I$6</f>
        <v>15.578081091930949</v>
      </c>
      <c r="J7" s="9">
        <f>VLOOKUP($A7,'RES installed'!$A$2:$C$7,3,FALSE)*'[1]Profiles, RES, Winter'!J$6</f>
        <v>14.825371336812525</v>
      </c>
      <c r="K7" s="9">
        <f>VLOOKUP($A7,'RES installed'!$A$2:$C$7,3,FALSE)*'[1]Profiles, RES, Winter'!K$6</f>
        <v>13.964271376957045</v>
      </c>
      <c r="L7" s="9">
        <f>VLOOKUP($A7,'RES installed'!$A$2:$C$7,3,FALSE)*'[1]Profiles, RES, Winter'!L$6</f>
        <v>13.121236451224407</v>
      </c>
      <c r="M7" s="9">
        <f>VLOOKUP($A7,'RES installed'!$A$2:$C$7,3,FALSE)*'[1]Profiles, RES, Winter'!M$6</f>
        <v>12.398635086310719</v>
      </c>
      <c r="N7" s="9">
        <f>VLOOKUP($A7,'RES installed'!$A$2:$C$7,3,FALSE)*'[1]Profiles, RES, Winter'!N$6</f>
        <v>11.429144921718187</v>
      </c>
      <c r="O7" s="9">
        <f>VLOOKUP($A7,'RES installed'!$A$2:$C$7,3,FALSE)*'[1]Profiles, RES, Winter'!O$6</f>
        <v>8.8518667201926942</v>
      </c>
      <c r="P7" s="9">
        <f>VLOOKUP($A7,'RES installed'!$A$2:$C$7,3,FALSE)*'[1]Profiles, RES, Winter'!P$6</f>
        <v>8.6591730228823778</v>
      </c>
      <c r="Q7" s="9">
        <f>VLOOKUP($A7,'RES installed'!$A$2:$C$7,3,FALSE)*'[1]Profiles, RES, Winter'!Q$6</f>
        <v>8.8097149739060612</v>
      </c>
      <c r="R7" s="9">
        <f>VLOOKUP($A7,'RES installed'!$A$2:$C$7,3,FALSE)*'[1]Profiles, RES, Winter'!R$6</f>
        <v>11.176234443998394</v>
      </c>
      <c r="S7" s="9">
        <f>VLOOKUP($A7,'RES installed'!$A$2:$C$7,3,FALSE)*'[1]Profiles, RES, Winter'!S$6</f>
        <v>13.097149739060619</v>
      </c>
      <c r="T7" s="9">
        <f>VLOOKUP($A7,'RES installed'!$A$2:$C$7,3,FALSE)*'[1]Profiles, RES, Winter'!T$6</f>
        <v>13.95222802087515</v>
      </c>
      <c r="U7" s="9">
        <f>VLOOKUP($A7,'RES installed'!$A$2:$C$7,3,FALSE)*'[1]Profiles, RES, Winter'!U$6</f>
        <v>14.572460859092734</v>
      </c>
      <c r="V7" s="9">
        <f>VLOOKUP($A7,'RES installed'!$A$2:$C$7,3,FALSE)*'[1]Profiles, RES, Winter'!V$6</f>
        <v>15.060216780409473</v>
      </c>
      <c r="W7" s="9">
        <f>VLOOKUP($A7,'RES installed'!$A$2:$C$7,3,FALSE)*'[1]Profiles, RES, Winter'!W$6</f>
        <v>15.632276194299479</v>
      </c>
      <c r="X7" s="9">
        <f>VLOOKUP($A7,'RES installed'!$A$2:$C$7,3,FALSE)*'[1]Profiles, RES, Winter'!X$6</f>
        <v>15.337213970293057</v>
      </c>
      <c r="Y7" s="9">
        <f>VLOOKUP($A7,'RES installed'!$A$2:$C$7,3,FALSE)*'[1]Profiles, RES, Winter'!Y$6</f>
        <v>14.921718185467684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2.2744503411675512E-2</v>
      </c>
      <c r="J8" s="6">
        <f>VLOOKUP($A8,'RES installed'!$A$2:$C$7,3,FALSE)*'[1]Profiles, RES, Winter'!J$3</f>
        <v>1.9446550416982564</v>
      </c>
      <c r="K8" s="6">
        <f>VLOOKUP($A8,'RES installed'!$A$2:$C$7,3,FALSE)*'[1]Profiles, RES, Winter'!K$3</f>
        <v>6.6868840030326009</v>
      </c>
      <c r="L8" s="6">
        <f>VLOOKUP($A8,'RES installed'!$A$2:$C$7,3,FALSE)*'[1]Profiles, RES, Winter'!L$3</f>
        <v>10.269143290371494</v>
      </c>
      <c r="M8" s="6">
        <f>VLOOKUP($A8,'RES installed'!$A$2:$C$7,3,FALSE)*'[1]Profiles, RES, Winter'!M$3</f>
        <v>10.18953752843063</v>
      </c>
      <c r="N8" s="6">
        <f>VLOOKUP($A8,'RES installed'!$A$2:$C$7,3,FALSE)*'[1]Profiles, RES, Winter'!N$3</f>
        <v>11.326762699014404</v>
      </c>
      <c r="O8" s="6">
        <f>VLOOKUP($A8,'RES installed'!$A$2:$C$7,3,FALSE)*'[1]Profiles, RES, Winter'!O$3</f>
        <v>11.076573161485973</v>
      </c>
      <c r="P8" s="6">
        <f>VLOOKUP($A8,'RES installed'!$A$2:$C$7,3,FALSE)*'[1]Profiles, RES, Winter'!P$3</f>
        <v>9.3707354056103096</v>
      </c>
      <c r="Q8" s="6">
        <f>VLOOKUP($A8,'RES installed'!$A$2:$C$7,3,FALSE)*'[1]Profiles, RES, Winter'!Q$3</f>
        <v>6.02729340409401</v>
      </c>
      <c r="R8" s="6">
        <f>VLOOKUP($A8,'RES installed'!$A$2:$C$7,3,FALSE)*'[1]Profiles, RES, Winter'!R$3</f>
        <v>1.9219105382865809</v>
      </c>
      <c r="S8" s="6">
        <f>VLOOKUP($A8,'RES installed'!$A$2:$C$7,3,FALSE)*'[1]Profiles, RES, Winter'!S$3</f>
        <v>0.11372251705837756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7.5815011372251705E-3</v>
      </c>
      <c r="J9" s="6">
        <f>VLOOKUP($A9,'RES installed'!$A$2:$C$7,3,FALSE)*'[1]Profiles, RES, Winter'!J$3</f>
        <v>0.64821834723275207</v>
      </c>
      <c r="K9" s="6">
        <f>VLOOKUP($A9,'RES installed'!$A$2:$C$7,3,FALSE)*'[1]Profiles, RES, Winter'!K$3</f>
        <v>2.2289613343442003</v>
      </c>
      <c r="L9" s="6">
        <f>VLOOKUP($A9,'RES installed'!$A$2:$C$7,3,FALSE)*'[1]Profiles, RES, Winter'!L$3</f>
        <v>3.4230477634571645</v>
      </c>
      <c r="M9" s="6">
        <f>VLOOKUP($A9,'RES installed'!$A$2:$C$7,3,FALSE)*'[1]Profiles, RES, Winter'!M$3</f>
        <v>3.3965125094768767</v>
      </c>
      <c r="N9" s="6">
        <f>VLOOKUP($A9,'RES installed'!$A$2:$C$7,3,FALSE)*'[1]Profiles, RES, Winter'!N$3</f>
        <v>3.7755875663381349</v>
      </c>
      <c r="O9" s="6">
        <f>VLOOKUP($A9,'RES installed'!$A$2:$C$7,3,FALSE)*'[1]Profiles, RES, Winter'!O$3</f>
        <v>3.6921910538286578</v>
      </c>
      <c r="P9" s="6">
        <f>VLOOKUP($A9,'RES installed'!$A$2:$C$7,3,FALSE)*'[1]Profiles, RES, Winter'!P$3</f>
        <v>3.12357846853677</v>
      </c>
      <c r="Q9" s="6">
        <f>VLOOKUP($A9,'RES installed'!$A$2:$C$7,3,FALSE)*'[1]Profiles, RES, Winter'!Q$3</f>
        <v>2.0090978013646703</v>
      </c>
      <c r="R9" s="6">
        <f>VLOOKUP($A9,'RES installed'!$A$2:$C$7,3,FALSE)*'[1]Profiles, RES, Winter'!R$3</f>
        <v>0.64063684609552696</v>
      </c>
      <c r="S9" s="6">
        <f>VLOOKUP($A9,'RES installed'!$A$2:$C$7,3,FALSE)*'[1]Profiles, RES, Winter'!S$3</f>
        <v>3.7907505686125852E-2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1.5163002274450341E-2</v>
      </c>
      <c r="J10" s="6">
        <f>VLOOKUP($A10,'RES installed'!$A$2:$C$7,3,FALSE)*'[1]Profiles, RES, Winter'!J$3</f>
        <v>1.2964366944655041</v>
      </c>
      <c r="K10" s="6">
        <f>VLOOKUP($A10,'RES installed'!$A$2:$C$7,3,FALSE)*'[1]Profiles, RES, Winter'!K$3</f>
        <v>4.4579226686884006</v>
      </c>
      <c r="L10" s="6">
        <f>VLOOKUP($A10,'RES installed'!$A$2:$C$7,3,FALSE)*'[1]Profiles, RES, Winter'!L$3</f>
        <v>6.8460955269143291</v>
      </c>
      <c r="M10" s="6">
        <f>VLOOKUP($A10,'RES installed'!$A$2:$C$7,3,FALSE)*'[1]Profiles, RES, Winter'!M$3</f>
        <v>6.7930250189537533</v>
      </c>
      <c r="N10" s="6">
        <f>VLOOKUP($A10,'RES installed'!$A$2:$C$7,3,FALSE)*'[1]Profiles, RES, Winter'!N$3</f>
        <v>7.5511751326762697</v>
      </c>
      <c r="O10" s="6">
        <f>VLOOKUP($A10,'RES installed'!$A$2:$C$7,3,FALSE)*'[1]Profiles, RES, Winter'!O$3</f>
        <v>7.3843821076573155</v>
      </c>
      <c r="P10" s="6">
        <f>VLOOKUP($A10,'RES installed'!$A$2:$C$7,3,FALSE)*'[1]Profiles, RES, Winter'!P$3</f>
        <v>6.24715693707354</v>
      </c>
      <c r="Q10" s="6">
        <f>VLOOKUP($A10,'RES installed'!$A$2:$C$7,3,FALSE)*'[1]Profiles, RES, Winter'!Q$3</f>
        <v>4.0181956027293406</v>
      </c>
      <c r="R10" s="6">
        <f>VLOOKUP($A10,'RES installed'!$A$2:$C$7,3,FALSE)*'[1]Profiles, RES, Winter'!R$3</f>
        <v>1.2812736921910539</v>
      </c>
      <c r="S10" s="6">
        <f>VLOOKUP($A10,'RES installed'!$A$2:$C$7,3,FALSE)*'[1]Profiles, RES, Winter'!S$3</f>
        <v>7.5815011372251703E-2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15.072260136491369</v>
      </c>
      <c r="C5" s="9">
        <f>VLOOKUP($A5,'RES installed'!$A$2:$C$7,3,FALSE)*'[1]Profiles, RES, Winter'!C$7</f>
        <v>15.006021678040948</v>
      </c>
      <c r="D5" s="9">
        <f>VLOOKUP($A5,'RES installed'!$A$2:$C$7,3,FALSE)*'[1]Profiles, RES, Winter'!D$7</f>
        <v>14.62665596146126</v>
      </c>
      <c r="E5" s="9">
        <f>VLOOKUP($A5,'RES installed'!$A$2:$C$7,3,FALSE)*'[1]Profiles, RES, Winter'!E$7</f>
        <v>14.987956643918105</v>
      </c>
      <c r="F5" s="9">
        <f>VLOOKUP($A5,'RES installed'!$A$2:$C$7,3,FALSE)*'[1]Profiles, RES, Winter'!F$7</f>
        <v>14.566439181051788</v>
      </c>
      <c r="G5" s="9">
        <f>VLOOKUP($A5,'RES installed'!$A$2:$C$7,3,FALSE)*'[1]Profiles, RES, Winter'!G$7</f>
        <v>14.48815736651947</v>
      </c>
      <c r="H5" s="9">
        <f>VLOOKUP($A5,'RES installed'!$A$2:$C$7,3,FALSE)*'[1]Profiles, RES, Winter'!H$7</f>
        <v>15.012043356081893</v>
      </c>
      <c r="I5" s="9">
        <f>VLOOKUP($A5,'RES installed'!$A$2:$C$7,3,FALSE)*'[1]Profiles, RES, Winter'!I$7</f>
        <v>14.108791649939784</v>
      </c>
      <c r="J5" s="9">
        <f>VLOOKUP($A5,'RES installed'!$A$2:$C$7,3,FALSE)*'[1]Profiles, RES, Winter'!J$7</f>
        <v>12.988759534323563</v>
      </c>
      <c r="K5" s="9">
        <f>VLOOKUP($A5,'RES installed'!$A$2:$C$7,3,FALSE)*'[1]Profiles, RES, Winter'!K$7</f>
        <v>12.16378964271377</v>
      </c>
      <c r="L5" s="9">
        <f>VLOOKUP($A5,'RES installed'!$A$2:$C$7,3,FALSE)*'[1]Profiles, RES, Winter'!L$7</f>
        <v>11.00160578081092</v>
      </c>
      <c r="M5" s="9">
        <f>VLOOKUP($A5,'RES installed'!$A$2:$C$7,3,FALSE)*'[1]Profiles, RES, Winter'!M$7</f>
        <v>9.4781212364512246</v>
      </c>
      <c r="N5" s="9">
        <f>VLOOKUP($A5,'RES installed'!$A$2:$C$7,3,FALSE)*'[1]Profiles, RES, Winter'!N$7</f>
        <v>8.5447611401043755</v>
      </c>
      <c r="O5" s="9">
        <f>VLOOKUP($A5,'RES installed'!$A$2:$C$7,3,FALSE)*'[1]Profiles, RES, Winter'!O$7</f>
        <v>8.4905660377358494</v>
      </c>
      <c r="P5" s="9">
        <f>VLOOKUP($A5,'RES installed'!$A$2:$C$7,3,FALSE)*'[1]Profiles, RES, Winter'!P$7</f>
        <v>9.6346848655158563</v>
      </c>
      <c r="Q5" s="9">
        <f>VLOOKUP($A5,'RES installed'!$A$2:$C$7,3,FALSE)*'[1]Profiles, RES, Winter'!Q$7</f>
        <v>9.9718988358089113</v>
      </c>
      <c r="R5" s="9">
        <f>VLOOKUP($A5,'RES installed'!$A$2:$C$7,3,FALSE)*'[1]Profiles, RES, Winter'!R$7</f>
        <v>11.025692492974709</v>
      </c>
      <c r="S5" s="9">
        <f>VLOOKUP($A5,'RES installed'!$A$2:$C$7,3,FALSE)*'[1]Profiles, RES, Winter'!S$7</f>
        <v>12.778000802890405</v>
      </c>
      <c r="T5" s="9">
        <f>VLOOKUP($A5,'RES installed'!$A$2:$C$7,3,FALSE)*'[1]Profiles, RES, Winter'!T$7</f>
        <v>13.898032918506624</v>
      </c>
      <c r="U5" s="9">
        <f>VLOOKUP($A5,'RES installed'!$A$2:$C$7,3,FALSE)*'[1]Profiles, RES, Winter'!U$7</f>
        <v>14.729024488157366</v>
      </c>
      <c r="V5" s="9">
        <f>VLOOKUP($A5,'RES installed'!$A$2:$C$7,3,FALSE)*'[1]Profiles, RES, Winter'!V$7</f>
        <v>14.849458048976315</v>
      </c>
      <c r="W5" s="9">
        <f>VLOOKUP($A5,'RES installed'!$A$2:$C$7,3,FALSE)*'[1]Profiles, RES, Winter'!W$7</f>
        <v>13.687274187073463</v>
      </c>
      <c r="X5" s="9">
        <f>VLOOKUP($A5,'RES installed'!$A$2:$C$7,3,FALSE)*'[1]Profiles, RES, Winter'!X$7</f>
        <v>12.621437173825772</v>
      </c>
      <c r="Y5" s="9">
        <f>VLOOKUP($A5,'RES installed'!$A$2:$C$7,3,FALSE)*'[1]Profiles, RES, Winter'!Y$7</f>
        <v>12.121637896427139</v>
      </c>
    </row>
    <row r="6" spans="1:25" x14ac:dyDescent="0.3">
      <c r="A6" s="8">
        <v>5</v>
      </c>
      <c r="B6" s="9">
        <f>VLOOKUP($A6,'RES installed'!$A$2:$C$7,3,FALSE)*'[1]Profiles, RES, Winter'!B$7</f>
        <v>10.04817342432758</v>
      </c>
      <c r="C6" s="9">
        <f>VLOOKUP($A6,'RES installed'!$A$2:$C$7,3,FALSE)*'[1]Profiles, RES, Winter'!C$7</f>
        <v>10.004014452027299</v>
      </c>
      <c r="D6" s="9">
        <f>VLOOKUP($A6,'RES installed'!$A$2:$C$7,3,FALSE)*'[1]Profiles, RES, Winter'!D$7</f>
        <v>9.7511039743075063</v>
      </c>
      <c r="E6" s="9">
        <f>VLOOKUP($A6,'RES installed'!$A$2:$C$7,3,FALSE)*'[1]Profiles, RES, Winter'!E$7</f>
        <v>9.991971095945404</v>
      </c>
      <c r="F6" s="9">
        <f>VLOOKUP($A6,'RES installed'!$A$2:$C$7,3,FALSE)*'[1]Profiles, RES, Winter'!F$7</f>
        <v>9.7109594540345245</v>
      </c>
      <c r="G6" s="9">
        <f>VLOOKUP($A6,'RES installed'!$A$2:$C$7,3,FALSE)*'[1]Profiles, RES, Winter'!G$7</f>
        <v>9.6587715776796461</v>
      </c>
      <c r="H6" s="9">
        <f>VLOOKUP($A6,'RES installed'!$A$2:$C$7,3,FALSE)*'[1]Profiles, RES, Winter'!H$7</f>
        <v>10.008028904054596</v>
      </c>
      <c r="I6" s="9">
        <f>VLOOKUP($A6,'RES installed'!$A$2:$C$7,3,FALSE)*'[1]Profiles, RES, Winter'!I$7</f>
        <v>9.4058610999598553</v>
      </c>
      <c r="J6" s="9">
        <f>VLOOKUP($A6,'RES installed'!$A$2:$C$7,3,FALSE)*'[1]Profiles, RES, Winter'!J$7</f>
        <v>8.659173022882376</v>
      </c>
      <c r="K6" s="9">
        <f>VLOOKUP($A6,'RES installed'!$A$2:$C$7,3,FALSE)*'[1]Profiles, RES, Winter'!K$7</f>
        <v>8.109193095142512</v>
      </c>
      <c r="L6" s="9">
        <f>VLOOKUP($A6,'RES installed'!$A$2:$C$7,3,FALSE)*'[1]Profiles, RES, Winter'!L$7</f>
        <v>7.3344038538739467</v>
      </c>
      <c r="M6" s="9">
        <f>VLOOKUP($A6,'RES installed'!$A$2:$C$7,3,FALSE)*'[1]Profiles, RES, Winter'!M$7</f>
        <v>6.3187474909674837</v>
      </c>
      <c r="N6" s="9">
        <f>VLOOKUP($A6,'RES installed'!$A$2:$C$7,3,FALSE)*'[1]Profiles, RES, Winter'!N$7</f>
        <v>5.6965074267362503</v>
      </c>
      <c r="O6" s="9">
        <f>VLOOKUP($A6,'RES installed'!$A$2:$C$7,3,FALSE)*'[1]Profiles, RES, Winter'!O$7</f>
        <v>5.6603773584905657</v>
      </c>
      <c r="P6" s="9">
        <f>VLOOKUP($A6,'RES installed'!$A$2:$C$7,3,FALSE)*'[1]Profiles, RES, Winter'!P$7</f>
        <v>6.4231232436772379</v>
      </c>
      <c r="Q6" s="9">
        <f>VLOOKUP($A6,'RES installed'!$A$2:$C$7,3,FALSE)*'[1]Profiles, RES, Winter'!Q$7</f>
        <v>6.6479325572059409</v>
      </c>
      <c r="R6" s="9">
        <f>VLOOKUP($A6,'RES installed'!$A$2:$C$7,3,FALSE)*'[1]Profiles, RES, Winter'!R$7</f>
        <v>7.3504616619831395</v>
      </c>
      <c r="S6" s="9">
        <f>VLOOKUP($A6,'RES installed'!$A$2:$C$7,3,FALSE)*'[1]Profiles, RES, Winter'!S$7</f>
        <v>8.518667201926938</v>
      </c>
      <c r="T6" s="9">
        <f>VLOOKUP($A6,'RES installed'!$A$2:$C$7,3,FALSE)*'[1]Profiles, RES, Winter'!T$7</f>
        <v>9.2653552790044156</v>
      </c>
      <c r="U6" s="9">
        <f>VLOOKUP($A6,'RES installed'!$A$2:$C$7,3,FALSE)*'[1]Profiles, RES, Winter'!U$7</f>
        <v>9.8193496587715785</v>
      </c>
      <c r="V6" s="9">
        <f>VLOOKUP($A6,'RES installed'!$A$2:$C$7,3,FALSE)*'[1]Profiles, RES, Winter'!V$7</f>
        <v>9.8996386993175438</v>
      </c>
      <c r="W6" s="9">
        <f>VLOOKUP($A6,'RES installed'!$A$2:$C$7,3,FALSE)*'[1]Profiles, RES, Winter'!W$7</f>
        <v>9.1248494580489758</v>
      </c>
      <c r="X6" s="9">
        <f>VLOOKUP($A6,'RES installed'!$A$2:$C$7,3,FALSE)*'[1]Profiles, RES, Winter'!X$7</f>
        <v>8.4142914492171812</v>
      </c>
      <c r="Y6" s="9">
        <f>VLOOKUP($A6,'RES installed'!$A$2:$C$7,3,FALSE)*'[1]Profiles, RES, Winter'!Y$7</f>
        <v>8.0810919309514251</v>
      </c>
    </row>
    <row r="7" spans="1:25" x14ac:dyDescent="0.3">
      <c r="A7" s="8">
        <v>6</v>
      </c>
      <c r="B7" s="9">
        <f>VLOOKUP($A7,'RES installed'!$A$2:$C$7,3,FALSE)*'[1]Profiles, RES, Winter'!B$7</f>
        <v>15.072260136491369</v>
      </c>
      <c r="C7" s="9">
        <f>VLOOKUP($A7,'RES installed'!$A$2:$C$7,3,FALSE)*'[1]Profiles, RES, Winter'!C$7</f>
        <v>15.006021678040948</v>
      </c>
      <c r="D7" s="9">
        <f>VLOOKUP($A7,'RES installed'!$A$2:$C$7,3,FALSE)*'[1]Profiles, RES, Winter'!D$7</f>
        <v>14.62665596146126</v>
      </c>
      <c r="E7" s="9">
        <f>VLOOKUP($A7,'RES installed'!$A$2:$C$7,3,FALSE)*'[1]Profiles, RES, Winter'!E$7</f>
        <v>14.987956643918105</v>
      </c>
      <c r="F7" s="9">
        <f>VLOOKUP($A7,'RES installed'!$A$2:$C$7,3,FALSE)*'[1]Profiles, RES, Winter'!F$7</f>
        <v>14.566439181051788</v>
      </c>
      <c r="G7" s="9">
        <f>VLOOKUP($A7,'RES installed'!$A$2:$C$7,3,FALSE)*'[1]Profiles, RES, Winter'!G$7</f>
        <v>14.48815736651947</v>
      </c>
      <c r="H7" s="9">
        <f>VLOOKUP($A7,'RES installed'!$A$2:$C$7,3,FALSE)*'[1]Profiles, RES, Winter'!H$7</f>
        <v>15.012043356081893</v>
      </c>
      <c r="I7" s="9">
        <f>VLOOKUP($A7,'RES installed'!$A$2:$C$7,3,FALSE)*'[1]Profiles, RES, Winter'!I$7</f>
        <v>14.108791649939784</v>
      </c>
      <c r="J7" s="9">
        <f>VLOOKUP($A7,'RES installed'!$A$2:$C$7,3,FALSE)*'[1]Profiles, RES, Winter'!J$7</f>
        <v>12.988759534323563</v>
      </c>
      <c r="K7" s="9">
        <f>VLOOKUP($A7,'RES installed'!$A$2:$C$7,3,FALSE)*'[1]Profiles, RES, Winter'!K$7</f>
        <v>12.16378964271377</v>
      </c>
      <c r="L7" s="9">
        <f>VLOOKUP($A7,'RES installed'!$A$2:$C$7,3,FALSE)*'[1]Profiles, RES, Winter'!L$7</f>
        <v>11.00160578081092</v>
      </c>
      <c r="M7" s="9">
        <f>VLOOKUP($A7,'RES installed'!$A$2:$C$7,3,FALSE)*'[1]Profiles, RES, Winter'!M$7</f>
        <v>9.4781212364512246</v>
      </c>
      <c r="N7" s="9">
        <f>VLOOKUP($A7,'RES installed'!$A$2:$C$7,3,FALSE)*'[1]Profiles, RES, Winter'!N$7</f>
        <v>8.5447611401043755</v>
      </c>
      <c r="O7" s="9">
        <f>VLOOKUP($A7,'RES installed'!$A$2:$C$7,3,FALSE)*'[1]Profiles, RES, Winter'!O$7</f>
        <v>8.4905660377358494</v>
      </c>
      <c r="P7" s="9">
        <f>VLOOKUP($A7,'RES installed'!$A$2:$C$7,3,FALSE)*'[1]Profiles, RES, Winter'!P$7</f>
        <v>9.6346848655158563</v>
      </c>
      <c r="Q7" s="9">
        <f>VLOOKUP($A7,'RES installed'!$A$2:$C$7,3,FALSE)*'[1]Profiles, RES, Winter'!Q$7</f>
        <v>9.9718988358089113</v>
      </c>
      <c r="R7" s="9">
        <f>VLOOKUP($A7,'RES installed'!$A$2:$C$7,3,FALSE)*'[1]Profiles, RES, Winter'!R$7</f>
        <v>11.025692492974709</v>
      </c>
      <c r="S7" s="9">
        <f>VLOOKUP($A7,'RES installed'!$A$2:$C$7,3,FALSE)*'[1]Profiles, RES, Winter'!S$7</f>
        <v>12.778000802890405</v>
      </c>
      <c r="T7" s="9">
        <f>VLOOKUP($A7,'RES installed'!$A$2:$C$7,3,FALSE)*'[1]Profiles, RES, Winter'!T$7</f>
        <v>13.898032918506624</v>
      </c>
      <c r="U7" s="9">
        <f>VLOOKUP($A7,'RES installed'!$A$2:$C$7,3,FALSE)*'[1]Profiles, RES, Winter'!U$7</f>
        <v>14.729024488157366</v>
      </c>
      <c r="V7" s="9">
        <f>VLOOKUP($A7,'RES installed'!$A$2:$C$7,3,FALSE)*'[1]Profiles, RES, Winter'!V$7</f>
        <v>14.849458048976315</v>
      </c>
      <c r="W7" s="9">
        <f>VLOOKUP($A7,'RES installed'!$A$2:$C$7,3,FALSE)*'[1]Profiles, RES, Winter'!W$7</f>
        <v>13.687274187073463</v>
      </c>
      <c r="X7" s="9">
        <f>VLOOKUP($A7,'RES installed'!$A$2:$C$7,3,FALSE)*'[1]Profiles, RES, Winter'!X$7</f>
        <v>12.621437173825772</v>
      </c>
      <c r="Y7" s="9">
        <f>VLOOKUP($A7,'RES installed'!$A$2:$C$7,3,FALSE)*'[1]Profiles, RES, Winter'!Y$7</f>
        <v>12.121637896427139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1.1372251705837756E-2</v>
      </c>
      <c r="J8" s="6">
        <f>VLOOKUP($A8,'RES installed'!$A$2:$C$7,3,FALSE)*'[1]Profiles, RES, Winter'!J$4</f>
        <v>1.0121304018195603</v>
      </c>
      <c r="K8" s="6">
        <f>VLOOKUP($A8,'RES installed'!$A$2:$C$7,3,FALSE)*'[1]Profiles, RES, Winter'!K$4</f>
        <v>4.344200151630023</v>
      </c>
      <c r="L8" s="6">
        <f>VLOOKUP($A8,'RES installed'!$A$2:$C$7,3,FALSE)*'[1]Profiles, RES, Winter'!L$4</f>
        <v>7.1645185746777864</v>
      </c>
      <c r="M8" s="6">
        <f>VLOOKUP($A8,'RES installed'!$A$2:$C$7,3,FALSE)*'[1]Profiles, RES, Winter'!M$4</f>
        <v>8.1425322213798328</v>
      </c>
      <c r="N8" s="6">
        <f>VLOOKUP($A8,'RES installed'!$A$2:$C$7,3,FALSE)*'[1]Profiles, RES, Winter'!N$4</f>
        <v>7.7786201667930257</v>
      </c>
      <c r="O8" s="6">
        <f>VLOOKUP($A8,'RES installed'!$A$2:$C$7,3,FALSE)*'[1]Profiles, RES, Winter'!O$4</f>
        <v>7.9264594389689158</v>
      </c>
      <c r="P8" s="6">
        <f>VLOOKUP($A8,'RES installed'!$A$2:$C$7,3,FALSE)*'[1]Profiles, RES, Winter'!P$4</f>
        <v>8.5746777862016685</v>
      </c>
      <c r="Q8" s="6">
        <f>VLOOKUP($A8,'RES installed'!$A$2:$C$7,3,FALSE)*'[1]Profiles, RES, Winter'!Q$4</f>
        <v>7.8127369219105374</v>
      </c>
      <c r="R8" s="6">
        <f>VLOOKUP($A8,'RES installed'!$A$2:$C$7,3,FALSE)*'[1]Profiles, RES, Winter'!R$4</f>
        <v>3.5595147839272174</v>
      </c>
      <c r="S8" s="6">
        <f>VLOOKUP($A8,'RES installed'!$A$2:$C$7,3,FALSE)*'[1]Profiles, RES, Winter'!S$4</f>
        <v>0.1819560272934041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3.7907505686125853E-3</v>
      </c>
      <c r="J9" s="6">
        <f>VLOOKUP($A9,'RES installed'!$A$2:$C$7,3,FALSE)*'[1]Profiles, RES, Winter'!J$4</f>
        <v>0.33737680060652009</v>
      </c>
      <c r="K9" s="6">
        <f>VLOOKUP($A9,'RES installed'!$A$2:$C$7,3,FALSE)*'[1]Profiles, RES, Winter'!K$4</f>
        <v>1.4480667172100077</v>
      </c>
      <c r="L9" s="6">
        <f>VLOOKUP($A9,'RES installed'!$A$2:$C$7,3,FALSE)*'[1]Profiles, RES, Winter'!L$4</f>
        <v>2.3881728582259285</v>
      </c>
      <c r="M9" s="6">
        <f>VLOOKUP($A9,'RES installed'!$A$2:$C$7,3,FALSE)*'[1]Profiles, RES, Winter'!M$4</f>
        <v>2.7141774071266109</v>
      </c>
      <c r="N9" s="6">
        <f>VLOOKUP($A9,'RES installed'!$A$2:$C$7,3,FALSE)*'[1]Profiles, RES, Winter'!N$4</f>
        <v>2.5928733889310083</v>
      </c>
      <c r="O9" s="6">
        <f>VLOOKUP($A9,'RES installed'!$A$2:$C$7,3,FALSE)*'[1]Profiles, RES, Winter'!O$4</f>
        <v>2.6421531463229719</v>
      </c>
      <c r="P9" s="6">
        <f>VLOOKUP($A9,'RES installed'!$A$2:$C$7,3,FALSE)*'[1]Profiles, RES, Winter'!P$4</f>
        <v>2.8582259287338898</v>
      </c>
      <c r="Q9" s="6">
        <f>VLOOKUP($A9,'RES installed'!$A$2:$C$7,3,FALSE)*'[1]Profiles, RES, Winter'!Q$4</f>
        <v>2.6042456406368459</v>
      </c>
      <c r="R9" s="6">
        <f>VLOOKUP($A9,'RES installed'!$A$2:$C$7,3,FALSE)*'[1]Profiles, RES, Winter'!R$4</f>
        <v>1.1865049279757391</v>
      </c>
      <c r="S9" s="6">
        <f>VLOOKUP($A9,'RES installed'!$A$2:$C$7,3,FALSE)*'[1]Profiles, RES, Winter'!S$4</f>
        <v>6.0652009097801364E-2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7.5815011372251705E-3</v>
      </c>
      <c r="J10" s="6">
        <f>VLOOKUP($A10,'RES installed'!$A$2:$C$7,3,FALSE)*'[1]Profiles, RES, Winter'!J$4</f>
        <v>0.67475360121304018</v>
      </c>
      <c r="K10" s="6">
        <f>VLOOKUP($A10,'RES installed'!$A$2:$C$7,3,FALSE)*'[1]Profiles, RES, Winter'!K$4</f>
        <v>2.8961334344200154</v>
      </c>
      <c r="L10" s="6">
        <f>VLOOKUP($A10,'RES installed'!$A$2:$C$7,3,FALSE)*'[1]Profiles, RES, Winter'!L$4</f>
        <v>4.776345716451857</v>
      </c>
      <c r="M10" s="6">
        <f>VLOOKUP($A10,'RES installed'!$A$2:$C$7,3,FALSE)*'[1]Profiles, RES, Winter'!M$4</f>
        <v>5.4283548142532219</v>
      </c>
      <c r="N10" s="6">
        <f>VLOOKUP($A10,'RES installed'!$A$2:$C$7,3,FALSE)*'[1]Profiles, RES, Winter'!N$4</f>
        <v>5.1857467778620165</v>
      </c>
      <c r="O10" s="6">
        <f>VLOOKUP($A10,'RES installed'!$A$2:$C$7,3,FALSE)*'[1]Profiles, RES, Winter'!O$4</f>
        <v>5.2843062926459439</v>
      </c>
      <c r="P10" s="6">
        <f>VLOOKUP($A10,'RES installed'!$A$2:$C$7,3,FALSE)*'[1]Profiles, RES, Winter'!P$4</f>
        <v>5.7164518574677796</v>
      </c>
      <c r="Q10" s="6">
        <f>VLOOKUP($A10,'RES installed'!$A$2:$C$7,3,FALSE)*'[1]Profiles, RES, Winter'!Q$4</f>
        <v>5.2084912812736919</v>
      </c>
      <c r="R10" s="6">
        <f>VLOOKUP($A10,'RES installed'!$A$2:$C$7,3,FALSE)*'[1]Profiles, RES, Winter'!R$4</f>
        <v>2.3730098559514783</v>
      </c>
      <c r="S10" s="6">
        <f>VLOOKUP($A10,'RES installed'!$A$2:$C$7,3,FALSE)*'[1]Profiles, RES, Winter'!S$4</f>
        <v>0.12130401819560273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BFD42-4C76-4AC7-A518-39977CCB74F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16.264552388598958</v>
      </c>
      <c r="C5" s="9">
        <f>VLOOKUP($A5,'RES installed'!$A$2:$C$7,3,FALSE)*'[1]Profiles, RES, Winter'!C$5</f>
        <v>17.498996386993174</v>
      </c>
      <c r="D5" s="9">
        <f>VLOOKUP($A5,'RES installed'!$A$2:$C$7,3,FALSE)*'[1]Profiles, RES, Winter'!D$5</f>
        <v>17.408671216378966</v>
      </c>
      <c r="E5" s="9">
        <f>VLOOKUP($A5,'RES installed'!$A$2:$C$7,3,FALSE)*'[1]Profiles, RES, Winter'!E$5</f>
        <v>17.444801284624649</v>
      </c>
      <c r="F5" s="9">
        <f>VLOOKUP($A5,'RES installed'!$A$2:$C$7,3,FALSE)*'[1]Profiles, RES, Winter'!F$5</f>
        <v>18.059012444801287</v>
      </c>
      <c r="G5" s="9">
        <f>VLOOKUP($A5,'RES installed'!$A$2:$C$7,3,FALSE)*'[1]Profiles, RES, Winter'!G$5</f>
        <v>19.064632677639505</v>
      </c>
      <c r="H5" s="9">
        <f>VLOOKUP($A5,'RES installed'!$A$2:$C$7,3,FALSE)*'[1]Profiles, RES, Winter'!H$5</f>
        <v>20.311120032115614</v>
      </c>
      <c r="I5" s="9">
        <f>VLOOKUP($A5,'RES installed'!$A$2:$C$7,3,FALSE)*'[1]Profiles, RES, Winter'!I$5</f>
        <v>20.3472501003613</v>
      </c>
      <c r="J5" s="9">
        <f>VLOOKUP($A5,'RES installed'!$A$2:$C$7,3,FALSE)*'[1]Profiles, RES, Winter'!J$5</f>
        <v>20.166599759132879</v>
      </c>
      <c r="K5" s="9">
        <f>VLOOKUP($A5,'RES installed'!$A$2:$C$7,3,FALSE)*'[1]Profiles, RES, Winter'!K$5</f>
        <v>18.926134082697711</v>
      </c>
      <c r="L5" s="9">
        <f>VLOOKUP($A5,'RES installed'!$A$2:$C$7,3,FALSE)*'[1]Profiles, RES, Winter'!L$5</f>
        <v>16.505419510236852</v>
      </c>
      <c r="M5" s="9">
        <f>VLOOKUP($A5,'RES installed'!$A$2:$C$7,3,FALSE)*'[1]Profiles, RES, Winter'!M$5</f>
        <v>15.186672019269368</v>
      </c>
      <c r="N5" s="9">
        <f>VLOOKUP($A5,'RES installed'!$A$2:$C$7,3,FALSE)*'[1]Profiles, RES, Winter'!N$5</f>
        <v>14.590525893215577</v>
      </c>
      <c r="O5" s="9">
        <f>VLOOKUP($A5,'RES installed'!$A$2:$C$7,3,FALSE)*'[1]Profiles, RES, Winter'!O$5</f>
        <v>13.596949016459254</v>
      </c>
      <c r="P5" s="9">
        <f>VLOOKUP($A5,'RES installed'!$A$2:$C$7,3,FALSE)*'[1]Profiles, RES, Winter'!P$5</f>
        <v>12.428743476515455</v>
      </c>
      <c r="Q5" s="9">
        <f>VLOOKUP($A5,'RES installed'!$A$2:$C$7,3,FALSE)*'[1]Profiles, RES, Winter'!Q$5</f>
        <v>12.537133681252509</v>
      </c>
      <c r="R5" s="9">
        <f>VLOOKUP($A5,'RES installed'!$A$2:$C$7,3,FALSE)*'[1]Profiles, RES, Winter'!R$5</f>
        <v>13.006824568446408</v>
      </c>
      <c r="S5" s="9">
        <f>VLOOKUP($A5,'RES installed'!$A$2:$C$7,3,FALSE)*'[1]Profiles, RES, Winter'!S$5</f>
        <v>14.987956643918105</v>
      </c>
      <c r="T5" s="9">
        <f>VLOOKUP($A5,'RES installed'!$A$2:$C$7,3,FALSE)*'[1]Profiles, RES, Winter'!T$5</f>
        <v>16.228422320353275</v>
      </c>
      <c r="U5" s="9">
        <f>VLOOKUP($A5,'RES installed'!$A$2:$C$7,3,FALSE)*'[1]Profiles, RES, Winter'!U$5</f>
        <v>16.631874749096749</v>
      </c>
      <c r="V5" s="9">
        <f>VLOOKUP($A5,'RES installed'!$A$2:$C$7,3,FALSE)*'[1]Profiles, RES, Winter'!V$5</f>
        <v>16.083902047370533</v>
      </c>
      <c r="W5" s="9">
        <f>VLOOKUP($A5,'RES installed'!$A$2:$C$7,3,FALSE)*'[1]Profiles, RES, Winter'!W$5</f>
        <v>15.210758731433158</v>
      </c>
      <c r="X5" s="9">
        <f>VLOOKUP($A5,'RES installed'!$A$2:$C$7,3,FALSE)*'[1]Profiles, RES, Winter'!X$5</f>
        <v>15.37334403853874</v>
      </c>
      <c r="Y5" s="9">
        <f>VLOOKUP($A5,'RES installed'!$A$2:$C$7,3,FALSE)*'[1]Profiles, RES, Winter'!Y$5</f>
        <v>16.005620232838218</v>
      </c>
    </row>
    <row r="6" spans="1:25" x14ac:dyDescent="0.3">
      <c r="A6" s="8">
        <v>5</v>
      </c>
      <c r="B6" s="9">
        <f>VLOOKUP($A6,'RES installed'!$A$2:$C$7,3,FALSE)*'[1]Profiles, RES, Winter'!B$5</f>
        <v>10.843034925732638</v>
      </c>
      <c r="C6" s="9">
        <f>VLOOKUP($A6,'RES installed'!$A$2:$C$7,3,FALSE)*'[1]Profiles, RES, Winter'!C$5</f>
        <v>11.665997591328782</v>
      </c>
      <c r="D6" s="9">
        <f>VLOOKUP($A6,'RES installed'!$A$2:$C$7,3,FALSE)*'[1]Profiles, RES, Winter'!D$5</f>
        <v>11.60578081091931</v>
      </c>
      <c r="E6" s="9">
        <f>VLOOKUP($A6,'RES installed'!$A$2:$C$7,3,FALSE)*'[1]Profiles, RES, Winter'!E$5</f>
        <v>11.629867523083099</v>
      </c>
      <c r="F6" s="9">
        <f>VLOOKUP($A6,'RES installed'!$A$2:$C$7,3,FALSE)*'[1]Profiles, RES, Winter'!F$5</f>
        <v>12.039341629867524</v>
      </c>
      <c r="G6" s="9">
        <f>VLOOKUP($A6,'RES installed'!$A$2:$C$7,3,FALSE)*'[1]Profiles, RES, Winter'!G$5</f>
        <v>12.709755118426337</v>
      </c>
      <c r="H6" s="9">
        <f>VLOOKUP($A6,'RES installed'!$A$2:$C$7,3,FALSE)*'[1]Profiles, RES, Winter'!H$5</f>
        <v>13.540746688077077</v>
      </c>
      <c r="I6" s="9">
        <f>VLOOKUP($A6,'RES installed'!$A$2:$C$7,3,FALSE)*'[1]Profiles, RES, Winter'!I$5</f>
        <v>13.564833400240868</v>
      </c>
      <c r="J6" s="9">
        <f>VLOOKUP($A6,'RES installed'!$A$2:$C$7,3,FALSE)*'[1]Profiles, RES, Winter'!J$5</f>
        <v>13.444399839421919</v>
      </c>
      <c r="K6" s="9">
        <f>VLOOKUP($A6,'RES installed'!$A$2:$C$7,3,FALSE)*'[1]Profiles, RES, Winter'!K$5</f>
        <v>12.617422721798475</v>
      </c>
      <c r="L6" s="9">
        <f>VLOOKUP($A6,'RES installed'!$A$2:$C$7,3,FALSE)*'[1]Profiles, RES, Winter'!L$5</f>
        <v>11.003613006824569</v>
      </c>
      <c r="M6" s="9">
        <f>VLOOKUP($A6,'RES installed'!$A$2:$C$7,3,FALSE)*'[1]Profiles, RES, Winter'!M$5</f>
        <v>10.124448012846246</v>
      </c>
      <c r="N6" s="9">
        <f>VLOOKUP($A6,'RES installed'!$A$2:$C$7,3,FALSE)*'[1]Profiles, RES, Winter'!N$5</f>
        <v>9.7270172621437183</v>
      </c>
      <c r="O6" s="9">
        <f>VLOOKUP($A6,'RES installed'!$A$2:$C$7,3,FALSE)*'[1]Profiles, RES, Winter'!O$5</f>
        <v>9.0646326776395032</v>
      </c>
      <c r="P6" s="9">
        <f>VLOOKUP($A6,'RES installed'!$A$2:$C$7,3,FALSE)*'[1]Profiles, RES, Winter'!P$5</f>
        <v>8.2858289843436381</v>
      </c>
      <c r="Q6" s="9">
        <f>VLOOKUP($A6,'RES installed'!$A$2:$C$7,3,FALSE)*'[1]Profiles, RES, Winter'!Q$5</f>
        <v>8.3580891208350057</v>
      </c>
      <c r="R6" s="9">
        <f>VLOOKUP($A6,'RES installed'!$A$2:$C$7,3,FALSE)*'[1]Profiles, RES, Winter'!R$5</f>
        <v>8.6712163789642709</v>
      </c>
      <c r="S6" s="9">
        <f>VLOOKUP($A6,'RES installed'!$A$2:$C$7,3,FALSE)*'[1]Profiles, RES, Winter'!S$5</f>
        <v>9.991971095945404</v>
      </c>
      <c r="T6" s="9">
        <f>VLOOKUP($A6,'RES installed'!$A$2:$C$7,3,FALSE)*'[1]Profiles, RES, Winter'!T$5</f>
        <v>10.818948213568849</v>
      </c>
      <c r="U6" s="9">
        <f>VLOOKUP($A6,'RES installed'!$A$2:$C$7,3,FALSE)*'[1]Profiles, RES, Winter'!U$5</f>
        <v>11.087916499397831</v>
      </c>
      <c r="V6" s="9">
        <f>VLOOKUP($A6,'RES installed'!$A$2:$C$7,3,FALSE)*'[1]Profiles, RES, Winter'!V$5</f>
        <v>10.72260136491369</v>
      </c>
      <c r="W6" s="9">
        <f>VLOOKUP($A6,'RES installed'!$A$2:$C$7,3,FALSE)*'[1]Profiles, RES, Winter'!W$5</f>
        <v>10.14050582095544</v>
      </c>
      <c r="X6" s="9">
        <f>VLOOKUP($A6,'RES installed'!$A$2:$C$7,3,FALSE)*'[1]Profiles, RES, Winter'!X$5</f>
        <v>10.248896025692494</v>
      </c>
      <c r="Y6" s="9">
        <f>VLOOKUP($A6,'RES installed'!$A$2:$C$7,3,FALSE)*'[1]Profiles, RES, Winter'!Y$5</f>
        <v>10.670413488558811</v>
      </c>
    </row>
    <row r="7" spans="1:25" x14ac:dyDescent="0.3">
      <c r="A7" s="8">
        <v>6</v>
      </c>
      <c r="B7" s="9">
        <f>VLOOKUP($A7,'RES installed'!$A$2:$C$7,3,FALSE)*'[1]Profiles, RES, Winter'!B$5</f>
        <v>16.264552388598958</v>
      </c>
      <c r="C7" s="9">
        <f>VLOOKUP($A7,'RES installed'!$A$2:$C$7,3,FALSE)*'[1]Profiles, RES, Winter'!C$5</f>
        <v>17.498996386993174</v>
      </c>
      <c r="D7" s="9">
        <f>VLOOKUP($A7,'RES installed'!$A$2:$C$7,3,FALSE)*'[1]Profiles, RES, Winter'!D$5</f>
        <v>17.408671216378966</v>
      </c>
      <c r="E7" s="9">
        <f>VLOOKUP($A7,'RES installed'!$A$2:$C$7,3,FALSE)*'[1]Profiles, RES, Winter'!E$5</f>
        <v>17.444801284624649</v>
      </c>
      <c r="F7" s="9">
        <f>VLOOKUP($A7,'RES installed'!$A$2:$C$7,3,FALSE)*'[1]Profiles, RES, Winter'!F$5</f>
        <v>18.059012444801287</v>
      </c>
      <c r="G7" s="9">
        <f>VLOOKUP($A7,'RES installed'!$A$2:$C$7,3,FALSE)*'[1]Profiles, RES, Winter'!G$5</f>
        <v>19.064632677639505</v>
      </c>
      <c r="H7" s="9">
        <f>VLOOKUP($A7,'RES installed'!$A$2:$C$7,3,FALSE)*'[1]Profiles, RES, Winter'!H$5</f>
        <v>20.311120032115614</v>
      </c>
      <c r="I7" s="9">
        <f>VLOOKUP($A7,'RES installed'!$A$2:$C$7,3,FALSE)*'[1]Profiles, RES, Winter'!I$5</f>
        <v>20.3472501003613</v>
      </c>
      <c r="J7" s="9">
        <f>VLOOKUP($A7,'RES installed'!$A$2:$C$7,3,FALSE)*'[1]Profiles, RES, Winter'!J$5</f>
        <v>20.166599759132879</v>
      </c>
      <c r="K7" s="9">
        <f>VLOOKUP($A7,'RES installed'!$A$2:$C$7,3,FALSE)*'[1]Profiles, RES, Winter'!K$5</f>
        <v>18.926134082697711</v>
      </c>
      <c r="L7" s="9">
        <f>VLOOKUP($A7,'RES installed'!$A$2:$C$7,3,FALSE)*'[1]Profiles, RES, Winter'!L$5</f>
        <v>16.505419510236852</v>
      </c>
      <c r="M7" s="9">
        <f>VLOOKUP($A7,'RES installed'!$A$2:$C$7,3,FALSE)*'[1]Profiles, RES, Winter'!M$5</f>
        <v>15.186672019269368</v>
      </c>
      <c r="N7" s="9">
        <f>VLOOKUP($A7,'RES installed'!$A$2:$C$7,3,FALSE)*'[1]Profiles, RES, Winter'!N$5</f>
        <v>14.590525893215577</v>
      </c>
      <c r="O7" s="9">
        <f>VLOOKUP($A7,'RES installed'!$A$2:$C$7,3,FALSE)*'[1]Profiles, RES, Winter'!O$5</f>
        <v>13.596949016459254</v>
      </c>
      <c r="P7" s="9">
        <f>VLOOKUP($A7,'RES installed'!$A$2:$C$7,3,FALSE)*'[1]Profiles, RES, Winter'!P$5</f>
        <v>12.428743476515455</v>
      </c>
      <c r="Q7" s="9">
        <f>VLOOKUP($A7,'RES installed'!$A$2:$C$7,3,FALSE)*'[1]Profiles, RES, Winter'!Q$5</f>
        <v>12.537133681252509</v>
      </c>
      <c r="R7" s="9">
        <f>VLOOKUP($A7,'RES installed'!$A$2:$C$7,3,FALSE)*'[1]Profiles, RES, Winter'!R$5</f>
        <v>13.006824568446408</v>
      </c>
      <c r="S7" s="9">
        <f>VLOOKUP($A7,'RES installed'!$A$2:$C$7,3,FALSE)*'[1]Profiles, RES, Winter'!S$5</f>
        <v>14.987956643918105</v>
      </c>
      <c r="T7" s="9">
        <f>VLOOKUP($A7,'RES installed'!$A$2:$C$7,3,FALSE)*'[1]Profiles, RES, Winter'!T$5</f>
        <v>16.228422320353275</v>
      </c>
      <c r="U7" s="9">
        <f>VLOOKUP($A7,'RES installed'!$A$2:$C$7,3,FALSE)*'[1]Profiles, RES, Winter'!U$5</f>
        <v>16.631874749096749</v>
      </c>
      <c r="V7" s="9">
        <f>VLOOKUP($A7,'RES installed'!$A$2:$C$7,3,FALSE)*'[1]Profiles, RES, Winter'!V$5</f>
        <v>16.083902047370533</v>
      </c>
      <c r="W7" s="9">
        <f>VLOOKUP($A7,'RES installed'!$A$2:$C$7,3,FALSE)*'[1]Profiles, RES, Winter'!W$5</f>
        <v>15.210758731433158</v>
      </c>
      <c r="X7" s="9">
        <f>VLOOKUP($A7,'RES installed'!$A$2:$C$7,3,FALSE)*'[1]Profiles, RES, Winter'!X$5</f>
        <v>15.37334403853874</v>
      </c>
      <c r="Y7" s="9">
        <f>VLOOKUP($A7,'RES installed'!$A$2:$C$7,3,FALSE)*'[1]Profiles, RES, Winter'!Y$5</f>
        <v>16.005620232838218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1.1372251705837756E-2</v>
      </c>
      <c r="J8" s="6">
        <f>VLOOKUP($A8,'RES installed'!$A$2:$C$7,3,FALSE)*'[1]Profiles, RES, Winter'!J$2</f>
        <v>1.3305534495830176</v>
      </c>
      <c r="K8" s="6">
        <f>VLOOKUP($A8,'RES installed'!$A$2:$C$7,3,FALSE)*'[1]Profiles, RES, Winter'!K$2</f>
        <v>5.6178923426838514</v>
      </c>
      <c r="L8" s="6">
        <f>VLOOKUP($A8,'RES installed'!$A$2:$C$7,3,FALSE)*'[1]Profiles, RES, Winter'!L$2</f>
        <v>9.8824867323730103</v>
      </c>
      <c r="M8" s="6">
        <f>VLOOKUP($A8,'RES installed'!$A$2:$C$7,3,FALSE)*'[1]Profiles, RES, Winter'!M$2</f>
        <v>11.75890826383624</v>
      </c>
      <c r="N8" s="6">
        <f>VLOOKUP($A8,'RES installed'!$A$2:$C$7,3,FALSE)*'[1]Profiles, RES, Winter'!N$2</f>
        <v>11.315390447308568</v>
      </c>
      <c r="O8" s="6">
        <f>VLOOKUP($A8,'RES installed'!$A$2:$C$7,3,FALSE)*'[1]Profiles, RES, Winter'!O$2</f>
        <v>11.406368460955269</v>
      </c>
      <c r="P8" s="6">
        <f>VLOOKUP($A8,'RES installed'!$A$2:$C$7,3,FALSE)*'[1]Profiles, RES, Winter'!P$2</f>
        <v>10.769522365428356</v>
      </c>
      <c r="Q8" s="6">
        <f>VLOOKUP($A8,'RES installed'!$A$2:$C$7,3,FALSE)*'[1]Profiles, RES, Winter'!Q$2</f>
        <v>8.0629264594389696</v>
      </c>
      <c r="R8" s="6">
        <f>VLOOKUP($A8,'RES installed'!$A$2:$C$7,3,FALSE)*'[1]Profiles, RES, Winter'!R$2</f>
        <v>3.0363912054586808</v>
      </c>
      <c r="S8" s="6">
        <f>VLOOKUP($A8,'RES installed'!$A$2:$C$7,3,FALSE)*'[1]Profiles, RES, Winter'!S$2</f>
        <v>0.13646702047005307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3.7907505686125853E-3</v>
      </c>
      <c r="J9" s="6">
        <f>VLOOKUP($A9,'RES installed'!$A$2:$C$7,3,FALSE)*'[1]Profiles, RES, Winter'!J$2</f>
        <v>0.44351781652767253</v>
      </c>
      <c r="K9" s="6">
        <f>VLOOKUP($A9,'RES installed'!$A$2:$C$7,3,FALSE)*'[1]Profiles, RES, Winter'!K$2</f>
        <v>1.8726307808946172</v>
      </c>
      <c r="L9" s="6">
        <f>VLOOKUP($A9,'RES installed'!$A$2:$C$7,3,FALSE)*'[1]Profiles, RES, Winter'!L$2</f>
        <v>3.2941622441243368</v>
      </c>
      <c r="M9" s="6">
        <f>VLOOKUP($A9,'RES installed'!$A$2:$C$7,3,FALSE)*'[1]Profiles, RES, Winter'!M$2</f>
        <v>3.9196360879454133</v>
      </c>
      <c r="N9" s="6">
        <f>VLOOKUP($A9,'RES installed'!$A$2:$C$7,3,FALSE)*'[1]Profiles, RES, Winter'!N$2</f>
        <v>3.7717968157695223</v>
      </c>
      <c r="O9" s="6">
        <f>VLOOKUP($A9,'RES installed'!$A$2:$C$7,3,FALSE)*'[1]Profiles, RES, Winter'!O$2</f>
        <v>3.8021228203184232</v>
      </c>
      <c r="P9" s="6">
        <f>VLOOKUP($A9,'RES installed'!$A$2:$C$7,3,FALSE)*'[1]Profiles, RES, Winter'!P$2</f>
        <v>3.5898407884761188</v>
      </c>
      <c r="Q9" s="6">
        <f>VLOOKUP($A9,'RES installed'!$A$2:$C$7,3,FALSE)*'[1]Profiles, RES, Winter'!Q$2</f>
        <v>2.687642153146323</v>
      </c>
      <c r="R9" s="6">
        <f>VLOOKUP($A9,'RES installed'!$A$2:$C$7,3,FALSE)*'[1]Profiles, RES, Winter'!R$2</f>
        <v>1.0121304018195603</v>
      </c>
      <c r="S9" s="6">
        <f>VLOOKUP($A9,'RES installed'!$A$2:$C$7,3,FALSE)*'[1]Profiles, RES, Winter'!S$2</f>
        <v>4.5489006823351025E-2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7.5815011372251705E-3</v>
      </c>
      <c r="J10" s="6">
        <f>VLOOKUP($A10,'RES installed'!$A$2:$C$7,3,FALSE)*'[1]Profiles, RES, Winter'!J$2</f>
        <v>0.88703563305534505</v>
      </c>
      <c r="K10" s="6">
        <f>VLOOKUP($A10,'RES installed'!$A$2:$C$7,3,FALSE)*'[1]Profiles, RES, Winter'!K$2</f>
        <v>3.7452615617892344</v>
      </c>
      <c r="L10" s="6">
        <f>VLOOKUP($A10,'RES installed'!$A$2:$C$7,3,FALSE)*'[1]Profiles, RES, Winter'!L$2</f>
        <v>6.5883244882486736</v>
      </c>
      <c r="M10" s="6">
        <f>VLOOKUP($A10,'RES installed'!$A$2:$C$7,3,FALSE)*'[1]Profiles, RES, Winter'!M$2</f>
        <v>7.8392721758908266</v>
      </c>
      <c r="N10" s="6">
        <f>VLOOKUP($A10,'RES installed'!$A$2:$C$7,3,FALSE)*'[1]Profiles, RES, Winter'!N$2</f>
        <v>7.5435936315390446</v>
      </c>
      <c r="O10" s="6">
        <f>VLOOKUP($A10,'RES installed'!$A$2:$C$7,3,FALSE)*'[1]Profiles, RES, Winter'!O$2</f>
        <v>7.6042456406368464</v>
      </c>
      <c r="P10" s="6">
        <f>VLOOKUP($A10,'RES installed'!$A$2:$C$7,3,FALSE)*'[1]Profiles, RES, Winter'!P$2</f>
        <v>7.1796815769522375</v>
      </c>
      <c r="Q10" s="6">
        <f>VLOOKUP($A10,'RES installed'!$A$2:$C$7,3,FALSE)*'[1]Profiles, RES, Winter'!Q$2</f>
        <v>5.3752843062926461</v>
      </c>
      <c r="R10" s="6">
        <f>VLOOKUP($A10,'RES installed'!$A$2:$C$7,3,FALSE)*'[1]Profiles, RES, Winter'!R$2</f>
        <v>2.0242608036391205</v>
      </c>
      <c r="S10" s="6">
        <f>VLOOKUP($A10,'RES installed'!$A$2:$C$7,3,FALSE)*'[1]Profiles, RES, Winter'!S$2</f>
        <v>9.0978013646702049E-2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4C0DD-63EC-452B-B727-E7633F01A28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15.740666399036531</v>
      </c>
      <c r="C5" s="9">
        <f>VLOOKUP($A5,'RES installed'!$A$2:$C$7,3,FALSE)*'[1]Profiles, RES, Winter'!C$6</f>
        <v>15.981533520674429</v>
      </c>
      <c r="D5" s="9">
        <f>VLOOKUP($A5,'RES installed'!$A$2:$C$7,3,FALSE)*'[1]Profiles, RES, Winter'!D$6</f>
        <v>16.035728623042953</v>
      </c>
      <c r="E5" s="9">
        <f>VLOOKUP($A5,'RES installed'!$A$2:$C$7,3,FALSE)*'[1]Profiles, RES, Winter'!E$6</f>
        <v>14.662786029706945</v>
      </c>
      <c r="F5" s="9">
        <f>VLOOKUP($A5,'RES installed'!$A$2:$C$7,3,FALSE)*'[1]Profiles, RES, Winter'!F$6</f>
        <v>15.132476916900844</v>
      </c>
      <c r="G5" s="9">
        <f>VLOOKUP($A5,'RES installed'!$A$2:$C$7,3,FALSE)*'[1]Profiles, RES, Winter'!G$6</f>
        <v>15.97551184263348</v>
      </c>
      <c r="H5" s="9">
        <f>VLOOKUP($A5,'RES installed'!$A$2:$C$7,3,FALSE)*'[1]Profiles, RES, Winter'!H$6</f>
        <v>16.354877559213168</v>
      </c>
      <c r="I5" s="9">
        <f>VLOOKUP($A5,'RES installed'!$A$2:$C$7,3,FALSE)*'[1]Profiles, RES, Winter'!I$6</f>
        <v>15.578081091930949</v>
      </c>
      <c r="J5" s="9">
        <f>VLOOKUP($A5,'RES installed'!$A$2:$C$7,3,FALSE)*'[1]Profiles, RES, Winter'!J$6</f>
        <v>14.825371336812525</v>
      </c>
      <c r="K5" s="9">
        <f>VLOOKUP($A5,'RES installed'!$A$2:$C$7,3,FALSE)*'[1]Profiles, RES, Winter'!K$6</f>
        <v>13.964271376957045</v>
      </c>
      <c r="L5" s="9">
        <f>VLOOKUP($A5,'RES installed'!$A$2:$C$7,3,FALSE)*'[1]Profiles, RES, Winter'!L$6</f>
        <v>13.121236451224407</v>
      </c>
      <c r="M5" s="9">
        <f>VLOOKUP($A5,'RES installed'!$A$2:$C$7,3,FALSE)*'[1]Profiles, RES, Winter'!M$6</f>
        <v>12.398635086310719</v>
      </c>
      <c r="N5" s="9">
        <f>VLOOKUP($A5,'RES installed'!$A$2:$C$7,3,FALSE)*'[1]Profiles, RES, Winter'!N$6</f>
        <v>11.429144921718187</v>
      </c>
      <c r="O5" s="9">
        <f>VLOOKUP($A5,'RES installed'!$A$2:$C$7,3,FALSE)*'[1]Profiles, RES, Winter'!O$6</f>
        <v>8.8518667201926942</v>
      </c>
      <c r="P5" s="9">
        <f>VLOOKUP($A5,'RES installed'!$A$2:$C$7,3,FALSE)*'[1]Profiles, RES, Winter'!P$6</f>
        <v>8.6591730228823778</v>
      </c>
      <c r="Q5" s="9">
        <f>VLOOKUP($A5,'RES installed'!$A$2:$C$7,3,FALSE)*'[1]Profiles, RES, Winter'!Q$6</f>
        <v>8.8097149739060612</v>
      </c>
      <c r="R5" s="9">
        <f>VLOOKUP($A5,'RES installed'!$A$2:$C$7,3,FALSE)*'[1]Profiles, RES, Winter'!R$6</f>
        <v>11.176234443998394</v>
      </c>
      <c r="S5" s="9">
        <f>VLOOKUP($A5,'RES installed'!$A$2:$C$7,3,FALSE)*'[1]Profiles, RES, Winter'!S$6</f>
        <v>13.097149739060619</v>
      </c>
      <c r="T5" s="9">
        <f>VLOOKUP($A5,'RES installed'!$A$2:$C$7,3,FALSE)*'[1]Profiles, RES, Winter'!T$6</f>
        <v>13.95222802087515</v>
      </c>
      <c r="U5" s="9">
        <f>VLOOKUP($A5,'RES installed'!$A$2:$C$7,3,FALSE)*'[1]Profiles, RES, Winter'!U$6</f>
        <v>14.572460859092734</v>
      </c>
      <c r="V5" s="9">
        <f>VLOOKUP($A5,'RES installed'!$A$2:$C$7,3,FALSE)*'[1]Profiles, RES, Winter'!V$6</f>
        <v>15.060216780409473</v>
      </c>
      <c r="W5" s="9">
        <f>VLOOKUP($A5,'RES installed'!$A$2:$C$7,3,FALSE)*'[1]Profiles, RES, Winter'!W$6</f>
        <v>15.632276194299479</v>
      </c>
      <c r="X5" s="9">
        <f>VLOOKUP($A5,'RES installed'!$A$2:$C$7,3,FALSE)*'[1]Profiles, RES, Winter'!X$6</f>
        <v>15.337213970293057</v>
      </c>
      <c r="Y5" s="9">
        <f>VLOOKUP($A5,'RES installed'!$A$2:$C$7,3,FALSE)*'[1]Profiles, RES, Winter'!Y$6</f>
        <v>14.921718185467684</v>
      </c>
    </row>
    <row r="6" spans="1:25" x14ac:dyDescent="0.3">
      <c r="A6" s="8">
        <v>5</v>
      </c>
      <c r="B6" s="9">
        <f>VLOOKUP($A6,'RES installed'!$A$2:$C$7,3,FALSE)*'[1]Profiles, RES, Winter'!B$6</f>
        <v>10.493777599357689</v>
      </c>
      <c r="C6" s="9">
        <f>VLOOKUP($A6,'RES installed'!$A$2:$C$7,3,FALSE)*'[1]Profiles, RES, Winter'!C$6</f>
        <v>10.654355680449619</v>
      </c>
      <c r="D6" s="9">
        <f>VLOOKUP($A6,'RES installed'!$A$2:$C$7,3,FALSE)*'[1]Profiles, RES, Winter'!D$6</f>
        <v>10.690485748695302</v>
      </c>
      <c r="E6" s="9">
        <f>VLOOKUP($A6,'RES installed'!$A$2:$C$7,3,FALSE)*'[1]Profiles, RES, Winter'!E$6</f>
        <v>9.7751906864712961</v>
      </c>
      <c r="F6" s="9">
        <f>VLOOKUP($A6,'RES installed'!$A$2:$C$7,3,FALSE)*'[1]Profiles, RES, Winter'!F$6</f>
        <v>10.088317944600561</v>
      </c>
      <c r="G6" s="9">
        <f>VLOOKUP($A6,'RES installed'!$A$2:$C$7,3,FALSE)*'[1]Profiles, RES, Winter'!G$6</f>
        <v>10.65034122842232</v>
      </c>
      <c r="H6" s="9">
        <f>VLOOKUP($A6,'RES installed'!$A$2:$C$7,3,FALSE)*'[1]Profiles, RES, Winter'!H$6</f>
        <v>10.903251706142111</v>
      </c>
      <c r="I6" s="9">
        <f>VLOOKUP($A6,'RES installed'!$A$2:$C$7,3,FALSE)*'[1]Profiles, RES, Winter'!I$6</f>
        <v>10.385387394620633</v>
      </c>
      <c r="J6" s="9">
        <f>VLOOKUP($A6,'RES installed'!$A$2:$C$7,3,FALSE)*'[1]Profiles, RES, Winter'!J$6</f>
        <v>9.88358089120835</v>
      </c>
      <c r="K6" s="9">
        <f>VLOOKUP($A6,'RES installed'!$A$2:$C$7,3,FALSE)*'[1]Profiles, RES, Winter'!K$6</f>
        <v>9.3095142513046962</v>
      </c>
      <c r="L6" s="9">
        <f>VLOOKUP($A6,'RES installed'!$A$2:$C$7,3,FALSE)*'[1]Profiles, RES, Winter'!L$6</f>
        <v>8.7474909674829391</v>
      </c>
      <c r="M6" s="9">
        <f>VLOOKUP($A6,'RES installed'!$A$2:$C$7,3,FALSE)*'[1]Profiles, RES, Winter'!M$6</f>
        <v>8.2657567242071455</v>
      </c>
      <c r="N6" s="9">
        <f>VLOOKUP($A6,'RES installed'!$A$2:$C$7,3,FALSE)*'[1]Profiles, RES, Winter'!N$6</f>
        <v>7.6194299478121241</v>
      </c>
      <c r="O6" s="9">
        <f>VLOOKUP($A6,'RES installed'!$A$2:$C$7,3,FALSE)*'[1]Profiles, RES, Winter'!O$6</f>
        <v>5.9012444801284625</v>
      </c>
      <c r="P6" s="9">
        <f>VLOOKUP($A6,'RES installed'!$A$2:$C$7,3,FALSE)*'[1]Profiles, RES, Winter'!P$6</f>
        <v>5.7727820152549185</v>
      </c>
      <c r="Q6" s="9">
        <f>VLOOKUP($A6,'RES installed'!$A$2:$C$7,3,FALSE)*'[1]Profiles, RES, Winter'!Q$6</f>
        <v>5.8731433159373747</v>
      </c>
      <c r="R6" s="9">
        <f>VLOOKUP($A6,'RES installed'!$A$2:$C$7,3,FALSE)*'[1]Profiles, RES, Winter'!R$6</f>
        <v>7.4508229626655966</v>
      </c>
      <c r="S6" s="9">
        <f>VLOOKUP($A6,'RES installed'!$A$2:$C$7,3,FALSE)*'[1]Profiles, RES, Winter'!S$6</f>
        <v>8.7314331593737453</v>
      </c>
      <c r="T6" s="9">
        <f>VLOOKUP($A6,'RES installed'!$A$2:$C$7,3,FALSE)*'[1]Profiles, RES, Winter'!T$6</f>
        <v>9.3014853472501002</v>
      </c>
      <c r="U6" s="9">
        <f>VLOOKUP($A6,'RES installed'!$A$2:$C$7,3,FALSE)*'[1]Profiles, RES, Winter'!U$6</f>
        <v>9.7149739060618217</v>
      </c>
      <c r="V6" s="9">
        <f>VLOOKUP($A6,'RES installed'!$A$2:$C$7,3,FALSE)*'[1]Profiles, RES, Winter'!V$6</f>
        <v>10.040144520272982</v>
      </c>
      <c r="W6" s="9">
        <f>VLOOKUP($A6,'RES installed'!$A$2:$C$7,3,FALSE)*'[1]Profiles, RES, Winter'!W$6</f>
        <v>10.421517462866319</v>
      </c>
      <c r="X6" s="9">
        <f>VLOOKUP($A6,'RES installed'!$A$2:$C$7,3,FALSE)*'[1]Profiles, RES, Winter'!X$6</f>
        <v>10.224809313528704</v>
      </c>
      <c r="Y6" s="9">
        <f>VLOOKUP($A6,'RES installed'!$A$2:$C$7,3,FALSE)*'[1]Profiles, RES, Winter'!Y$6</f>
        <v>9.9478121236451216</v>
      </c>
    </row>
    <row r="7" spans="1:25" x14ac:dyDescent="0.3">
      <c r="A7" s="8">
        <v>6</v>
      </c>
      <c r="B7" s="9">
        <f>VLOOKUP($A7,'RES installed'!$A$2:$C$7,3,FALSE)*'[1]Profiles, RES, Winter'!B$6</f>
        <v>15.740666399036531</v>
      </c>
      <c r="C7" s="9">
        <f>VLOOKUP($A7,'RES installed'!$A$2:$C$7,3,FALSE)*'[1]Profiles, RES, Winter'!C$6</f>
        <v>15.981533520674429</v>
      </c>
      <c r="D7" s="9">
        <f>VLOOKUP($A7,'RES installed'!$A$2:$C$7,3,FALSE)*'[1]Profiles, RES, Winter'!D$6</f>
        <v>16.035728623042953</v>
      </c>
      <c r="E7" s="9">
        <f>VLOOKUP($A7,'RES installed'!$A$2:$C$7,3,FALSE)*'[1]Profiles, RES, Winter'!E$6</f>
        <v>14.662786029706945</v>
      </c>
      <c r="F7" s="9">
        <f>VLOOKUP($A7,'RES installed'!$A$2:$C$7,3,FALSE)*'[1]Profiles, RES, Winter'!F$6</f>
        <v>15.132476916900844</v>
      </c>
      <c r="G7" s="9">
        <f>VLOOKUP($A7,'RES installed'!$A$2:$C$7,3,FALSE)*'[1]Profiles, RES, Winter'!G$6</f>
        <v>15.97551184263348</v>
      </c>
      <c r="H7" s="9">
        <f>VLOOKUP($A7,'RES installed'!$A$2:$C$7,3,FALSE)*'[1]Profiles, RES, Winter'!H$6</f>
        <v>16.354877559213168</v>
      </c>
      <c r="I7" s="9">
        <f>VLOOKUP($A7,'RES installed'!$A$2:$C$7,3,FALSE)*'[1]Profiles, RES, Winter'!I$6</f>
        <v>15.578081091930949</v>
      </c>
      <c r="J7" s="9">
        <f>VLOOKUP($A7,'RES installed'!$A$2:$C$7,3,FALSE)*'[1]Profiles, RES, Winter'!J$6</f>
        <v>14.825371336812525</v>
      </c>
      <c r="K7" s="9">
        <f>VLOOKUP($A7,'RES installed'!$A$2:$C$7,3,FALSE)*'[1]Profiles, RES, Winter'!K$6</f>
        <v>13.964271376957045</v>
      </c>
      <c r="L7" s="9">
        <f>VLOOKUP($A7,'RES installed'!$A$2:$C$7,3,FALSE)*'[1]Profiles, RES, Winter'!L$6</f>
        <v>13.121236451224407</v>
      </c>
      <c r="M7" s="9">
        <f>VLOOKUP($A7,'RES installed'!$A$2:$C$7,3,FALSE)*'[1]Profiles, RES, Winter'!M$6</f>
        <v>12.398635086310719</v>
      </c>
      <c r="N7" s="9">
        <f>VLOOKUP($A7,'RES installed'!$A$2:$C$7,3,FALSE)*'[1]Profiles, RES, Winter'!N$6</f>
        <v>11.429144921718187</v>
      </c>
      <c r="O7" s="9">
        <f>VLOOKUP($A7,'RES installed'!$A$2:$C$7,3,FALSE)*'[1]Profiles, RES, Winter'!O$6</f>
        <v>8.8518667201926942</v>
      </c>
      <c r="P7" s="9">
        <f>VLOOKUP($A7,'RES installed'!$A$2:$C$7,3,FALSE)*'[1]Profiles, RES, Winter'!P$6</f>
        <v>8.6591730228823778</v>
      </c>
      <c r="Q7" s="9">
        <f>VLOOKUP($A7,'RES installed'!$A$2:$C$7,3,FALSE)*'[1]Profiles, RES, Winter'!Q$6</f>
        <v>8.8097149739060612</v>
      </c>
      <c r="R7" s="9">
        <f>VLOOKUP($A7,'RES installed'!$A$2:$C$7,3,FALSE)*'[1]Profiles, RES, Winter'!R$6</f>
        <v>11.176234443998394</v>
      </c>
      <c r="S7" s="9">
        <f>VLOOKUP($A7,'RES installed'!$A$2:$C$7,3,FALSE)*'[1]Profiles, RES, Winter'!S$6</f>
        <v>13.097149739060619</v>
      </c>
      <c r="T7" s="9">
        <f>VLOOKUP($A7,'RES installed'!$A$2:$C$7,3,FALSE)*'[1]Profiles, RES, Winter'!T$6</f>
        <v>13.95222802087515</v>
      </c>
      <c r="U7" s="9">
        <f>VLOOKUP($A7,'RES installed'!$A$2:$C$7,3,FALSE)*'[1]Profiles, RES, Winter'!U$6</f>
        <v>14.572460859092734</v>
      </c>
      <c r="V7" s="9">
        <f>VLOOKUP($A7,'RES installed'!$A$2:$C$7,3,FALSE)*'[1]Profiles, RES, Winter'!V$6</f>
        <v>15.060216780409473</v>
      </c>
      <c r="W7" s="9">
        <f>VLOOKUP($A7,'RES installed'!$A$2:$C$7,3,FALSE)*'[1]Profiles, RES, Winter'!W$6</f>
        <v>15.632276194299479</v>
      </c>
      <c r="X7" s="9">
        <f>VLOOKUP($A7,'RES installed'!$A$2:$C$7,3,FALSE)*'[1]Profiles, RES, Winter'!X$6</f>
        <v>15.337213970293057</v>
      </c>
      <c r="Y7" s="9">
        <f>VLOOKUP($A7,'RES installed'!$A$2:$C$7,3,FALSE)*'[1]Profiles, RES, Winter'!Y$6</f>
        <v>14.921718185467684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2.2744503411675512E-2</v>
      </c>
      <c r="J8" s="6">
        <f>VLOOKUP($A8,'RES installed'!$A$2:$C$7,3,FALSE)*'[1]Profiles, RES, Winter'!J$3</f>
        <v>1.9446550416982564</v>
      </c>
      <c r="K8" s="6">
        <f>VLOOKUP($A8,'RES installed'!$A$2:$C$7,3,FALSE)*'[1]Profiles, RES, Winter'!K$3</f>
        <v>6.6868840030326009</v>
      </c>
      <c r="L8" s="6">
        <f>VLOOKUP($A8,'RES installed'!$A$2:$C$7,3,FALSE)*'[1]Profiles, RES, Winter'!L$3</f>
        <v>10.269143290371494</v>
      </c>
      <c r="M8" s="6">
        <f>VLOOKUP($A8,'RES installed'!$A$2:$C$7,3,FALSE)*'[1]Profiles, RES, Winter'!M$3</f>
        <v>10.18953752843063</v>
      </c>
      <c r="N8" s="6">
        <f>VLOOKUP($A8,'RES installed'!$A$2:$C$7,3,FALSE)*'[1]Profiles, RES, Winter'!N$3</f>
        <v>11.326762699014404</v>
      </c>
      <c r="O8" s="6">
        <f>VLOOKUP($A8,'RES installed'!$A$2:$C$7,3,FALSE)*'[1]Profiles, RES, Winter'!O$3</f>
        <v>11.076573161485973</v>
      </c>
      <c r="P8" s="6">
        <f>VLOOKUP($A8,'RES installed'!$A$2:$C$7,3,FALSE)*'[1]Profiles, RES, Winter'!P$3</f>
        <v>9.3707354056103096</v>
      </c>
      <c r="Q8" s="6">
        <f>VLOOKUP($A8,'RES installed'!$A$2:$C$7,3,FALSE)*'[1]Profiles, RES, Winter'!Q$3</f>
        <v>6.02729340409401</v>
      </c>
      <c r="R8" s="6">
        <f>VLOOKUP($A8,'RES installed'!$A$2:$C$7,3,FALSE)*'[1]Profiles, RES, Winter'!R$3</f>
        <v>1.9219105382865809</v>
      </c>
      <c r="S8" s="6">
        <f>VLOOKUP($A8,'RES installed'!$A$2:$C$7,3,FALSE)*'[1]Profiles, RES, Winter'!S$3</f>
        <v>0.11372251705837756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7.5815011372251705E-3</v>
      </c>
      <c r="J9" s="6">
        <f>VLOOKUP($A9,'RES installed'!$A$2:$C$7,3,FALSE)*'[1]Profiles, RES, Winter'!J$3</f>
        <v>0.64821834723275207</v>
      </c>
      <c r="K9" s="6">
        <f>VLOOKUP($A9,'RES installed'!$A$2:$C$7,3,FALSE)*'[1]Profiles, RES, Winter'!K$3</f>
        <v>2.2289613343442003</v>
      </c>
      <c r="L9" s="6">
        <f>VLOOKUP($A9,'RES installed'!$A$2:$C$7,3,FALSE)*'[1]Profiles, RES, Winter'!L$3</f>
        <v>3.4230477634571645</v>
      </c>
      <c r="M9" s="6">
        <f>VLOOKUP($A9,'RES installed'!$A$2:$C$7,3,FALSE)*'[1]Profiles, RES, Winter'!M$3</f>
        <v>3.3965125094768767</v>
      </c>
      <c r="N9" s="6">
        <f>VLOOKUP($A9,'RES installed'!$A$2:$C$7,3,FALSE)*'[1]Profiles, RES, Winter'!N$3</f>
        <v>3.7755875663381349</v>
      </c>
      <c r="O9" s="6">
        <f>VLOOKUP($A9,'RES installed'!$A$2:$C$7,3,FALSE)*'[1]Profiles, RES, Winter'!O$3</f>
        <v>3.6921910538286578</v>
      </c>
      <c r="P9" s="6">
        <f>VLOOKUP($A9,'RES installed'!$A$2:$C$7,3,FALSE)*'[1]Profiles, RES, Winter'!P$3</f>
        <v>3.12357846853677</v>
      </c>
      <c r="Q9" s="6">
        <f>VLOOKUP($A9,'RES installed'!$A$2:$C$7,3,FALSE)*'[1]Profiles, RES, Winter'!Q$3</f>
        <v>2.0090978013646703</v>
      </c>
      <c r="R9" s="6">
        <f>VLOOKUP($A9,'RES installed'!$A$2:$C$7,3,FALSE)*'[1]Profiles, RES, Winter'!R$3</f>
        <v>0.64063684609552696</v>
      </c>
      <c r="S9" s="6">
        <f>VLOOKUP($A9,'RES installed'!$A$2:$C$7,3,FALSE)*'[1]Profiles, RES, Winter'!S$3</f>
        <v>3.7907505686125852E-2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1.5163002274450341E-2</v>
      </c>
      <c r="J10" s="6">
        <f>VLOOKUP($A10,'RES installed'!$A$2:$C$7,3,FALSE)*'[1]Profiles, RES, Winter'!J$3</f>
        <v>1.2964366944655041</v>
      </c>
      <c r="K10" s="6">
        <f>VLOOKUP($A10,'RES installed'!$A$2:$C$7,3,FALSE)*'[1]Profiles, RES, Winter'!K$3</f>
        <v>4.4579226686884006</v>
      </c>
      <c r="L10" s="6">
        <f>VLOOKUP($A10,'RES installed'!$A$2:$C$7,3,FALSE)*'[1]Profiles, RES, Winter'!L$3</f>
        <v>6.8460955269143291</v>
      </c>
      <c r="M10" s="6">
        <f>VLOOKUP($A10,'RES installed'!$A$2:$C$7,3,FALSE)*'[1]Profiles, RES, Winter'!M$3</f>
        <v>6.7930250189537533</v>
      </c>
      <c r="N10" s="6">
        <f>VLOOKUP($A10,'RES installed'!$A$2:$C$7,3,FALSE)*'[1]Profiles, RES, Winter'!N$3</f>
        <v>7.5511751326762697</v>
      </c>
      <c r="O10" s="6">
        <f>VLOOKUP($A10,'RES installed'!$A$2:$C$7,3,FALSE)*'[1]Profiles, RES, Winter'!O$3</f>
        <v>7.3843821076573155</v>
      </c>
      <c r="P10" s="6">
        <f>VLOOKUP($A10,'RES installed'!$A$2:$C$7,3,FALSE)*'[1]Profiles, RES, Winter'!P$3</f>
        <v>6.24715693707354</v>
      </c>
      <c r="Q10" s="6">
        <f>VLOOKUP($A10,'RES installed'!$A$2:$C$7,3,FALSE)*'[1]Profiles, RES, Winter'!Q$3</f>
        <v>4.0181956027293406</v>
      </c>
      <c r="R10" s="6">
        <f>VLOOKUP($A10,'RES installed'!$A$2:$C$7,3,FALSE)*'[1]Profiles, RES, Winter'!R$3</f>
        <v>1.2812736921910539</v>
      </c>
      <c r="S10" s="6">
        <f>VLOOKUP($A10,'RES installed'!$A$2:$C$7,3,FALSE)*'[1]Profiles, RES, Winter'!S$3</f>
        <v>7.5815011372251703E-2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1AF3F-B272-458C-AA52-13D468BF343E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15.072260136491369</v>
      </c>
      <c r="C5" s="9">
        <f>VLOOKUP($A5,'RES installed'!$A$2:$C$7,3,FALSE)*'[1]Profiles, RES, Winter'!C$7</f>
        <v>15.006021678040948</v>
      </c>
      <c r="D5" s="9">
        <f>VLOOKUP($A5,'RES installed'!$A$2:$C$7,3,FALSE)*'[1]Profiles, RES, Winter'!D$7</f>
        <v>14.62665596146126</v>
      </c>
      <c r="E5" s="9">
        <f>VLOOKUP($A5,'RES installed'!$A$2:$C$7,3,FALSE)*'[1]Profiles, RES, Winter'!E$7</f>
        <v>14.987956643918105</v>
      </c>
      <c r="F5" s="9">
        <f>VLOOKUP($A5,'RES installed'!$A$2:$C$7,3,FALSE)*'[1]Profiles, RES, Winter'!F$7</f>
        <v>14.566439181051788</v>
      </c>
      <c r="G5" s="9">
        <f>VLOOKUP($A5,'RES installed'!$A$2:$C$7,3,FALSE)*'[1]Profiles, RES, Winter'!G$7</f>
        <v>14.48815736651947</v>
      </c>
      <c r="H5" s="9">
        <f>VLOOKUP($A5,'RES installed'!$A$2:$C$7,3,FALSE)*'[1]Profiles, RES, Winter'!H$7</f>
        <v>15.012043356081893</v>
      </c>
      <c r="I5" s="9">
        <f>VLOOKUP($A5,'RES installed'!$A$2:$C$7,3,FALSE)*'[1]Profiles, RES, Winter'!I$7</f>
        <v>14.108791649939784</v>
      </c>
      <c r="J5" s="9">
        <f>VLOOKUP($A5,'RES installed'!$A$2:$C$7,3,FALSE)*'[1]Profiles, RES, Winter'!J$7</f>
        <v>12.988759534323563</v>
      </c>
      <c r="K5" s="9">
        <f>VLOOKUP($A5,'RES installed'!$A$2:$C$7,3,FALSE)*'[1]Profiles, RES, Winter'!K$7</f>
        <v>12.16378964271377</v>
      </c>
      <c r="L5" s="9">
        <f>VLOOKUP($A5,'RES installed'!$A$2:$C$7,3,FALSE)*'[1]Profiles, RES, Winter'!L$7</f>
        <v>11.00160578081092</v>
      </c>
      <c r="M5" s="9">
        <f>VLOOKUP($A5,'RES installed'!$A$2:$C$7,3,FALSE)*'[1]Profiles, RES, Winter'!M$7</f>
        <v>9.4781212364512246</v>
      </c>
      <c r="N5" s="9">
        <f>VLOOKUP($A5,'RES installed'!$A$2:$C$7,3,FALSE)*'[1]Profiles, RES, Winter'!N$7</f>
        <v>8.5447611401043755</v>
      </c>
      <c r="O5" s="9">
        <f>VLOOKUP($A5,'RES installed'!$A$2:$C$7,3,FALSE)*'[1]Profiles, RES, Winter'!O$7</f>
        <v>8.4905660377358494</v>
      </c>
      <c r="P5" s="9">
        <f>VLOOKUP($A5,'RES installed'!$A$2:$C$7,3,FALSE)*'[1]Profiles, RES, Winter'!P$7</f>
        <v>9.6346848655158563</v>
      </c>
      <c r="Q5" s="9">
        <f>VLOOKUP($A5,'RES installed'!$A$2:$C$7,3,FALSE)*'[1]Profiles, RES, Winter'!Q$7</f>
        <v>9.9718988358089113</v>
      </c>
      <c r="R5" s="9">
        <f>VLOOKUP($A5,'RES installed'!$A$2:$C$7,3,FALSE)*'[1]Profiles, RES, Winter'!R$7</f>
        <v>11.025692492974709</v>
      </c>
      <c r="S5" s="9">
        <f>VLOOKUP($A5,'RES installed'!$A$2:$C$7,3,FALSE)*'[1]Profiles, RES, Winter'!S$7</f>
        <v>12.778000802890405</v>
      </c>
      <c r="T5" s="9">
        <f>VLOOKUP($A5,'RES installed'!$A$2:$C$7,3,FALSE)*'[1]Profiles, RES, Winter'!T$7</f>
        <v>13.898032918506624</v>
      </c>
      <c r="U5" s="9">
        <f>VLOOKUP($A5,'RES installed'!$A$2:$C$7,3,FALSE)*'[1]Profiles, RES, Winter'!U$7</f>
        <v>14.729024488157366</v>
      </c>
      <c r="V5" s="9">
        <f>VLOOKUP($A5,'RES installed'!$A$2:$C$7,3,FALSE)*'[1]Profiles, RES, Winter'!V$7</f>
        <v>14.849458048976315</v>
      </c>
      <c r="W5" s="9">
        <f>VLOOKUP($A5,'RES installed'!$A$2:$C$7,3,FALSE)*'[1]Profiles, RES, Winter'!W$7</f>
        <v>13.687274187073463</v>
      </c>
      <c r="X5" s="9">
        <f>VLOOKUP($A5,'RES installed'!$A$2:$C$7,3,FALSE)*'[1]Profiles, RES, Winter'!X$7</f>
        <v>12.621437173825772</v>
      </c>
      <c r="Y5" s="9">
        <f>VLOOKUP($A5,'RES installed'!$A$2:$C$7,3,FALSE)*'[1]Profiles, RES, Winter'!Y$7</f>
        <v>12.121637896427139</v>
      </c>
    </row>
    <row r="6" spans="1:25" x14ac:dyDescent="0.3">
      <c r="A6" s="8">
        <v>5</v>
      </c>
      <c r="B6" s="9">
        <f>VLOOKUP($A6,'RES installed'!$A$2:$C$7,3,FALSE)*'[1]Profiles, RES, Winter'!B$7</f>
        <v>10.04817342432758</v>
      </c>
      <c r="C6" s="9">
        <f>VLOOKUP($A6,'RES installed'!$A$2:$C$7,3,FALSE)*'[1]Profiles, RES, Winter'!C$7</f>
        <v>10.004014452027299</v>
      </c>
      <c r="D6" s="9">
        <f>VLOOKUP($A6,'RES installed'!$A$2:$C$7,3,FALSE)*'[1]Profiles, RES, Winter'!D$7</f>
        <v>9.7511039743075063</v>
      </c>
      <c r="E6" s="9">
        <f>VLOOKUP($A6,'RES installed'!$A$2:$C$7,3,FALSE)*'[1]Profiles, RES, Winter'!E$7</f>
        <v>9.991971095945404</v>
      </c>
      <c r="F6" s="9">
        <f>VLOOKUP($A6,'RES installed'!$A$2:$C$7,3,FALSE)*'[1]Profiles, RES, Winter'!F$7</f>
        <v>9.7109594540345245</v>
      </c>
      <c r="G6" s="9">
        <f>VLOOKUP($A6,'RES installed'!$A$2:$C$7,3,FALSE)*'[1]Profiles, RES, Winter'!G$7</f>
        <v>9.6587715776796461</v>
      </c>
      <c r="H6" s="9">
        <f>VLOOKUP($A6,'RES installed'!$A$2:$C$7,3,FALSE)*'[1]Profiles, RES, Winter'!H$7</f>
        <v>10.008028904054596</v>
      </c>
      <c r="I6" s="9">
        <f>VLOOKUP($A6,'RES installed'!$A$2:$C$7,3,FALSE)*'[1]Profiles, RES, Winter'!I$7</f>
        <v>9.4058610999598553</v>
      </c>
      <c r="J6" s="9">
        <f>VLOOKUP($A6,'RES installed'!$A$2:$C$7,3,FALSE)*'[1]Profiles, RES, Winter'!J$7</f>
        <v>8.659173022882376</v>
      </c>
      <c r="K6" s="9">
        <f>VLOOKUP($A6,'RES installed'!$A$2:$C$7,3,FALSE)*'[1]Profiles, RES, Winter'!K$7</f>
        <v>8.109193095142512</v>
      </c>
      <c r="L6" s="9">
        <f>VLOOKUP($A6,'RES installed'!$A$2:$C$7,3,FALSE)*'[1]Profiles, RES, Winter'!L$7</f>
        <v>7.3344038538739467</v>
      </c>
      <c r="M6" s="9">
        <f>VLOOKUP($A6,'RES installed'!$A$2:$C$7,3,FALSE)*'[1]Profiles, RES, Winter'!M$7</f>
        <v>6.3187474909674837</v>
      </c>
      <c r="N6" s="9">
        <f>VLOOKUP($A6,'RES installed'!$A$2:$C$7,3,FALSE)*'[1]Profiles, RES, Winter'!N$7</f>
        <v>5.6965074267362503</v>
      </c>
      <c r="O6" s="9">
        <f>VLOOKUP($A6,'RES installed'!$A$2:$C$7,3,FALSE)*'[1]Profiles, RES, Winter'!O$7</f>
        <v>5.6603773584905657</v>
      </c>
      <c r="P6" s="9">
        <f>VLOOKUP($A6,'RES installed'!$A$2:$C$7,3,FALSE)*'[1]Profiles, RES, Winter'!P$7</f>
        <v>6.4231232436772379</v>
      </c>
      <c r="Q6" s="9">
        <f>VLOOKUP($A6,'RES installed'!$A$2:$C$7,3,FALSE)*'[1]Profiles, RES, Winter'!Q$7</f>
        <v>6.6479325572059409</v>
      </c>
      <c r="R6" s="9">
        <f>VLOOKUP($A6,'RES installed'!$A$2:$C$7,3,FALSE)*'[1]Profiles, RES, Winter'!R$7</f>
        <v>7.3504616619831395</v>
      </c>
      <c r="S6" s="9">
        <f>VLOOKUP($A6,'RES installed'!$A$2:$C$7,3,FALSE)*'[1]Profiles, RES, Winter'!S$7</f>
        <v>8.518667201926938</v>
      </c>
      <c r="T6" s="9">
        <f>VLOOKUP($A6,'RES installed'!$A$2:$C$7,3,FALSE)*'[1]Profiles, RES, Winter'!T$7</f>
        <v>9.2653552790044156</v>
      </c>
      <c r="U6" s="9">
        <f>VLOOKUP($A6,'RES installed'!$A$2:$C$7,3,FALSE)*'[1]Profiles, RES, Winter'!U$7</f>
        <v>9.8193496587715785</v>
      </c>
      <c r="V6" s="9">
        <f>VLOOKUP($A6,'RES installed'!$A$2:$C$7,3,FALSE)*'[1]Profiles, RES, Winter'!V$7</f>
        <v>9.8996386993175438</v>
      </c>
      <c r="W6" s="9">
        <f>VLOOKUP($A6,'RES installed'!$A$2:$C$7,3,FALSE)*'[1]Profiles, RES, Winter'!W$7</f>
        <v>9.1248494580489758</v>
      </c>
      <c r="X6" s="9">
        <f>VLOOKUP($A6,'RES installed'!$A$2:$C$7,3,FALSE)*'[1]Profiles, RES, Winter'!X$7</f>
        <v>8.4142914492171812</v>
      </c>
      <c r="Y6" s="9">
        <f>VLOOKUP($A6,'RES installed'!$A$2:$C$7,3,FALSE)*'[1]Profiles, RES, Winter'!Y$7</f>
        <v>8.0810919309514251</v>
      </c>
    </row>
    <row r="7" spans="1:25" x14ac:dyDescent="0.3">
      <c r="A7" s="8">
        <v>6</v>
      </c>
      <c r="B7" s="9">
        <f>VLOOKUP($A7,'RES installed'!$A$2:$C$7,3,FALSE)*'[1]Profiles, RES, Winter'!B$7</f>
        <v>15.072260136491369</v>
      </c>
      <c r="C7" s="9">
        <f>VLOOKUP($A7,'RES installed'!$A$2:$C$7,3,FALSE)*'[1]Profiles, RES, Winter'!C$7</f>
        <v>15.006021678040948</v>
      </c>
      <c r="D7" s="9">
        <f>VLOOKUP($A7,'RES installed'!$A$2:$C$7,3,FALSE)*'[1]Profiles, RES, Winter'!D$7</f>
        <v>14.62665596146126</v>
      </c>
      <c r="E7" s="9">
        <f>VLOOKUP($A7,'RES installed'!$A$2:$C$7,3,FALSE)*'[1]Profiles, RES, Winter'!E$7</f>
        <v>14.987956643918105</v>
      </c>
      <c r="F7" s="9">
        <f>VLOOKUP($A7,'RES installed'!$A$2:$C$7,3,FALSE)*'[1]Profiles, RES, Winter'!F$7</f>
        <v>14.566439181051788</v>
      </c>
      <c r="G7" s="9">
        <f>VLOOKUP($A7,'RES installed'!$A$2:$C$7,3,FALSE)*'[1]Profiles, RES, Winter'!G$7</f>
        <v>14.48815736651947</v>
      </c>
      <c r="H7" s="9">
        <f>VLOOKUP($A7,'RES installed'!$A$2:$C$7,3,FALSE)*'[1]Profiles, RES, Winter'!H$7</f>
        <v>15.012043356081893</v>
      </c>
      <c r="I7" s="9">
        <f>VLOOKUP($A7,'RES installed'!$A$2:$C$7,3,FALSE)*'[1]Profiles, RES, Winter'!I$7</f>
        <v>14.108791649939784</v>
      </c>
      <c r="J7" s="9">
        <f>VLOOKUP($A7,'RES installed'!$A$2:$C$7,3,FALSE)*'[1]Profiles, RES, Winter'!J$7</f>
        <v>12.988759534323563</v>
      </c>
      <c r="K7" s="9">
        <f>VLOOKUP($A7,'RES installed'!$A$2:$C$7,3,FALSE)*'[1]Profiles, RES, Winter'!K$7</f>
        <v>12.16378964271377</v>
      </c>
      <c r="L7" s="9">
        <f>VLOOKUP($A7,'RES installed'!$A$2:$C$7,3,FALSE)*'[1]Profiles, RES, Winter'!L$7</f>
        <v>11.00160578081092</v>
      </c>
      <c r="M7" s="9">
        <f>VLOOKUP($A7,'RES installed'!$A$2:$C$7,3,FALSE)*'[1]Profiles, RES, Winter'!M$7</f>
        <v>9.4781212364512246</v>
      </c>
      <c r="N7" s="9">
        <f>VLOOKUP($A7,'RES installed'!$A$2:$C$7,3,FALSE)*'[1]Profiles, RES, Winter'!N$7</f>
        <v>8.5447611401043755</v>
      </c>
      <c r="O7" s="9">
        <f>VLOOKUP($A7,'RES installed'!$A$2:$C$7,3,FALSE)*'[1]Profiles, RES, Winter'!O$7</f>
        <v>8.4905660377358494</v>
      </c>
      <c r="P7" s="9">
        <f>VLOOKUP($A7,'RES installed'!$A$2:$C$7,3,FALSE)*'[1]Profiles, RES, Winter'!P$7</f>
        <v>9.6346848655158563</v>
      </c>
      <c r="Q7" s="9">
        <f>VLOOKUP($A7,'RES installed'!$A$2:$C$7,3,FALSE)*'[1]Profiles, RES, Winter'!Q$7</f>
        <v>9.9718988358089113</v>
      </c>
      <c r="R7" s="9">
        <f>VLOOKUP($A7,'RES installed'!$A$2:$C$7,3,FALSE)*'[1]Profiles, RES, Winter'!R$7</f>
        <v>11.025692492974709</v>
      </c>
      <c r="S7" s="9">
        <f>VLOOKUP($A7,'RES installed'!$A$2:$C$7,3,FALSE)*'[1]Profiles, RES, Winter'!S$7</f>
        <v>12.778000802890405</v>
      </c>
      <c r="T7" s="9">
        <f>VLOOKUP($A7,'RES installed'!$A$2:$C$7,3,FALSE)*'[1]Profiles, RES, Winter'!T$7</f>
        <v>13.898032918506624</v>
      </c>
      <c r="U7" s="9">
        <f>VLOOKUP($A7,'RES installed'!$A$2:$C$7,3,FALSE)*'[1]Profiles, RES, Winter'!U$7</f>
        <v>14.729024488157366</v>
      </c>
      <c r="V7" s="9">
        <f>VLOOKUP($A7,'RES installed'!$A$2:$C$7,3,FALSE)*'[1]Profiles, RES, Winter'!V$7</f>
        <v>14.849458048976315</v>
      </c>
      <c r="W7" s="9">
        <f>VLOOKUP($A7,'RES installed'!$A$2:$C$7,3,FALSE)*'[1]Profiles, RES, Winter'!W$7</f>
        <v>13.687274187073463</v>
      </c>
      <c r="X7" s="9">
        <f>VLOOKUP($A7,'RES installed'!$A$2:$C$7,3,FALSE)*'[1]Profiles, RES, Winter'!X$7</f>
        <v>12.621437173825772</v>
      </c>
      <c r="Y7" s="9">
        <f>VLOOKUP($A7,'RES installed'!$A$2:$C$7,3,FALSE)*'[1]Profiles, RES, Winter'!Y$7</f>
        <v>12.121637896427139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1.1372251705837756E-2</v>
      </c>
      <c r="J8" s="6">
        <f>VLOOKUP($A8,'RES installed'!$A$2:$C$7,3,FALSE)*'[1]Profiles, RES, Winter'!J$4</f>
        <v>1.0121304018195603</v>
      </c>
      <c r="K8" s="6">
        <f>VLOOKUP($A8,'RES installed'!$A$2:$C$7,3,FALSE)*'[1]Profiles, RES, Winter'!K$4</f>
        <v>4.344200151630023</v>
      </c>
      <c r="L8" s="6">
        <f>VLOOKUP($A8,'RES installed'!$A$2:$C$7,3,FALSE)*'[1]Profiles, RES, Winter'!L$4</f>
        <v>7.1645185746777864</v>
      </c>
      <c r="M8" s="6">
        <f>VLOOKUP($A8,'RES installed'!$A$2:$C$7,3,FALSE)*'[1]Profiles, RES, Winter'!M$4</f>
        <v>8.1425322213798328</v>
      </c>
      <c r="N8" s="6">
        <f>VLOOKUP($A8,'RES installed'!$A$2:$C$7,3,FALSE)*'[1]Profiles, RES, Winter'!N$4</f>
        <v>7.7786201667930257</v>
      </c>
      <c r="O8" s="6">
        <f>VLOOKUP($A8,'RES installed'!$A$2:$C$7,3,FALSE)*'[1]Profiles, RES, Winter'!O$4</f>
        <v>7.9264594389689158</v>
      </c>
      <c r="P8" s="6">
        <f>VLOOKUP($A8,'RES installed'!$A$2:$C$7,3,FALSE)*'[1]Profiles, RES, Winter'!P$4</f>
        <v>8.5746777862016685</v>
      </c>
      <c r="Q8" s="6">
        <f>VLOOKUP($A8,'RES installed'!$A$2:$C$7,3,FALSE)*'[1]Profiles, RES, Winter'!Q$4</f>
        <v>7.8127369219105374</v>
      </c>
      <c r="R8" s="6">
        <f>VLOOKUP($A8,'RES installed'!$A$2:$C$7,3,FALSE)*'[1]Profiles, RES, Winter'!R$4</f>
        <v>3.5595147839272174</v>
      </c>
      <c r="S8" s="6">
        <f>VLOOKUP($A8,'RES installed'!$A$2:$C$7,3,FALSE)*'[1]Profiles, RES, Winter'!S$4</f>
        <v>0.1819560272934041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3.7907505686125853E-3</v>
      </c>
      <c r="J9" s="6">
        <f>VLOOKUP($A9,'RES installed'!$A$2:$C$7,3,FALSE)*'[1]Profiles, RES, Winter'!J$4</f>
        <v>0.33737680060652009</v>
      </c>
      <c r="K9" s="6">
        <f>VLOOKUP($A9,'RES installed'!$A$2:$C$7,3,FALSE)*'[1]Profiles, RES, Winter'!K$4</f>
        <v>1.4480667172100077</v>
      </c>
      <c r="L9" s="6">
        <f>VLOOKUP($A9,'RES installed'!$A$2:$C$7,3,FALSE)*'[1]Profiles, RES, Winter'!L$4</f>
        <v>2.3881728582259285</v>
      </c>
      <c r="M9" s="6">
        <f>VLOOKUP($A9,'RES installed'!$A$2:$C$7,3,FALSE)*'[1]Profiles, RES, Winter'!M$4</f>
        <v>2.7141774071266109</v>
      </c>
      <c r="N9" s="6">
        <f>VLOOKUP($A9,'RES installed'!$A$2:$C$7,3,FALSE)*'[1]Profiles, RES, Winter'!N$4</f>
        <v>2.5928733889310083</v>
      </c>
      <c r="O9" s="6">
        <f>VLOOKUP($A9,'RES installed'!$A$2:$C$7,3,FALSE)*'[1]Profiles, RES, Winter'!O$4</f>
        <v>2.6421531463229719</v>
      </c>
      <c r="P9" s="6">
        <f>VLOOKUP($A9,'RES installed'!$A$2:$C$7,3,FALSE)*'[1]Profiles, RES, Winter'!P$4</f>
        <v>2.8582259287338898</v>
      </c>
      <c r="Q9" s="6">
        <f>VLOOKUP($A9,'RES installed'!$A$2:$C$7,3,FALSE)*'[1]Profiles, RES, Winter'!Q$4</f>
        <v>2.6042456406368459</v>
      </c>
      <c r="R9" s="6">
        <f>VLOOKUP($A9,'RES installed'!$A$2:$C$7,3,FALSE)*'[1]Profiles, RES, Winter'!R$4</f>
        <v>1.1865049279757391</v>
      </c>
      <c r="S9" s="6">
        <f>VLOOKUP($A9,'RES installed'!$A$2:$C$7,3,FALSE)*'[1]Profiles, RES, Winter'!S$4</f>
        <v>6.0652009097801364E-2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7.5815011372251705E-3</v>
      </c>
      <c r="J10" s="6">
        <f>VLOOKUP($A10,'RES installed'!$A$2:$C$7,3,FALSE)*'[1]Profiles, RES, Winter'!J$4</f>
        <v>0.67475360121304018</v>
      </c>
      <c r="K10" s="6">
        <f>VLOOKUP($A10,'RES installed'!$A$2:$C$7,3,FALSE)*'[1]Profiles, RES, Winter'!K$4</f>
        <v>2.8961334344200154</v>
      </c>
      <c r="L10" s="6">
        <f>VLOOKUP($A10,'RES installed'!$A$2:$C$7,3,FALSE)*'[1]Profiles, RES, Winter'!L$4</f>
        <v>4.776345716451857</v>
      </c>
      <c r="M10" s="6">
        <f>VLOOKUP($A10,'RES installed'!$A$2:$C$7,3,FALSE)*'[1]Profiles, RES, Winter'!M$4</f>
        <v>5.4283548142532219</v>
      </c>
      <c r="N10" s="6">
        <f>VLOOKUP($A10,'RES installed'!$A$2:$C$7,3,FALSE)*'[1]Profiles, RES, Winter'!N$4</f>
        <v>5.1857467778620165</v>
      </c>
      <c r="O10" s="6">
        <f>VLOOKUP($A10,'RES installed'!$A$2:$C$7,3,FALSE)*'[1]Profiles, RES, Winter'!O$4</f>
        <v>5.2843062926459439</v>
      </c>
      <c r="P10" s="6">
        <f>VLOOKUP($A10,'RES installed'!$A$2:$C$7,3,FALSE)*'[1]Profiles, RES, Winter'!P$4</f>
        <v>5.7164518574677796</v>
      </c>
      <c r="Q10" s="6">
        <f>VLOOKUP($A10,'RES installed'!$A$2:$C$7,3,FALSE)*'[1]Profiles, RES, Winter'!Q$4</f>
        <v>5.2084912812736919</v>
      </c>
      <c r="R10" s="6">
        <f>VLOOKUP($A10,'RES installed'!$A$2:$C$7,3,FALSE)*'[1]Profiles, RES, Winter'!R$4</f>
        <v>2.3730098559514783</v>
      </c>
      <c r="S10" s="6">
        <f>VLOOKUP($A10,'RES installed'!$A$2:$C$7,3,FALSE)*'[1]Profiles, RES, Winter'!S$4</f>
        <v>0.12130401819560273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7FE1B-2682-4FFE-8108-DD927AA6BC0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16.264552388598958</v>
      </c>
      <c r="C5" s="9">
        <f>VLOOKUP($A5,'RES installed'!$A$2:$C$7,3,FALSE)*'[1]Profiles, RES, Winter'!C$5</f>
        <v>17.498996386993174</v>
      </c>
      <c r="D5" s="9">
        <f>VLOOKUP($A5,'RES installed'!$A$2:$C$7,3,FALSE)*'[1]Profiles, RES, Winter'!D$5</f>
        <v>17.408671216378966</v>
      </c>
      <c r="E5" s="9">
        <f>VLOOKUP($A5,'RES installed'!$A$2:$C$7,3,FALSE)*'[1]Profiles, RES, Winter'!E$5</f>
        <v>17.444801284624649</v>
      </c>
      <c r="F5" s="9">
        <f>VLOOKUP($A5,'RES installed'!$A$2:$C$7,3,FALSE)*'[1]Profiles, RES, Winter'!F$5</f>
        <v>18.059012444801287</v>
      </c>
      <c r="G5" s="9">
        <f>VLOOKUP($A5,'RES installed'!$A$2:$C$7,3,FALSE)*'[1]Profiles, RES, Winter'!G$5</f>
        <v>19.064632677639505</v>
      </c>
      <c r="H5" s="9">
        <f>VLOOKUP($A5,'RES installed'!$A$2:$C$7,3,FALSE)*'[1]Profiles, RES, Winter'!H$5</f>
        <v>20.311120032115614</v>
      </c>
      <c r="I5" s="9">
        <f>VLOOKUP($A5,'RES installed'!$A$2:$C$7,3,FALSE)*'[1]Profiles, RES, Winter'!I$5</f>
        <v>20.3472501003613</v>
      </c>
      <c r="J5" s="9">
        <f>VLOOKUP($A5,'RES installed'!$A$2:$C$7,3,FALSE)*'[1]Profiles, RES, Winter'!J$5</f>
        <v>20.166599759132879</v>
      </c>
      <c r="K5" s="9">
        <f>VLOOKUP($A5,'RES installed'!$A$2:$C$7,3,FALSE)*'[1]Profiles, RES, Winter'!K$5</f>
        <v>18.926134082697711</v>
      </c>
      <c r="L5" s="9">
        <f>VLOOKUP($A5,'RES installed'!$A$2:$C$7,3,FALSE)*'[1]Profiles, RES, Winter'!L$5</f>
        <v>16.505419510236852</v>
      </c>
      <c r="M5" s="9">
        <f>VLOOKUP($A5,'RES installed'!$A$2:$C$7,3,FALSE)*'[1]Profiles, RES, Winter'!M$5</f>
        <v>15.186672019269368</v>
      </c>
      <c r="N5" s="9">
        <f>VLOOKUP($A5,'RES installed'!$A$2:$C$7,3,FALSE)*'[1]Profiles, RES, Winter'!N$5</f>
        <v>14.590525893215577</v>
      </c>
      <c r="O5" s="9">
        <f>VLOOKUP($A5,'RES installed'!$A$2:$C$7,3,FALSE)*'[1]Profiles, RES, Winter'!O$5</f>
        <v>13.596949016459254</v>
      </c>
      <c r="P5" s="9">
        <f>VLOOKUP($A5,'RES installed'!$A$2:$C$7,3,FALSE)*'[1]Profiles, RES, Winter'!P$5</f>
        <v>12.428743476515455</v>
      </c>
      <c r="Q5" s="9">
        <f>VLOOKUP($A5,'RES installed'!$A$2:$C$7,3,FALSE)*'[1]Profiles, RES, Winter'!Q$5</f>
        <v>12.537133681252509</v>
      </c>
      <c r="R5" s="9">
        <f>VLOOKUP($A5,'RES installed'!$A$2:$C$7,3,FALSE)*'[1]Profiles, RES, Winter'!R$5</f>
        <v>13.006824568446408</v>
      </c>
      <c r="S5" s="9">
        <f>VLOOKUP($A5,'RES installed'!$A$2:$C$7,3,FALSE)*'[1]Profiles, RES, Winter'!S$5</f>
        <v>14.987956643918105</v>
      </c>
      <c r="T5" s="9">
        <f>VLOOKUP($A5,'RES installed'!$A$2:$C$7,3,FALSE)*'[1]Profiles, RES, Winter'!T$5</f>
        <v>16.228422320353275</v>
      </c>
      <c r="U5" s="9">
        <f>VLOOKUP($A5,'RES installed'!$A$2:$C$7,3,FALSE)*'[1]Profiles, RES, Winter'!U$5</f>
        <v>16.631874749096749</v>
      </c>
      <c r="V5" s="9">
        <f>VLOOKUP($A5,'RES installed'!$A$2:$C$7,3,FALSE)*'[1]Profiles, RES, Winter'!V$5</f>
        <v>16.083902047370533</v>
      </c>
      <c r="W5" s="9">
        <f>VLOOKUP($A5,'RES installed'!$A$2:$C$7,3,FALSE)*'[1]Profiles, RES, Winter'!W$5</f>
        <v>15.210758731433158</v>
      </c>
      <c r="X5" s="9">
        <f>VLOOKUP($A5,'RES installed'!$A$2:$C$7,3,FALSE)*'[1]Profiles, RES, Winter'!X$5</f>
        <v>15.37334403853874</v>
      </c>
      <c r="Y5" s="9">
        <f>VLOOKUP($A5,'RES installed'!$A$2:$C$7,3,FALSE)*'[1]Profiles, RES, Winter'!Y$5</f>
        <v>16.005620232838218</v>
      </c>
    </row>
    <row r="6" spans="1:25" x14ac:dyDescent="0.3">
      <c r="A6" s="8">
        <v>5</v>
      </c>
      <c r="B6" s="9">
        <f>VLOOKUP($A6,'RES installed'!$A$2:$C$7,3,FALSE)*'[1]Profiles, RES, Winter'!B$5</f>
        <v>10.843034925732638</v>
      </c>
      <c r="C6" s="9">
        <f>VLOOKUP($A6,'RES installed'!$A$2:$C$7,3,FALSE)*'[1]Profiles, RES, Winter'!C$5</f>
        <v>11.665997591328782</v>
      </c>
      <c r="D6" s="9">
        <f>VLOOKUP($A6,'RES installed'!$A$2:$C$7,3,FALSE)*'[1]Profiles, RES, Winter'!D$5</f>
        <v>11.60578081091931</v>
      </c>
      <c r="E6" s="9">
        <f>VLOOKUP($A6,'RES installed'!$A$2:$C$7,3,FALSE)*'[1]Profiles, RES, Winter'!E$5</f>
        <v>11.629867523083099</v>
      </c>
      <c r="F6" s="9">
        <f>VLOOKUP($A6,'RES installed'!$A$2:$C$7,3,FALSE)*'[1]Profiles, RES, Winter'!F$5</f>
        <v>12.039341629867524</v>
      </c>
      <c r="G6" s="9">
        <f>VLOOKUP($A6,'RES installed'!$A$2:$C$7,3,FALSE)*'[1]Profiles, RES, Winter'!G$5</f>
        <v>12.709755118426337</v>
      </c>
      <c r="H6" s="9">
        <f>VLOOKUP($A6,'RES installed'!$A$2:$C$7,3,FALSE)*'[1]Profiles, RES, Winter'!H$5</f>
        <v>13.540746688077077</v>
      </c>
      <c r="I6" s="9">
        <f>VLOOKUP($A6,'RES installed'!$A$2:$C$7,3,FALSE)*'[1]Profiles, RES, Winter'!I$5</f>
        <v>13.564833400240868</v>
      </c>
      <c r="J6" s="9">
        <f>VLOOKUP($A6,'RES installed'!$A$2:$C$7,3,FALSE)*'[1]Profiles, RES, Winter'!J$5</f>
        <v>13.444399839421919</v>
      </c>
      <c r="K6" s="9">
        <f>VLOOKUP($A6,'RES installed'!$A$2:$C$7,3,FALSE)*'[1]Profiles, RES, Winter'!K$5</f>
        <v>12.617422721798475</v>
      </c>
      <c r="L6" s="9">
        <f>VLOOKUP($A6,'RES installed'!$A$2:$C$7,3,FALSE)*'[1]Profiles, RES, Winter'!L$5</f>
        <v>11.003613006824569</v>
      </c>
      <c r="M6" s="9">
        <f>VLOOKUP($A6,'RES installed'!$A$2:$C$7,3,FALSE)*'[1]Profiles, RES, Winter'!M$5</f>
        <v>10.124448012846246</v>
      </c>
      <c r="N6" s="9">
        <f>VLOOKUP($A6,'RES installed'!$A$2:$C$7,3,FALSE)*'[1]Profiles, RES, Winter'!N$5</f>
        <v>9.7270172621437183</v>
      </c>
      <c r="O6" s="9">
        <f>VLOOKUP($A6,'RES installed'!$A$2:$C$7,3,FALSE)*'[1]Profiles, RES, Winter'!O$5</f>
        <v>9.0646326776395032</v>
      </c>
      <c r="P6" s="9">
        <f>VLOOKUP($A6,'RES installed'!$A$2:$C$7,3,FALSE)*'[1]Profiles, RES, Winter'!P$5</f>
        <v>8.2858289843436381</v>
      </c>
      <c r="Q6" s="9">
        <f>VLOOKUP($A6,'RES installed'!$A$2:$C$7,3,FALSE)*'[1]Profiles, RES, Winter'!Q$5</f>
        <v>8.3580891208350057</v>
      </c>
      <c r="R6" s="9">
        <f>VLOOKUP($A6,'RES installed'!$A$2:$C$7,3,FALSE)*'[1]Profiles, RES, Winter'!R$5</f>
        <v>8.6712163789642709</v>
      </c>
      <c r="S6" s="9">
        <f>VLOOKUP($A6,'RES installed'!$A$2:$C$7,3,FALSE)*'[1]Profiles, RES, Winter'!S$5</f>
        <v>9.991971095945404</v>
      </c>
      <c r="T6" s="9">
        <f>VLOOKUP($A6,'RES installed'!$A$2:$C$7,3,FALSE)*'[1]Profiles, RES, Winter'!T$5</f>
        <v>10.818948213568849</v>
      </c>
      <c r="U6" s="9">
        <f>VLOOKUP($A6,'RES installed'!$A$2:$C$7,3,FALSE)*'[1]Profiles, RES, Winter'!U$5</f>
        <v>11.087916499397831</v>
      </c>
      <c r="V6" s="9">
        <f>VLOOKUP($A6,'RES installed'!$A$2:$C$7,3,FALSE)*'[1]Profiles, RES, Winter'!V$5</f>
        <v>10.72260136491369</v>
      </c>
      <c r="W6" s="9">
        <f>VLOOKUP($A6,'RES installed'!$A$2:$C$7,3,FALSE)*'[1]Profiles, RES, Winter'!W$5</f>
        <v>10.14050582095544</v>
      </c>
      <c r="X6" s="9">
        <f>VLOOKUP($A6,'RES installed'!$A$2:$C$7,3,FALSE)*'[1]Profiles, RES, Winter'!X$5</f>
        <v>10.248896025692494</v>
      </c>
      <c r="Y6" s="9">
        <f>VLOOKUP($A6,'RES installed'!$A$2:$C$7,3,FALSE)*'[1]Profiles, RES, Winter'!Y$5</f>
        <v>10.670413488558811</v>
      </c>
    </row>
    <row r="7" spans="1:25" x14ac:dyDescent="0.3">
      <c r="A7" s="8">
        <v>6</v>
      </c>
      <c r="B7" s="9">
        <f>VLOOKUP($A7,'RES installed'!$A$2:$C$7,3,FALSE)*'[1]Profiles, RES, Winter'!B$5</f>
        <v>16.264552388598958</v>
      </c>
      <c r="C7" s="9">
        <f>VLOOKUP($A7,'RES installed'!$A$2:$C$7,3,FALSE)*'[1]Profiles, RES, Winter'!C$5</f>
        <v>17.498996386993174</v>
      </c>
      <c r="D7" s="9">
        <f>VLOOKUP($A7,'RES installed'!$A$2:$C$7,3,FALSE)*'[1]Profiles, RES, Winter'!D$5</f>
        <v>17.408671216378966</v>
      </c>
      <c r="E7" s="9">
        <f>VLOOKUP($A7,'RES installed'!$A$2:$C$7,3,FALSE)*'[1]Profiles, RES, Winter'!E$5</f>
        <v>17.444801284624649</v>
      </c>
      <c r="F7" s="9">
        <f>VLOOKUP($A7,'RES installed'!$A$2:$C$7,3,FALSE)*'[1]Profiles, RES, Winter'!F$5</f>
        <v>18.059012444801287</v>
      </c>
      <c r="G7" s="9">
        <f>VLOOKUP($A7,'RES installed'!$A$2:$C$7,3,FALSE)*'[1]Profiles, RES, Winter'!G$5</f>
        <v>19.064632677639505</v>
      </c>
      <c r="H7" s="9">
        <f>VLOOKUP($A7,'RES installed'!$A$2:$C$7,3,FALSE)*'[1]Profiles, RES, Winter'!H$5</f>
        <v>20.311120032115614</v>
      </c>
      <c r="I7" s="9">
        <f>VLOOKUP($A7,'RES installed'!$A$2:$C$7,3,FALSE)*'[1]Profiles, RES, Winter'!I$5</f>
        <v>20.3472501003613</v>
      </c>
      <c r="J7" s="9">
        <f>VLOOKUP($A7,'RES installed'!$A$2:$C$7,3,FALSE)*'[1]Profiles, RES, Winter'!J$5</f>
        <v>20.166599759132879</v>
      </c>
      <c r="K7" s="9">
        <f>VLOOKUP($A7,'RES installed'!$A$2:$C$7,3,FALSE)*'[1]Profiles, RES, Winter'!K$5</f>
        <v>18.926134082697711</v>
      </c>
      <c r="L7" s="9">
        <f>VLOOKUP($A7,'RES installed'!$A$2:$C$7,3,FALSE)*'[1]Profiles, RES, Winter'!L$5</f>
        <v>16.505419510236852</v>
      </c>
      <c r="M7" s="9">
        <f>VLOOKUP($A7,'RES installed'!$A$2:$C$7,3,FALSE)*'[1]Profiles, RES, Winter'!M$5</f>
        <v>15.186672019269368</v>
      </c>
      <c r="N7" s="9">
        <f>VLOOKUP($A7,'RES installed'!$A$2:$C$7,3,FALSE)*'[1]Profiles, RES, Winter'!N$5</f>
        <v>14.590525893215577</v>
      </c>
      <c r="O7" s="9">
        <f>VLOOKUP($A7,'RES installed'!$A$2:$C$7,3,FALSE)*'[1]Profiles, RES, Winter'!O$5</f>
        <v>13.596949016459254</v>
      </c>
      <c r="P7" s="9">
        <f>VLOOKUP($A7,'RES installed'!$A$2:$C$7,3,FALSE)*'[1]Profiles, RES, Winter'!P$5</f>
        <v>12.428743476515455</v>
      </c>
      <c r="Q7" s="9">
        <f>VLOOKUP($A7,'RES installed'!$A$2:$C$7,3,FALSE)*'[1]Profiles, RES, Winter'!Q$5</f>
        <v>12.537133681252509</v>
      </c>
      <c r="R7" s="9">
        <f>VLOOKUP($A7,'RES installed'!$A$2:$C$7,3,FALSE)*'[1]Profiles, RES, Winter'!R$5</f>
        <v>13.006824568446408</v>
      </c>
      <c r="S7" s="9">
        <f>VLOOKUP($A7,'RES installed'!$A$2:$C$7,3,FALSE)*'[1]Profiles, RES, Winter'!S$5</f>
        <v>14.987956643918105</v>
      </c>
      <c r="T7" s="9">
        <f>VLOOKUP($A7,'RES installed'!$A$2:$C$7,3,FALSE)*'[1]Profiles, RES, Winter'!T$5</f>
        <v>16.228422320353275</v>
      </c>
      <c r="U7" s="9">
        <f>VLOOKUP($A7,'RES installed'!$A$2:$C$7,3,FALSE)*'[1]Profiles, RES, Winter'!U$5</f>
        <v>16.631874749096749</v>
      </c>
      <c r="V7" s="9">
        <f>VLOOKUP($A7,'RES installed'!$A$2:$C$7,3,FALSE)*'[1]Profiles, RES, Winter'!V$5</f>
        <v>16.083902047370533</v>
      </c>
      <c r="W7" s="9">
        <f>VLOOKUP($A7,'RES installed'!$A$2:$C$7,3,FALSE)*'[1]Profiles, RES, Winter'!W$5</f>
        <v>15.210758731433158</v>
      </c>
      <c r="X7" s="9">
        <f>VLOOKUP($A7,'RES installed'!$A$2:$C$7,3,FALSE)*'[1]Profiles, RES, Winter'!X$5</f>
        <v>15.37334403853874</v>
      </c>
      <c r="Y7" s="9">
        <f>VLOOKUP($A7,'RES installed'!$A$2:$C$7,3,FALSE)*'[1]Profiles, RES, Winter'!Y$5</f>
        <v>16.005620232838218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1.1372251705837756E-2</v>
      </c>
      <c r="J8" s="6">
        <f>VLOOKUP($A8,'RES installed'!$A$2:$C$7,3,FALSE)*'[1]Profiles, RES, Winter'!J$2</f>
        <v>1.3305534495830176</v>
      </c>
      <c r="K8" s="6">
        <f>VLOOKUP($A8,'RES installed'!$A$2:$C$7,3,FALSE)*'[1]Profiles, RES, Winter'!K$2</f>
        <v>5.6178923426838514</v>
      </c>
      <c r="L8" s="6">
        <f>VLOOKUP($A8,'RES installed'!$A$2:$C$7,3,FALSE)*'[1]Profiles, RES, Winter'!L$2</f>
        <v>9.8824867323730103</v>
      </c>
      <c r="M8" s="6">
        <f>VLOOKUP($A8,'RES installed'!$A$2:$C$7,3,FALSE)*'[1]Profiles, RES, Winter'!M$2</f>
        <v>11.75890826383624</v>
      </c>
      <c r="N8" s="6">
        <f>VLOOKUP($A8,'RES installed'!$A$2:$C$7,3,FALSE)*'[1]Profiles, RES, Winter'!N$2</f>
        <v>11.315390447308568</v>
      </c>
      <c r="O8" s="6">
        <f>VLOOKUP($A8,'RES installed'!$A$2:$C$7,3,FALSE)*'[1]Profiles, RES, Winter'!O$2</f>
        <v>11.406368460955269</v>
      </c>
      <c r="P8" s="6">
        <f>VLOOKUP($A8,'RES installed'!$A$2:$C$7,3,FALSE)*'[1]Profiles, RES, Winter'!P$2</f>
        <v>10.769522365428356</v>
      </c>
      <c r="Q8" s="6">
        <f>VLOOKUP($A8,'RES installed'!$A$2:$C$7,3,FALSE)*'[1]Profiles, RES, Winter'!Q$2</f>
        <v>8.0629264594389696</v>
      </c>
      <c r="R8" s="6">
        <f>VLOOKUP($A8,'RES installed'!$A$2:$C$7,3,FALSE)*'[1]Profiles, RES, Winter'!R$2</f>
        <v>3.0363912054586808</v>
      </c>
      <c r="S8" s="6">
        <f>VLOOKUP($A8,'RES installed'!$A$2:$C$7,3,FALSE)*'[1]Profiles, RES, Winter'!S$2</f>
        <v>0.13646702047005307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3.7907505686125853E-3</v>
      </c>
      <c r="J9" s="6">
        <f>VLOOKUP($A9,'RES installed'!$A$2:$C$7,3,FALSE)*'[1]Profiles, RES, Winter'!J$2</f>
        <v>0.44351781652767253</v>
      </c>
      <c r="K9" s="6">
        <f>VLOOKUP($A9,'RES installed'!$A$2:$C$7,3,FALSE)*'[1]Profiles, RES, Winter'!K$2</f>
        <v>1.8726307808946172</v>
      </c>
      <c r="L9" s="6">
        <f>VLOOKUP($A9,'RES installed'!$A$2:$C$7,3,FALSE)*'[1]Profiles, RES, Winter'!L$2</f>
        <v>3.2941622441243368</v>
      </c>
      <c r="M9" s="6">
        <f>VLOOKUP($A9,'RES installed'!$A$2:$C$7,3,FALSE)*'[1]Profiles, RES, Winter'!M$2</f>
        <v>3.9196360879454133</v>
      </c>
      <c r="N9" s="6">
        <f>VLOOKUP($A9,'RES installed'!$A$2:$C$7,3,FALSE)*'[1]Profiles, RES, Winter'!N$2</f>
        <v>3.7717968157695223</v>
      </c>
      <c r="O9" s="6">
        <f>VLOOKUP($A9,'RES installed'!$A$2:$C$7,3,FALSE)*'[1]Profiles, RES, Winter'!O$2</f>
        <v>3.8021228203184232</v>
      </c>
      <c r="P9" s="6">
        <f>VLOOKUP($A9,'RES installed'!$A$2:$C$7,3,FALSE)*'[1]Profiles, RES, Winter'!P$2</f>
        <v>3.5898407884761188</v>
      </c>
      <c r="Q9" s="6">
        <f>VLOOKUP($A9,'RES installed'!$A$2:$C$7,3,FALSE)*'[1]Profiles, RES, Winter'!Q$2</f>
        <v>2.687642153146323</v>
      </c>
      <c r="R9" s="6">
        <f>VLOOKUP($A9,'RES installed'!$A$2:$C$7,3,FALSE)*'[1]Profiles, RES, Winter'!R$2</f>
        <v>1.0121304018195603</v>
      </c>
      <c r="S9" s="6">
        <f>VLOOKUP($A9,'RES installed'!$A$2:$C$7,3,FALSE)*'[1]Profiles, RES, Winter'!S$2</f>
        <v>4.5489006823351025E-2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7.5815011372251705E-3</v>
      </c>
      <c r="J10" s="6">
        <f>VLOOKUP($A10,'RES installed'!$A$2:$C$7,3,FALSE)*'[1]Profiles, RES, Winter'!J$2</f>
        <v>0.88703563305534505</v>
      </c>
      <c r="K10" s="6">
        <f>VLOOKUP($A10,'RES installed'!$A$2:$C$7,3,FALSE)*'[1]Profiles, RES, Winter'!K$2</f>
        <v>3.7452615617892344</v>
      </c>
      <c r="L10" s="6">
        <f>VLOOKUP($A10,'RES installed'!$A$2:$C$7,3,FALSE)*'[1]Profiles, RES, Winter'!L$2</f>
        <v>6.5883244882486736</v>
      </c>
      <c r="M10" s="6">
        <f>VLOOKUP($A10,'RES installed'!$A$2:$C$7,3,FALSE)*'[1]Profiles, RES, Winter'!M$2</f>
        <v>7.8392721758908266</v>
      </c>
      <c r="N10" s="6">
        <f>VLOOKUP($A10,'RES installed'!$A$2:$C$7,3,FALSE)*'[1]Profiles, RES, Winter'!N$2</f>
        <v>7.5435936315390446</v>
      </c>
      <c r="O10" s="6">
        <f>VLOOKUP($A10,'RES installed'!$A$2:$C$7,3,FALSE)*'[1]Profiles, RES, Winter'!O$2</f>
        <v>7.6042456406368464</v>
      </c>
      <c r="P10" s="6">
        <f>VLOOKUP($A10,'RES installed'!$A$2:$C$7,3,FALSE)*'[1]Profiles, RES, Winter'!P$2</f>
        <v>7.1796815769522375</v>
      </c>
      <c r="Q10" s="6">
        <f>VLOOKUP($A10,'RES installed'!$A$2:$C$7,3,FALSE)*'[1]Profiles, RES, Winter'!Q$2</f>
        <v>5.3752843062926461</v>
      </c>
      <c r="R10" s="6">
        <f>VLOOKUP($A10,'RES installed'!$A$2:$C$7,3,FALSE)*'[1]Profiles, RES, Winter'!R$2</f>
        <v>2.0242608036391205</v>
      </c>
      <c r="S10" s="6">
        <f>VLOOKUP($A10,'RES installed'!$A$2:$C$7,3,FALSE)*'[1]Profiles, RES, Winter'!S$2</f>
        <v>9.0978013646702049E-2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05BE9-F0D1-4445-8605-4F4CF344826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15.740666399036531</v>
      </c>
      <c r="C5" s="9">
        <f>VLOOKUP($A5,'RES installed'!$A$2:$C$7,3,FALSE)*'[1]Profiles, RES, Winter'!C$6</f>
        <v>15.981533520674429</v>
      </c>
      <c r="D5" s="9">
        <f>VLOOKUP($A5,'RES installed'!$A$2:$C$7,3,FALSE)*'[1]Profiles, RES, Winter'!D$6</f>
        <v>16.035728623042953</v>
      </c>
      <c r="E5" s="9">
        <f>VLOOKUP($A5,'RES installed'!$A$2:$C$7,3,FALSE)*'[1]Profiles, RES, Winter'!E$6</f>
        <v>14.662786029706945</v>
      </c>
      <c r="F5" s="9">
        <f>VLOOKUP($A5,'RES installed'!$A$2:$C$7,3,FALSE)*'[1]Profiles, RES, Winter'!F$6</f>
        <v>15.132476916900844</v>
      </c>
      <c r="G5" s="9">
        <f>VLOOKUP($A5,'RES installed'!$A$2:$C$7,3,FALSE)*'[1]Profiles, RES, Winter'!G$6</f>
        <v>15.97551184263348</v>
      </c>
      <c r="H5" s="9">
        <f>VLOOKUP($A5,'RES installed'!$A$2:$C$7,3,FALSE)*'[1]Profiles, RES, Winter'!H$6</f>
        <v>16.354877559213168</v>
      </c>
      <c r="I5" s="9">
        <f>VLOOKUP($A5,'RES installed'!$A$2:$C$7,3,FALSE)*'[1]Profiles, RES, Winter'!I$6</f>
        <v>15.578081091930949</v>
      </c>
      <c r="J5" s="9">
        <f>VLOOKUP($A5,'RES installed'!$A$2:$C$7,3,FALSE)*'[1]Profiles, RES, Winter'!J$6</f>
        <v>14.825371336812525</v>
      </c>
      <c r="K5" s="9">
        <f>VLOOKUP($A5,'RES installed'!$A$2:$C$7,3,FALSE)*'[1]Profiles, RES, Winter'!K$6</f>
        <v>13.964271376957045</v>
      </c>
      <c r="L5" s="9">
        <f>VLOOKUP($A5,'RES installed'!$A$2:$C$7,3,FALSE)*'[1]Profiles, RES, Winter'!L$6</f>
        <v>13.121236451224407</v>
      </c>
      <c r="M5" s="9">
        <f>VLOOKUP($A5,'RES installed'!$A$2:$C$7,3,FALSE)*'[1]Profiles, RES, Winter'!M$6</f>
        <v>12.398635086310719</v>
      </c>
      <c r="N5" s="9">
        <f>VLOOKUP($A5,'RES installed'!$A$2:$C$7,3,FALSE)*'[1]Profiles, RES, Winter'!N$6</f>
        <v>11.429144921718187</v>
      </c>
      <c r="O5" s="9">
        <f>VLOOKUP($A5,'RES installed'!$A$2:$C$7,3,FALSE)*'[1]Profiles, RES, Winter'!O$6</f>
        <v>8.8518667201926942</v>
      </c>
      <c r="P5" s="9">
        <f>VLOOKUP($A5,'RES installed'!$A$2:$C$7,3,FALSE)*'[1]Profiles, RES, Winter'!P$6</f>
        <v>8.6591730228823778</v>
      </c>
      <c r="Q5" s="9">
        <f>VLOOKUP($A5,'RES installed'!$A$2:$C$7,3,FALSE)*'[1]Profiles, RES, Winter'!Q$6</f>
        <v>8.8097149739060612</v>
      </c>
      <c r="R5" s="9">
        <f>VLOOKUP($A5,'RES installed'!$A$2:$C$7,3,FALSE)*'[1]Profiles, RES, Winter'!R$6</f>
        <v>11.176234443998394</v>
      </c>
      <c r="S5" s="9">
        <f>VLOOKUP($A5,'RES installed'!$A$2:$C$7,3,FALSE)*'[1]Profiles, RES, Winter'!S$6</f>
        <v>13.097149739060619</v>
      </c>
      <c r="T5" s="9">
        <f>VLOOKUP($A5,'RES installed'!$A$2:$C$7,3,FALSE)*'[1]Profiles, RES, Winter'!T$6</f>
        <v>13.95222802087515</v>
      </c>
      <c r="U5" s="9">
        <f>VLOOKUP($A5,'RES installed'!$A$2:$C$7,3,FALSE)*'[1]Profiles, RES, Winter'!U$6</f>
        <v>14.572460859092734</v>
      </c>
      <c r="V5" s="9">
        <f>VLOOKUP($A5,'RES installed'!$A$2:$C$7,3,FALSE)*'[1]Profiles, RES, Winter'!V$6</f>
        <v>15.060216780409473</v>
      </c>
      <c r="W5" s="9">
        <f>VLOOKUP($A5,'RES installed'!$A$2:$C$7,3,FALSE)*'[1]Profiles, RES, Winter'!W$6</f>
        <v>15.632276194299479</v>
      </c>
      <c r="X5" s="9">
        <f>VLOOKUP($A5,'RES installed'!$A$2:$C$7,3,FALSE)*'[1]Profiles, RES, Winter'!X$6</f>
        <v>15.337213970293057</v>
      </c>
      <c r="Y5" s="9">
        <f>VLOOKUP($A5,'RES installed'!$A$2:$C$7,3,FALSE)*'[1]Profiles, RES, Winter'!Y$6</f>
        <v>14.921718185467684</v>
      </c>
    </row>
    <row r="6" spans="1:25" x14ac:dyDescent="0.3">
      <c r="A6" s="8">
        <v>5</v>
      </c>
      <c r="B6" s="9">
        <f>VLOOKUP($A6,'RES installed'!$A$2:$C$7,3,FALSE)*'[1]Profiles, RES, Winter'!B$6</f>
        <v>10.493777599357689</v>
      </c>
      <c r="C6" s="9">
        <f>VLOOKUP($A6,'RES installed'!$A$2:$C$7,3,FALSE)*'[1]Profiles, RES, Winter'!C$6</f>
        <v>10.654355680449619</v>
      </c>
      <c r="D6" s="9">
        <f>VLOOKUP($A6,'RES installed'!$A$2:$C$7,3,FALSE)*'[1]Profiles, RES, Winter'!D$6</f>
        <v>10.690485748695302</v>
      </c>
      <c r="E6" s="9">
        <f>VLOOKUP($A6,'RES installed'!$A$2:$C$7,3,FALSE)*'[1]Profiles, RES, Winter'!E$6</f>
        <v>9.7751906864712961</v>
      </c>
      <c r="F6" s="9">
        <f>VLOOKUP($A6,'RES installed'!$A$2:$C$7,3,FALSE)*'[1]Profiles, RES, Winter'!F$6</f>
        <v>10.088317944600561</v>
      </c>
      <c r="G6" s="9">
        <f>VLOOKUP($A6,'RES installed'!$A$2:$C$7,3,FALSE)*'[1]Profiles, RES, Winter'!G$6</f>
        <v>10.65034122842232</v>
      </c>
      <c r="H6" s="9">
        <f>VLOOKUP($A6,'RES installed'!$A$2:$C$7,3,FALSE)*'[1]Profiles, RES, Winter'!H$6</f>
        <v>10.903251706142111</v>
      </c>
      <c r="I6" s="9">
        <f>VLOOKUP($A6,'RES installed'!$A$2:$C$7,3,FALSE)*'[1]Profiles, RES, Winter'!I$6</f>
        <v>10.385387394620633</v>
      </c>
      <c r="J6" s="9">
        <f>VLOOKUP($A6,'RES installed'!$A$2:$C$7,3,FALSE)*'[1]Profiles, RES, Winter'!J$6</f>
        <v>9.88358089120835</v>
      </c>
      <c r="K6" s="9">
        <f>VLOOKUP($A6,'RES installed'!$A$2:$C$7,3,FALSE)*'[1]Profiles, RES, Winter'!K$6</f>
        <v>9.3095142513046962</v>
      </c>
      <c r="L6" s="9">
        <f>VLOOKUP($A6,'RES installed'!$A$2:$C$7,3,FALSE)*'[1]Profiles, RES, Winter'!L$6</f>
        <v>8.7474909674829391</v>
      </c>
      <c r="M6" s="9">
        <f>VLOOKUP($A6,'RES installed'!$A$2:$C$7,3,FALSE)*'[1]Profiles, RES, Winter'!M$6</f>
        <v>8.2657567242071455</v>
      </c>
      <c r="N6" s="9">
        <f>VLOOKUP($A6,'RES installed'!$A$2:$C$7,3,FALSE)*'[1]Profiles, RES, Winter'!N$6</f>
        <v>7.6194299478121241</v>
      </c>
      <c r="O6" s="9">
        <f>VLOOKUP($A6,'RES installed'!$A$2:$C$7,3,FALSE)*'[1]Profiles, RES, Winter'!O$6</f>
        <v>5.9012444801284625</v>
      </c>
      <c r="P6" s="9">
        <f>VLOOKUP($A6,'RES installed'!$A$2:$C$7,3,FALSE)*'[1]Profiles, RES, Winter'!P$6</f>
        <v>5.7727820152549185</v>
      </c>
      <c r="Q6" s="9">
        <f>VLOOKUP($A6,'RES installed'!$A$2:$C$7,3,FALSE)*'[1]Profiles, RES, Winter'!Q$6</f>
        <v>5.8731433159373747</v>
      </c>
      <c r="R6" s="9">
        <f>VLOOKUP($A6,'RES installed'!$A$2:$C$7,3,FALSE)*'[1]Profiles, RES, Winter'!R$6</f>
        <v>7.4508229626655966</v>
      </c>
      <c r="S6" s="9">
        <f>VLOOKUP($A6,'RES installed'!$A$2:$C$7,3,FALSE)*'[1]Profiles, RES, Winter'!S$6</f>
        <v>8.7314331593737453</v>
      </c>
      <c r="T6" s="9">
        <f>VLOOKUP($A6,'RES installed'!$A$2:$C$7,3,FALSE)*'[1]Profiles, RES, Winter'!T$6</f>
        <v>9.3014853472501002</v>
      </c>
      <c r="U6" s="9">
        <f>VLOOKUP($A6,'RES installed'!$A$2:$C$7,3,FALSE)*'[1]Profiles, RES, Winter'!U$6</f>
        <v>9.7149739060618217</v>
      </c>
      <c r="V6" s="9">
        <f>VLOOKUP($A6,'RES installed'!$A$2:$C$7,3,FALSE)*'[1]Profiles, RES, Winter'!V$6</f>
        <v>10.040144520272982</v>
      </c>
      <c r="W6" s="9">
        <f>VLOOKUP($A6,'RES installed'!$A$2:$C$7,3,FALSE)*'[1]Profiles, RES, Winter'!W$6</f>
        <v>10.421517462866319</v>
      </c>
      <c r="X6" s="9">
        <f>VLOOKUP($A6,'RES installed'!$A$2:$C$7,3,FALSE)*'[1]Profiles, RES, Winter'!X$6</f>
        <v>10.224809313528704</v>
      </c>
      <c r="Y6" s="9">
        <f>VLOOKUP($A6,'RES installed'!$A$2:$C$7,3,FALSE)*'[1]Profiles, RES, Winter'!Y$6</f>
        <v>9.9478121236451216</v>
      </c>
    </row>
    <row r="7" spans="1:25" x14ac:dyDescent="0.3">
      <c r="A7" s="8">
        <v>6</v>
      </c>
      <c r="B7" s="9">
        <f>VLOOKUP($A7,'RES installed'!$A$2:$C$7,3,FALSE)*'[1]Profiles, RES, Winter'!B$6</f>
        <v>15.740666399036531</v>
      </c>
      <c r="C7" s="9">
        <f>VLOOKUP($A7,'RES installed'!$A$2:$C$7,3,FALSE)*'[1]Profiles, RES, Winter'!C$6</f>
        <v>15.981533520674429</v>
      </c>
      <c r="D7" s="9">
        <f>VLOOKUP($A7,'RES installed'!$A$2:$C$7,3,FALSE)*'[1]Profiles, RES, Winter'!D$6</f>
        <v>16.035728623042953</v>
      </c>
      <c r="E7" s="9">
        <f>VLOOKUP($A7,'RES installed'!$A$2:$C$7,3,FALSE)*'[1]Profiles, RES, Winter'!E$6</f>
        <v>14.662786029706945</v>
      </c>
      <c r="F7" s="9">
        <f>VLOOKUP($A7,'RES installed'!$A$2:$C$7,3,FALSE)*'[1]Profiles, RES, Winter'!F$6</f>
        <v>15.132476916900844</v>
      </c>
      <c r="G7" s="9">
        <f>VLOOKUP($A7,'RES installed'!$A$2:$C$7,3,FALSE)*'[1]Profiles, RES, Winter'!G$6</f>
        <v>15.97551184263348</v>
      </c>
      <c r="H7" s="9">
        <f>VLOOKUP($A7,'RES installed'!$A$2:$C$7,3,FALSE)*'[1]Profiles, RES, Winter'!H$6</f>
        <v>16.354877559213168</v>
      </c>
      <c r="I7" s="9">
        <f>VLOOKUP($A7,'RES installed'!$A$2:$C$7,3,FALSE)*'[1]Profiles, RES, Winter'!I$6</f>
        <v>15.578081091930949</v>
      </c>
      <c r="J7" s="9">
        <f>VLOOKUP($A7,'RES installed'!$A$2:$C$7,3,FALSE)*'[1]Profiles, RES, Winter'!J$6</f>
        <v>14.825371336812525</v>
      </c>
      <c r="K7" s="9">
        <f>VLOOKUP($A7,'RES installed'!$A$2:$C$7,3,FALSE)*'[1]Profiles, RES, Winter'!K$6</f>
        <v>13.964271376957045</v>
      </c>
      <c r="L7" s="9">
        <f>VLOOKUP($A7,'RES installed'!$A$2:$C$7,3,FALSE)*'[1]Profiles, RES, Winter'!L$6</f>
        <v>13.121236451224407</v>
      </c>
      <c r="M7" s="9">
        <f>VLOOKUP($A7,'RES installed'!$A$2:$C$7,3,FALSE)*'[1]Profiles, RES, Winter'!M$6</f>
        <v>12.398635086310719</v>
      </c>
      <c r="N7" s="9">
        <f>VLOOKUP($A7,'RES installed'!$A$2:$C$7,3,FALSE)*'[1]Profiles, RES, Winter'!N$6</f>
        <v>11.429144921718187</v>
      </c>
      <c r="O7" s="9">
        <f>VLOOKUP($A7,'RES installed'!$A$2:$C$7,3,FALSE)*'[1]Profiles, RES, Winter'!O$6</f>
        <v>8.8518667201926942</v>
      </c>
      <c r="P7" s="9">
        <f>VLOOKUP($A7,'RES installed'!$A$2:$C$7,3,FALSE)*'[1]Profiles, RES, Winter'!P$6</f>
        <v>8.6591730228823778</v>
      </c>
      <c r="Q7" s="9">
        <f>VLOOKUP($A7,'RES installed'!$A$2:$C$7,3,FALSE)*'[1]Profiles, RES, Winter'!Q$6</f>
        <v>8.8097149739060612</v>
      </c>
      <c r="R7" s="9">
        <f>VLOOKUP($A7,'RES installed'!$A$2:$C$7,3,FALSE)*'[1]Profiles, RES, Winter'!R$6</f>
        <v>11.176234443998394</v>
      </c>
      <c r="S7" s="9">
        <f>VLOOKUP($A7,'RES installed'!$A$2:$C$7,3,FALSE)*'[1]Profiles, RES, Winter'!S$6</f>
        <v>13.097149739060619</v>
      </c>
      <c r="T7" s="9">
        <f>VLOOKUP($A7,'RES installed'!$A$2:$C$7,3,FALSE)*'[1]Profiles, RES, Winter'!T$6</f>
        <v>13.95222802087515</v>
      </c>
      <c r="U7" s="9">
        <f>VLOOKUP($A7,'RES installed'!$A$2:$C$7,3,FALSE)*'[1]Profiles, RES, Winter'!U$6</f>
        <v>14.572460859092734</v>
      </c>
      <c r="V7" s="9">
        <f>VLOOKUP($A7,'RES installed'!$A$2:$C$7,3,FALSE)*'[1]Profiles, RES, Winter'!V$6</f>
        <v>15.060216780409473</v>
      </c>
      <c r="W7" s="9">
        <f>VLOOKUP($A7,'RES installed'!$A$2:$C$7,3,FALSE)*'[1]Profiles, RES, Winter'!W$6</f>
        <v>15.632276194299479</v>
      </c>
      <c r="X7" s="9">
        <f>VLOOKUP($A7,'RES installed'!$A$2:$C$7,3,FALSE)*'[1]Profiles, RES, Winter'!X$6</f>
        <v>15.337213970293057</v>
      </c>
      <c r="Y7" s="9">
        <f>VLOOKUP($A7,'RES installed'!$A$2:$C$7,3,FALSE)*'[1]Profiles, RES, Winter'!Y$6</f>
        <v>14.921718185467684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2.2744503411675512E-2</v>
      </c>
      <c r="J8" s="6">
        <f>VLOOKUP($A8,'RES installed'!$A$2:$C$7,3,FALSE)*'[1]Profiles, RES, Winter'!J$3</f>
        <v>1.9446550416982564</v>
      </c>
      <c r="K8" s="6">
        <f>VLOOKUP($A8,'RES installed'!$A$2:$C$7,3,FALSE)*'[1]Profiles, RES, Winter'!K$3</f>
        <v>6.6868840030326009</v>
      </c>
      <c r="L8" s="6">
        <f>VLOOKUP($A8,'RES installed'!$A$2:$C$7,3,FALSE)*'[1]Profiles, RES, Winter'!L$3</f>
        <v>10.269143290371494</v>
      </c>
      <c r="M8" s="6">
        <f>VLOOKUP($A8,'RES installed'!$A$2:$C$7,3,FALSE)*'[1]Profiles, RES, Winter'!M$3</f>
        <v>10.18953752843063</v>
      </c>
      <c r="N8" s="6">
        <f>VLOOKUP($A8,'RES installed'!$A$2:$C$7,3,FALSE)*'[1]Profiles, RES, Winter'!N$3</f>
        <v>11.326762699014404</v>
      </c>
      <c r="O8" s="6">
        <f>VLOOKUP($A8,'RES installed'!$A$2:$C$7,3,FALSE)*'[1]Profiles, RES, Winter'!O$3</f>
        <v>11.076573161485973</v>
      </c>
      <c r="P8" s="6">
        <f>VLOOKUP($A8,'RES installed'!$A$2:$C$7,3,FALSE)*'[1]Profiles, RES, Winter'!P$3</f>
        <v>9.3707354056103096</v>
      </c>
      <c r="Q8" s="6">
        <f>VLOOKUP($A8,'RES installed'!$A$2:$C$7,3,FALSE)*'[1]Profiles, RES, Winter'!Q$3</f>
        <v>6.02729340409401</v>
      </c>
      <c r="R8" s="6">
        <f>VLOOKUP($A8,'RES installed'!$A$2:$C$7,3,FALSE)*'[1]Profiles, RES, Winter'!R$3</f>
        <v>1.9219105382865809</v>
      </c>
      <c r="S8" s="6">
        <f>VLOOKUP($A8,'RES installed'!$A$2:$C$7,3,FALSE)*'[1]Profiles, RES, Winter'!S$3</f>
        <v>0.11372251705837756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7.5815011372251705E-3</v>
      </c>
      <c r="J9" s="6">
        <f>VLOOKUP($A9,'RES installed'!$A$2:$C$7,3,FALSE)*'[1]Profiles, RES, Winter'!J$3</f>
        <v>0.64821834723275207</v>
      </c>
      <c r="K9" s="6">
        <f>VLOOKUP($A9,'RES installed'!$A$2:$C$7,3,FALSE)*'[1]Profiles, RES, Winter'!K$3</f>
        <v>2.2289613343442003</v>
      </c>
      <c r="L9" s="6">
        <f>VLOOKUP($A9,'RES installed'!$A$2:$C$7,3,FALSE)*'[1]Profiles, RES, Winter'!L$3</f>
        <v>3.4230477634571645</v>
      </c>
      <c r="M9" s="6">
        <f>VLOOKUP($A9,'RES installed'!$A$2:$C$7,3,FALSE)*'[1]Profiles, RES, Winter'!M$3</f>
        <v>3.3965125094768767</v>
      </c>
      <c r="N9" s="6">
        <f>VLOOKUP($A9,'RES installed'!$A$2:$C$7,3,FALSE)*'[1]Profiles, RES, Winter'!N$3</f>
        <v>3.7755875663381349</v>
      </c>
      <c r="O9" s="6">
        <f>VLOOKUP($A9,'RES installed'!$A$2:$C$7,3,FALSE)*'[1]Profiles, RES, Winter'!O$3</f>
        <v>3.6921910538286578</v>
      </c>
      <c r="P9" s="6">
        <f>VLOOKUP($A9,'RES installed'!$A$2:$C$7,3,FALSE)*'[1]Profiles, RES, Winter'!P$3</f>
        <v>3.12357846853677</v>
      </c>
      <c r="Q9" s="6">
        <f>VLOOKUP($A9,'RES installed'!$A$2:$C$7,3,FALSE)*'[1]Profiles, RES, Winter'!Q$3</f>
        <v>2.0090978013646703</v>
      </c>
      <c r="R9" s="6">
        <f>VLOOKUP($A9,'RES installed'!$A$2:$C$7,3,FALSE)*'[1]Profiles, RES, Winter'!R$3</f>
        <v>0.64063684609552696</v>
      </c>
      <c r="S9" s="6">
        <f>VLOOKUP($A9,'RES installed'!$A$2:$C$7,3,FALSE)*'[1]Profiles, RES, Winter'!S$3</f>
        <v>3.7907505686125852E-2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1.5163002274450341E-2</v>
      </c>
      <c r="J10" s="6">
        <f>VLOOKUP($A10,'RES installed'!$A$2:$C$7,3,FALSE)*'[1]Profiles, RES, Winter'!J$3</f>
        <v>1.2964366944655041</v>
      </c>
      <c r="K10" s="6">
        <f>VLOOKUP($A10,'RES installed'!$A$2:$C$7,3,FALSE)*'[1]Profiles, RES, Winter'!K$3</f>
        <v>4.4579226686884006</v>
      </c>
      <c r="L10" s="6">
        <f>VLOOKUP($A10,'RES installed'!$A$2:$C$7,3,FALSE)*'[1]Profiles, RES, Winter'!L$3</f>
        <v>6.8460955269143291</v>
      </c>
      <c r="M10" s="6">
        <f>VLOOKUP($A10,'RES installed'!$A$2:$C$7,3,FALSE)*'[1]Profiles, RES, Winter'!M$3</f>
        <v>6.7930250189537533</v>
      </c>
      <c r="N10" s="6">
        <f>VLOOKUP($A10,'RES installed'!$A$2:$C$7,3,FALSE)*'[1]Profiles, RES, Winter'!N$3</f>
        <v>7.5511751326762697</v>
      </c>
      <c r="O10" s="6">
        <f>VLOOKUP($A10,'RES installed'!$A$2:$C$7,3,FALSE)*'[1]Profiles, RES, Winter'!O$3</f>
        <v>7.3843821076573155</v>
      </c>
      <c r="P10" s="6">
        <f>VLOOKUP($A10,'RES installed'!$A$2:$C$7,3,FALSE)*'[1]Profiles, RES, Winter'!P$3</f>
        <v>6.24715693707354</v>
      </c>
      <c r="Q10" s="6">
        <f>VLOOKUP($A10,'RES installed'!$A$2:$C$7,3,FALSE)*'[1]Profiles, RES, Winter'!Q$3</f>
        <v>4.0181956027293406</v>
      </c>
      <c r="R10" s="6">
        <f>VLOOKUP($A10,'RES installed'!$A$2:$C$7,3,FALSE)*'[1]Profiles, RES, Winter'!R$3</f>
        <v>1.2812736921910539</v>
      </c>
      <c r="S10" s="6">
        <f>VLOOKUP($A10,'RES installed'!$A$2:$C$7,3,FALSE)*'[1]Profiles, RES, Winter'!S$3</f>
        <v>7.5815011372251703E-2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82E7E-1977-4512-8AB6-AD858BA4704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15.072260136491369</v>
      </c>
      <c r="C5" s="9">
        <f>VLOOKUP($A5,'RES installed'!$A$2:$C$7,3,FALSE)*'[1]Profiles, RES, Winter'!C$7</f>
        <v>15.006021678040948</v>
      </c>
      <c r="D5" s="9">
        <f>VLOOKUP($A5,'RES installed'!$A$2:$C$7,3,FALSE)*'[1]Profiles, RES, Winter'!D$7</f>
        <v>14.62665596146126</v>
      </c>
      <c r="E5" s="9">
        <f>VLOOKUP($A5,'RES installed'!$A$2:$C$7,3,FALSE)*'[1]Profiles, RES, Winter'!E$7</f>
        <v>14.987956643918105</v>
      </c>
      <c r="F5" s="9">
        <f>VLOOKUP($A5,'RES installed'!$A$2:$C$7,3,FALSE)*'[1]Profiles, RES, Winter'!F$7</f>
        <v>14.566439181051788</v>
      </c>
      <c r="G5" s="9">
        <f>VLOOKUP($A5,'RES installed'!$A$2:$C$7,3,FALSE)*'[1]Profiles, RES, Winter'!G$7</f>
        <v>14.48815736651947</v>
      </c>
      <c r="H5" s="9">
        <f>VLOOKUP($A5,'RES installed'!$A$2:$C$7,3,FALSE)*'[1]Profiles, RES, Winter'!H$7</f>
        <v>15.012043356081893</v>
      </c>
      <c r="I5" s="9">
        <f>VLOOKUP($A5,'RES installed'!$A$2:$C$7,3,FALSE)*'[1]Profiles, RES, Winter'!I$7</f>
        <v>14.108791649939784</v>
      </c>
      <c r="J5" s="9">
        <f>VLOOKUP($A5,'RES installed'!$A$2:$C$7,3,FALSE)*'[1]Profiles, RES, Winter'!J$7</f>
        <v>12.988759534323563</v>
      </c>
      <c r="K5" s="9">
        <f>VLOOKUP($A5,'RES installed'!$A$2:$C$7,3,FALSE)*'[1]Profiles, RES, Winter'!K$7</f>
        <v>12.16378964271377</v>
      </c>
      <c r="L5" s="9">
        <f>VLOOKUP($A5,'RES installed'!$A$2:$C$7,3,FALSE)*'[1]Profiles, RES, Winter'!L$7</f>
        <v>11.00160578081092</v>
      </c>
      <c r="M5" s="9">
        <f>VLOOKUP($A5,'RES installed'!$A$2:$C$7,3,FALSE)*'[1]Profiles, RES, Winter'!M$7</f>
        <v>9.4781212364512246</v>
      </c>
      <c r="N5" s="9">
        <f>VLOOKUP($A5,'RES installed'!$A$2:$C$7,3,FALSE)*'[1]Profiles, RES, Winter'!N$7</f>
        <v>8.5447611401043755</v>
      </c>
      <c r="O5" s="9">
        <f>VLOOKUP($A5,'RES installed'!$A$2:$C$7,3,FALSE)*'[1]Profiles, RES, Winter'!O$7</f>
        <v>8.4905660377358494</v>
      </c>
      <c r="P5" s="9">
        <f>VLOOKUP($A5,'RES installed'!$A$2:$C$7,3,FALSE)*'[1]Profiles, RES, Winter'!P$7</f>
        <v>9.6346848655158563</v>
      </c>
      <c r="Q5" s="9">
        <f>VLOOKUP($A5,'RES installed'!$A$2:$C$7,3,FALSE)*'[1]Profiles, RES, Winter'!Q$7</f>
        <v>9.9718988358089113</v>
      </c>
      <c r="R5" s="9">
        <f>VLOOKUP($A5,'RES installed'!$A$2:$C$7,3,FALSE)*'[1]Profiles, RES, Winter'!R$7</f>
        <v>11.025692492974709</v>
      </c>
      <c r="S5" s="9">
        <f>VLOOKUP($A5,'RES installed'!$A$2:$C$7,3,FALSE)*'[1]Profiles, RES, Winter'!S$7</f>
        <v>12.778000802890405</v>
      </c>
      <c r="T5" s="9">
        <f>VLOOKUP($A5,'RES installed'!$A$2:$C$7,3,FALSE)*'[1]Profiles, RES, Winter'!T$7</f>
        <v>13.898032918506624</v>
      </c>
      <c r="U5" s="9">
        <f>VLOOKUP($A5,'RES installed'!$A$2:$C$7,3,FALSE)*'[1]Profiles, RES, Winter'!U$7</f>
        <v>14.729024488157366</v>
      </c>
      <c r="V5" s="9">
        <f>VLOOKUP($A5,'RES installed'!$A$2:$C$7,3,FALSE)*'[1]Profiles, RES, Winter'!V$7</f>
        <v>14.849458048976315</v>
      </c>
      <c r="W5" s="9">
        <f>VLOOKUP($A5,'RES installed'!$A$2:$C$7,3,FALSE)*'[1]Profiles, RES, Winter'!W$7</f>
        <v>13.687274187073463</v>
      </c>
      <c r="X5" s="9">
        <f>VLOOKUP($A5,'RES installed'!$A$2:$C$7,3,FALSE)*'[1]Profiles, RES, Winter'!X$7</f>
        <v>12.621437173825772</v>
      </c>
      <c r="Y5" s="9">
        <f>VLOOKUP($A5,'RES installed'!$A$2:$C$7,3,FALSE)*'[1]Profiles, RES, Winter'!Y$7</f>
        <v>12.121637896427139</v>
      </c>
    </row>
    <row r="6" spans="1:25" x14ac:dyDescent="0.3">
      <c r="A6" s="8">
        <v>5</v>
      </c>
      <c r="B6" s="9">
        <f>VLOOKUP($A6,'RES installed'!$A$2:$C$7,3,FALSE)*'[1]Profiles, RES, Winter'!B$7</f>
        <v>10.04817342432758</v>
      </c>
      <c r="C6" s="9">
        <f>VLOOKUP($A6,'RES installed'!$A$2:$C$7,3,FALSE)*'[1]Profiles, RES, Winter'!C$7</f>
        <v>10.004014452027299</v>
      </c>
      <c r="D6" s="9">
        <f>VLOOKUP($A6,'RES installed'!$A$2:$C$7,3,FALSE)*'[1]Profiles, RES, Winter'!D$7</f>
        <v>9.7511039743075063</v>
      </c>
      <c r="E6" s="9">
        <f>VLOOKUP($A6,'RES installed'!$A$2:$C$7,3,FALSE)*'[1]Profiles, RES, Winter'!E$7</f>
        <v>9.991971095945404</v>
      </c>
      <c r="F6" s="9">
        <f>VLOOKUP($A6,'RES installed'!$A$2:$C$7,3,FALSE)*'[1]Profiles, RES, Winter'!F$7</f>
        <v>9.7109594540345245</v>
      </c>
      <c r="G6" s="9">
        <f>VLOOKUP($A6,'RES installed'!$A$2:$C$7,3,FALSE)*'[1]Profiles, RES, Winter'!G$7</f>
        <v>9.6587715776796461</v>
      </c>
      <c r="H6" s="9">
        <f>VLOOKUP($A6,'RES installed'!$A$2:$C$7,3,FALSE)*'[1]Profiles, RES, Winter'!H$7</f>
        <v>10.008028904054596</v>
      </c>
      <c r="I6" s="9">
        <f>VLOOKUP($A6,'RES installed'!$A$2:$C$7,3,FALSE)*'[1]Profiles, RES, Winter'!I$7</f>
        <v>9.4058610999598553</v>
      </c>
      <c r="J6" s="9">
        <f>VLOOKUP($A6,'RES installed'!$A$2:$C$7,3,FALSE)*'[1]Profiles, RES, Winter'!J$7</f>
        <v>8.659173022882376</v>
      </c>
      <c r="K6" s="9">
        <f>VLOOKUP($A6,'RES installed'!$A$2:$C$7,3,FALSE)*'[1]Profiles, RES, Winter'!K$7</f>
        <v>8.109193095142512</v>
      </c>
      <c r="L6" s="9">
        <f>VLOOKUP($A6,'RES installed'!$A$2:$C$7,3,FALSE)*'[1]Profiles, RES, Winter'!L$7</f>
        <v>7.3344038538739467</v>
      </c>
      <c r="M6" s="9">
        <f>VLOOKUP($A6,'RES installed'!$A$2:$C$7,3,FALSE)*'[1]Profiles, RES, Winter'!M$7</f>
        <v>6.3187474909674837</v>
      </c>
      <c r="N6" s="9">
        <f>VLOOKUP($A6,'RES installed'!$A$2:$C$7,3,FALSE)*'[1]Profiles, RES, Winter'!N$7</f>
        <v>5.6965074267362503</v>
      </c>
      <c r="O6" s="9">
        <f>VLOOKUP($A6,'RES installed'!$A$2:$C$7,3,FALSE)*'[1]Profiles, RES, Winter'!O$7</f>
        <v>5.6603773584905657</v>
      </c>
      <c r="P6" s="9">
        <f>VLOOKUP($A6,'RES installed'!$A$2:$C$7,3,FALSE)*'[1]Profiles, RES, Winter'!P$7</f>
        <v>6.4231232436772379</v>
      </c>
      <c r="Q6" s="9">
        <f>VLOOKUP($A6,'RES installed'!$A$2:$C$7,3,FALSE)*'[1]Profiles, RES, Winter'!Q$7</f>
        <v>6.6479325572059409</v>
      </c>
      <c r="R6" s="9">
        <f>VLOOKUP($A6,'RES installed'!$A$2:$C$7,3,FALSE)*'[1]Profiles, RES, Winter'!R$7</f>
        <v>7.3504616619831395</v>
      </c>
      <c r="S6" s="9">
        <f>VLOOKUP($A6,'RES installed'!$A$2:$C$7,3,FALSE)*'[1]Profiles, RES, Winter'!S$7</f>
        <v>8.518667201926938</v>
      </c>
      <c r="T6" s="9">
        <f>VLOOKUP($A6,'RES installed'!$A$2:$C$7,3,FALSE)*'[1]Profiles, RES, Winter'!T$7</f>
        <v>9.2653552790044156</v>
      </c>
      <c r="U6" s="9">
        <f>VLOOKUP($A6,'RES installed'!$A$2:$C$7,3,FALSE)*'[1]Profiles, RES, Winter'!U$7</f>
        <v>9.8193496587715785</v>
      </c>
      <c r="V6" s="9">
        <f>VLOOKUP($A6,'RES installed'!$A$2:$C$7,3,FALSE)*'[1]Profiles, RES, Winter'!V$7</f>
        <v>9.8996386993175438</v>
      </c>
      <c r="W6" s="9">
        <f>VLOOKUP($A6,'RES installed'!$A$2:$C$7,3,FALSE)*'[1]Profiles, RES, Winter'!W$7</f>
        <v>9.1248494580489758</v>
      </c>
      <c r="X6" s="9">
        <f>VLOOKUP($A6,'RES installed'!$A$2:$C$7,3,FALSE)*'[1]Profiles, RES, Winter'!X$7</f>
        <v>8.4142914492171812</v>
      </c>
      <c r="Y6" s="9">
        <f>VLOOKUP($A6,'RES installed'!$A$2:$C$7,3,FALSE)*'[1]Profiles, RES, Winter'!Y$7</f>
        <v>8.0810919309514251</v>
      </c>
    </row>
    <row r="7" spans="1:25" x14ac:dyDescent="0.3">
      <c r="A7" s="8">
        <v>6</v>
      </c>
      <c r="B7" s="9">
        <f>VLOOKUP($A7,'RES installed'!$A$2:$C$7,3,FALSE)*'[1]Profiles, RES, Winter'!B$7</f>
        <v>15.072260136491369</v>
      </c>
      <c r="C7" s="9">
        <f>VLOOKUP($A7,'RES installed'!$A$2:$C$7,3,FALSE)*'[1]Profiles, RES, Winter'!C$7</f>
        <v>15.006021678040948</v>
      </c>
      <c r="D7" s="9">
        <f>VLOOKUP($A7,'RES installed'!$A$2:$C$7,3,FALSE)*'[1]Profiles, RES, Winter'!D$7</f>
        <v>14.62665596146126</v>
      </c>
      <c r="E7" s="9">
        <f>VLOOKUP($A7,'RES installed'!$A$2:$C$7,3,FALSE)*'[1]Profiles, RES, Winter'!E$7</f>
        <v>14.987956643918105</v>
      </c>
      <c r="F7" s="9">
        <f>VLOOKUP($A7,'RES installed'!$A$2:$C$7,3,FALSE)*'[1]Profiles, RES, Winter'!F$7</f>
        <v>14.566439181051788</v>
      </c>
      <c r="G7" s="9">
        <f>VLOOKUP($A7,'RES installed'!$A$2:$C$7,3,FALSE)*'[1]Profiles, RES, Winter'!G$7</f>
        <v>14.48815736651947</v>
      </c>
      <c r="H7" s="9">
        <f>VLOOKUP($A7,'RES installed'!$A$2:$C$7,3,FALSE)*'[1]Profiles, RES, Winter'!H$7</f>
        <v>15.012043356081893</v>
      </c>
      <c r="I7" s="9">
        <f>VLOOKUP($A7,'RES installed'!$A$2:$C$7,3,FALSE)*'[1]Profiles, RES, Winter'!I$7</f>
        <v>14.108791649939784</v>
      </c>
      <c r="J7" s="9">
        <f>VLOOKUP($A7,'RES installed'!$A$2:$C$7,3,FALSE)*'[1]Profiles, RES, Winter'!J$7</f>
        <v>12.988759534323563</v>
      </c>
      <c r="K7" s="9">
        <f>VLOOKUP($A7,'RES installed'!$A$2:$C$7,3,FALSE)*'[1]Profiles, RES, Winter'!K$7</f>
        <v>12.16378964271377</v>
      </c>
      <c r="L7" s="9">
        <f>VLOOKUP($A7,'RES installed'!$A$2:$C$7,3,FALSE)*'[1]Profiles, RES, Winter'!L$7</f>
        <v>11.00160578081092</v>
      </c>
      <c r="M7" s="9">
        <f>VLOOKUP($A7,'RES installed'!$A$2:$C$7,3,FALSE)*'[1]Profiles, RES, Winter'!M$7</f>
        <v>9.4781212364512246</v>
      </c>
      <c r="N7" s="9">
        <f>VLOOKUP($A7,'RES installed'!$A$2:$C$7,3,FALSE)*'[1]Profiles, RES, Winter'!N$7</f>
        <v>8.5447611401043755</v>
      </c>
      <c r="O7" s="9">
        <f>VLOOKUP($A7,'RES installed'!$A$2:$C$7,3,FALSE)*'[1]Profiles, RES, Winter'!O$7</f>
        <v>8.4905660377358494</v>
      </c>
      <c r="P7" s="9">
        <f>VLOOKUP($A7,'RES installed'!$A$2:$C$7,3,FALSE)*'[1]Profiles, RES, Winter'!P$7</f>
        <v>9.6346848655158563</v>
      </c>
      <c r="Q7" s="9">
        <f>VLOOKUP($A7,'RES installed'!$A$2:$C$7,3,FALSE)*'[1]Profiles, RES, Winter'!Q$7</f>
        <v>9.9718988358089113</v>
      </c>
      <c r="R7" s="9">
        <f>VLOOKUP($A7,'RES installed'!$A$2:$C$7,3,FALSE)*'[1]Profiles, RES, Winter'!R$7</f>
        <v>11.025692492974709</v>
      </c>
      <c r="S7" s="9">
        <f>VLOOKUP($A7,'RES installed'!$A$2:$C$7,3,FALSE)*'[1]Profiles, RES, Winter'!S$7</f>
        <v>12.778000802890405</v>
      </c>
      <c r="T7" s="9">
        <f>VLOOKUP($A7,'RES installed'!$A$2:$C$7,3,FALSE)*'[1]Profiles, RES, Winter'!T$7</f>
        <v>13.898032918506624</v>
      </c>
      <c r="U7" s="9">
        <f>VLOOKUP($A7,'RES installed'!$A$2:$C$7,3,FALSE)*'[1]Profiles, RES, Winter'!U$7</f>
        <v>14.729024488157366</v>
      </c>
      <c r="V7" s="9">
        <f>VLOOKUP($A7,'RES installed'!$A$2:$C$7,3,FALSE)*'[1]Profiles, RES, Winter'!V$7</f>
        <v>14.849458048976315</v>
      </c>
      <c r="W7" s="9">
        <f>VLOOKUP($A7,'RES installed'!$A$2:$C$7,3,FALSE)*'[1]Profiles, RES, Winter'!W$7</f>
        <v>13.687274187073463</v>
      </c>
      <c r="X7" s="9">
        <f>VLOOKUP($A7,'RES installed'!$A$2:$C$7,3,FALSE)*'[1]Profiles, RES, Winter'!X$7</f>
        <v>12.621437173825772</v>
      </c>
      <c r="Y7" s="9">
        <f>VLOOKUP($A7,'RES installed'!$A$2:$C$7,3,FALSE)*'[1]Profiles, RES, Winter'!Y$7</f>
        <v>12.121637896427139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1.1372251705837756E-2</v>
      </c>
      <c r="J8" s="6">
        <f>VLOOKUP($A8,'RES installed'!$A$2:$C$7,3,FALSE)*'[1]Profiles, RES, Winter'!J$4</f>
        <v>1.0121304018195603</v>
      </c>
      <c r="K8" s="6">
        <f>VLOOKUP($A8,'RES installed'!$A$2:$C$7,3,FALSE)*'[1]Profiles, RES, Winter'!K$4</f>
        <v>4.344200151630023</v>
      </c>
      <c r="L8" s="6">
        <f>VLOOKUP($A8,'RES installed'!$A$2:$C$7,3,FALSE)*'[1]Profiles, RES, Winter'!L$4</f>
        <v>7.1645185746777864</v>
      </c>
      <c r="M8" s="6">
        <f>VLOOKUP($A8,'RES installed'!$A$2:$C$7,3,FALSE)*'[1]Profiles, RES, Winter'!M$4</f>
        <v>8.1425322213798328</v>
      </c>
      <c r="N8" s="6">
        <f>VLOOKUP($A8,'RES installed'!$A$2:$C$7,3,FALSE)*'[1]Profiles, RES, Winter'!N$4</f>
        <v>7.7786201667930257</v>
      </c>
      <c r="O8" s="6">
        <f>VLOOKUP($A8,'RES installed'!$A$2:$C$7,3,FALSE)*'[1]Profiles, RES, Winter'!O$4</f>
        <v>7.9264594389689158</v>
      </c>
      <c r="P8" s="6">
        <f>VLOOKUP($A8,'RES installed'!$A$2:$C$7,3,FALSE)*'[1]Profiles, RES, Winter'!P$4</f>
        <v>8.5746777862016685</v>
      </c>
      <c r="Q8" s="6">
        <f>VLOOKUP($A8,'RES installed'!$A$2:$C$7,3,FALSE)*'[1]Profiles, RES, Winter'!Q$4</f>
        <v>7.8127369219105374</v>
      </c>
      <c r="R8" s="6">
        <f>VLOOKUP($A8,'RES installed'!$A$2:$C$7,3,FALSE)*'[1]Profiles, RES, Winter'!R$4</f>
        <v>3.5595147839272174</v>
      </c>
      <c r="S8" s="6">
        <f>VLOOKUP($A8,'RES installed'!$A$2:$C$7,3,FALSE)*'[1]Profiles, RES, Winter'!S$4</f>
        <v>0.1819560272934041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3.7907505686125853E-3</v>
      </c>
      <c r="J9" s="6">
        <f>VLOOKUP($A9,'RES installed'!$A$2:$C$7,3,FALSE)*'[1]Profiles, RES, Winter'!J$4</f>
        <v>0.33737680060652009</v>
      </c>
      <c r="K9" s="6">
        <f>VLOOKUP($A9,'RES installed'!$A$2:$C$7,3,FALSE)*'[1]Profiles, RES, Winter'!K$4</f>
        <v>1.4480667172100077</v>
      </c>
      <c r="L9" s="6">
        <f>VLOOKUP($A9,'RES installed'!$A$2:$C$7,3,FALSE)*'[1]Profiles, RES, Winter'!L$4</f>
        <v>2.3881728582259285</v>
      </c>
      <c r="M9" s="6">
        <f>VLOOKUP($A9,'RES installed'!$A$2:$C$7,3,FALSE)*'[1]Profiles, RES, Winter'!M$4</f>
        <v>2.7141774071266109</v>
      </c>
      <c r="N9" s="6">
        <f>VLOOKUP($A9,'RES installed'!$A$2:$C$7,3,FALSE)*'[1]Profiles, RES, Winter'!N$4</f>
        <v>2.5928733889310083</v>
      </c>
      <c r="O9" s="6">
        <f>VLOOKUP($A9,'RES installed'!$A$2:$C$7,3,FALSE)*'[1]Profiles, RES, Winter'!O$4</f>
        <v>2.6421531463229719</v>
      </c>
      <c r="P9" s="6">
        <f>VLOOKUP($A9,'RES installed'!$A$2:$C$7,3,FALSE)*'[1]Profiles, RES, Winter'!P$4</f>
        <v>2.8582259287338898</v>
      </c>
      <c r="Q9" s="6">
        <f>VLOOKUP($A9,'RES installed'!$A$2:$C$7,3,FALSE)*'[1]Profiles, RES, Winter'!Q$4</f>
        <v>2.6042456406368459</v>
      </c>
      <c r="R9" s="6">
        <f>VLOOKUP($A9,'RES installed'!$A$2:$C$7,3,FALSE)*'[1]Profiles, RES, Winter'!R$4</f>
        <v>1.1865049279757391</v>
      </c>
      <c r="S9" s="6">
        <f>VLOOKUP($A9,'RES installed'!$A$2:$C$7,3,FALSE)*'[1]Profiles, RES, Winter'!S$4</f>
        <v>6.0652009097801364E-2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7.5815011372251705E-3</v>
      </c>
      <c r="J10" s="6">
        <f>VLOOKUP($A10,'RES installed'!$A$2:$C$7,3,FALSE)*'[1]Profiles, RES, Winter'!J$4</f>
        <v>0.67475360121304018</v>
      </c>
      <c r="K10" s="6">
        <f>VLOOKUP($A10,'RES installed'!$A$2:$C$7,3,FALSE)*'[1]Profiles, RES, Winter'!K$4</f>
        <v>2.8961334344200154</v>
      </c>
      <c r="L10" s="6">
        <f>VLOOKUP($A10,'RES installed'!$A$2:$C$7,3,FALSE)*'[1]Profiles, RES, Winter'!L$4</f>
        <v>4.776345716451857</v>
      </c>
      <c r="M10" s="6">
        <f>VLOOKUP($A10,'RES installed'!$A$2:$C$7,3,FALSE)*'[1]Profiles, RES, Winter'!M$4</f>
        <v>5.4283548142532219</v>
      </c>
      <c r="N10" s="6">
        <f>VLOOKUP($A10,'RES installed'!$A$2:$C$7,3,FALSE)*'[1]Profiles, RES, Winter'!N$4</f>
        <v>5.1857467778620165</v>
      </c>
      <c r="O10" s="6">
        <f>VLOOKUP($A10,'RES installed'!$A$2:$C$7,3,FALSE)*'[1]Profiles, RES, Winter'!O$4</f>
        <v>5.2843062926459439</v>
      </c>
      <c r="P10" s="6">
        <f>VLOOKUP($A10,'RES installed'!$A$2:$C$7,3,FALSE)*'[1]Profiles, RES, Winter'!P$4</f>
        <v>5.7164518574677796</v>
      </c>
      <c r="Q10" s="6">
        <f>VLOOKUP($A10,'RES installed'!$A$2:$C$7,3,FALSE)*'[1]Profiles, RES, Winter'!Q$4</f>
        <v>5.2084912812736919</v>
      </c>
      <c r="R10" s="6">
        <f>VLOOKUP($A10,'RES installed'!$A$2:$C$7,3,FALSE)*'[1]Profiles, RES, Winter'!R$4</f>
        <v>2.3730098559514783</v>
      </c>
      <c r="S10" s="6">
        <f>VLOOKUP($A10,'RES installed'!$A$2:$C$7,3,FALSE)*'[1]Profiles, RES, Winter'!S$4</f>
        <v>0.12130401819560273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082E8-6F48-4FD6-B495-96CE5FAE95CC}">
  <dimension ref="A1:Y28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31.637734318835637</v>
      </c>
      <c r="C2" s="2">
        <f>('[1]Pc, Spring, S1'!C2*Main!$B$5)+(_xlfn.IFNA(VLOOKUP($A2,'FL Ratio'!$A$3:$B$10,2,FALSE),0)*'FL Characterization'!C$2)</f>
        <v>28.284013626572431</v>
      </c>
      <c r="D2" s="2">
        <f>('[1]Pc, Spring, S1'!D2*Main!$B$5)+(_xlfn.IFNA(VLOOKUP($A2,'FL Ratio'!$A$3:$B$10,2,FALSE),0)*'FL Characterization'!D$2)</f>
        <v>26.974920342899971</v>
      </c>
      <c r="E2" s="2">
        <f>('[1]Pc, Spring, S1'!E2*Main!$B$5)+(_xlfn.IFNA(VLOOKUP($A2,'FL Ratio'!$A$3:$B$10,2,FALSE),0)*'FL Characterization'!E$2)</f>
        <v>26.912877261804425</v>
      </c>
      <c r="F2" s="2">
        <f>('[1]Pc, Spring, S1'!F2*Main!$B$5)+(_xlfn.IFNA(VLOOKUP($A2,'FL Ratio'!$A$3:$B$10,2,FALSE),0)*'FL Characterization'!F$2)</f>
        <v>26.579735924746682</v>
      </c>
      <c r="G2" s="2">
        <f>('[1]Pc, Spring, S1'!G2*Main!$B$5)+(_xlfn.IFNA(VLOOKUP($A2,'FL Ratio'!$A$3:$B$10,2,FALSE),0)*'FL Characterization'!G$2)</f>
        <v>27.77570847205001</v>
      </c>
      <c r="H2" s="2">
        <f>('[1]Pc, Spring, S1'!H2*Main!$B$5)+(_xlfn.IFNA(VLOOKUP($A2,'FL Ratio'!$A$3:$B$10,2,FALSE),0)*'FL Characterization'!H$2)</f>
        <v>31.240938615322218</v>
      </c>
      <c r="I2" s="2">
        <f>('[1]Pc, Spring, S1'!I2*Main!$B$5)+(_xlfn.IFNA(VLOOKUP($A2,'FL Ratio'!$A$3:$B$10,2,FALSE),0)*'FL Characterization'!I$2)</f>
        <v>38.992113279562652</v>
      </c>
      <c r="J2" s="2">
        <f>('[1]Pc, Spring, S1'!J2*Main!$B$5)+(_xlfn.IFNA(VLOOKUP($A2,'FL Ratio'!$A$3:$B$10,2,FALSE),0)*'FL Characterization'!J$2)</f>
        <v>41.788994826627984</v>
      </c>
      <c r="K2" s="2">
        <f>('[1]Pc, Spring, S1'!K2*Main!$B$5)+(_xlfn.IFNA(VLOOKUP($A2,'FL Ratio'!$A$3:$B$10,2,FALSE),0)*'FL Characterization'!K$2)</f>
        <v>43.787486792118727</v>
      </c>
      <c r="L2" s="2">
        <f>('[1]Pc, Spring, S1'!L2*Main!$B$5)+(_xlfn.IFNA(VLOOKUP($A2,'FL Ratio'!$A$3:$B$10,2,FALSE),0)*'FL Characterization'!L$2)</f>
        <v>45.235261643018703</v>
      </c>
      <c r="M2" s="2">
        <f>('[1]Pc, Spring, S1'!M2*Main!$B$5)+(_xlfn.IFNA(VLOOKUP($A2,'FL Ratio'!$A$3:$B$10,2,FALSE),0)*'FL Characterization'!M$2)</f>
        <v>44.041399314829384</v>
      </c>
      <c r="N2" s="2">
        <f>('[1]Pc, Spring, S1'!N2*Main!$B$5)+(_xlfn.IFNA(VLOOKUP($A2,'FL Ratio'!$A$3:$B$10,2,FALSE),0)*'FL Characterization'!N$2)</f>
        <v>44.736838105972332</v>
      </c>
      <c r="O2" s="2">
        <f>('[1]Pc, Spring, S1'!O2*Main!$B$5)+(_xlfn.IFNA(VLOOKUP($A2,'FL Ratio'!$A$3:$B$10,2,FALSE),0)*'FL Characterization'!O$2)</f>
        <v>45.636977975507243</v>
      </c>
      <c r="P2" s="2">
        <f>('[1]Pc, Spring, S1'!P2*Main!$B$5)+(_xlfn.IFNA(VLOOKUP($A2,'FL Ratio'!$A$3:$B$10,2,FALSE),0)*'FL Characterization'!P$2)</f>
        <v>41.908115204757216</v>
      </c>
      <c r="Q2" s="2">
        <f>('[1]Pc, Spring, S1'!Q2*Main!$B$5)+(_xlfn.IFNA(VLOOKUP($A2,'FL Ratio'!$A$3:$B$10,2,FALSE),0)*'FL Characterization'!Q$2)</f>
        <v>38.669991623205711</v>
      </c>
      <c r="R2" s="2">
        <f>('[1]Pc, Spring, S1'!R2*Main!$B$5)+(_xlfn.IFNA(VLOOKUP($A2,'FL Ratio'!$A$3:$B$10,2,FALSE),0)*'FL Characterization'!R$2)</f>
        <v>40.131672978112611</v>
      </c>
      <c r="S2" s="2">
        <f>('[1]Pc, Spring, S1'!S2*Main!$B$5)+(_xlfn.IFNA(VLOOKUP($A2,'FL Ratio'!$A$3:$B$10,2,FALSE),0)*'FL Characterization'!S$2)</f>
        <v>42.178796173683736</v>
      </c>
      <c r="T2" s="2">
        <f>('[1]Pc, Spring, S1'!T2*Main!$B$5)+(_xlfn.IFNA(VLOOKUP($A2,'FL Ratio'!$A$3:$B$10,2,FALSE),0)*'FL Characterization'!T$2)</f>
        <v>44.701793061057543</v>
      </c>
      <c r="U2" s="2">
        <f>('[1]Pc, Spring, S1'!U2*Main!$B$5)+(_xlfn.IFNA(VLOOKUP($A2,'FL Ratio'!$A$3:$B$10,2,FALSE),0)*'FL Characterization'!U$2)</f>
        <v>43.917930327172066</v>
      </c>
      <c r="V2" s="2">
        <f>('[1]Pc, Spring, S1'!V2*Main!$B$5)+(_xlfn.IFNA(VLOOKUP($A2,'FL Ratio'!$A$3:$B$10,2,FALSE),0)*'FL Characterization'!V$2)</f>
        <v>42.309779401738638</v>
      </c>
      <c r="W2" s="2">
        <f>('[1]Pc, Spring, S1'!W2*Main!$B$5)+(_xlfn.IFNA(VLOOKUP($A2,'FL Ratio'!$A$3:$B$10,2,FALSE),0)*'FL Characterization'!W$2)</f>
        <v>43.848740720574376</v>
      </c>
      <c r="X2" s="2">
        <f>('[1]Pc, Spring, S1'!X2*Main!$B$5)+(_xlfn.IFNA(VLOOKUP($A2,'FL Ratio'!$A$3:$B$10,2,FALSE),0)*'FL Characterization'!X$2)</f>
        <v>36.741669841359219</v>
      </c>
      <c r="Y2" s="2">
        <f>('[1]Pc, Spring, S1'!Y2*Main!$B$5)+(_xlfn.IFNA(VLOOKUP($A2,'FL Ratio'!$A$3:$B$10,2,FALSE),0)*'FL Characterization'!Y$2)</f>
        <v>36.893365058097643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32.552272470502011</v>
      </c>
      <c r="C3" s="2">
        <f>('[1]Pc, Spring, S1'!C3*Main!$B$5)+(_xlfn.IFNA(VLOOKUP($A3,'FL Ratio'!$A$3:$B$10,2,FALSE),0)*'FL Characterization'!C$2)</f>
        <v>31.571137920722457</v>
      </c>
      <c r="D3" s="2">
        <f>('[1]Pc, Spring, S1'!D3*Main!$B$5)+(_xlfn.IFNA(VLOOKUP($A3,'FL Ratio'!$A$3:$B$10,2,FALSE),0)*'FL Characterization'!D$2)</f>
        <v>28.349974983945643</v>
      </c>
      <c r="E3" s="2">
        <f>('[1]Pc, Spring, S1'!E3*Main!$B$5)+(_xlfn.IFNA(VLOOKUP($A3,'FL Ratio'!$A$3:$B$10,2,FALSE),0)*'FL Characterization'!E$2)</f>
        <v>29.247889509513794</v>
      </c>
      <c r="F3" s="2">
        <f>('[1]Pc, Spring, S1'!F3*Main!$B$5)+(_xlfn.IFNA(VLOOKUP($A3,'FL Ratio'!$A$3:$B$10,2,FALSE),0)*'FL Characterization'!F$2)</f>
        <v>28.013260798819715</v>
      </c>
      <c r="G3" s="2">
        <f>('[1]Pc, Spring, S1'!G3*Main!$B$5)+(_xlfn.IFNA(VLOOKUP($A3,'FL Ratio'!$A$3:$B$10,2,FALSE),0)*'FL Characterization'!G$2)</f>
        <v>30.716252449032929</v>
      </c>
      <c r="H3" s="2">
        <f>('[1]Pc, Spring, S1'!H3*Main!$B$5)+(_xlfn.IFNA(VLOOKUP($A3,'FL Ratio'!$A$3:$B$10,2,FALSE),0)*'FL Characterization'!H$2)</f>
        <v>39.93950323881171</v>
      </c>
      <c r="I3" s="2">
        <f>('[1]Pc, Spring, S1'!I3*Main!$B$5)+(_xlfn.IFNA(VLOOKUP($A3,'FL Ratio'!$A$3:$B$10,2,FALSE),0)*'FL Characterization'!I$2)</f>
        <v>45.647157021946072</v>
      </c>
      <c r="J3" s="2">
        <f>('[1]Pc, Spring, S1'!J3*Main!$B$5)+(_xlfn.IFNA(VLOOKUP($A3,'FL Ratio'!$A$3:$B$10,2,FALSE),0)*'FL Characterization'!J$2)</f>
        <v>49.549360493821865</v>
      </c>
      <c r="K3" s="2">
        <f>('[1]Pc, Spring, S1'!K3*Main!$B$5)+(_xlfn.IFNA(VLOOKUP($A3,'FL Ratio'!$A$3:$B$10,2,FALSE),0)*'FL Characterization'!K$2)</f>
        <v>48.253757526582262</v>
      </c>
      <c r="L3" s="2">
        <f>('[1]Pc, Spring, S1'!L3*Main!$B$5)+(_xlfn.IFNA(VLOOKUP($A3,'FL Ratio'!$A$3:$B$10,2,FALSE),0)*'FL Characterization'!L$2)</f>
        <v>45.443342770823996</v>
      </c>
      <c r="M3" s="2">
        <f>('[1]Pc, Spring, S1'!M3*Main!$B$5)+(_xlfn.IFNA(VLOOKUP($A3,'FL Ratio'!$A$3:$B$10,2,FALSE),0)*'FL Characterization'!M$2)</f>
        <v>49.592934938167275</v>
      </c>
      <c r="N3" s="2">
        <f>('[1]Pc, Spring, S1'!N3*Main!$B$5)+(_xlfn.IFNA(VLOOKUP($A3,'FL Ratio'!$A$3:$B$10,2,FALSE),0)*'FL Characterization'!N$2)</f>
        <v>47.851815487765677</v>
      </c>
      <c r="O3" s="2">
        <f>('[1]Pc, Spring, S1'!O3*Main!$B$5)+(_xlfn.IFNA(VLOOKUP($A3,'FL Ratio'!$A$3:$B$10,2,FALSE),0)*'FL Characterization'!O$2)</f>
        <v>46.211766194486394</v>
      </c>
      <c r="P3" s="2">
        <f>('[1]Pc, Spring, S1'!P3*Main!$B$5)+(_xlfn.IFNA(VLOOKUP($A3,'FL Ratio'!$A$3:$B$10,2,FALSE),0)*'FL Characterization'!P$2)</f>
        <v>45.578162506058788</v>
      </c>
      <c r="Q3" s="2">
        <f>('[1]Pc, Spring, S1'!Q3*Main!$B$5)+(_xlfn.IFNA(VLOOKUP($A3,'FL Ratio'!$A$3:$B$10,2,FALSE),0)*'FL Characterization'!Q$2)</f>
        <v>43.756030886779982</v>
      </c>
      <c r="R3" s="2">
        <f>('[1]Pc, Spring, S1'!R3*Main!$B$5)+(_xlfn.IFNA(VLOOKUP($A3,'FL Ratio'!$A$3:$B$10,2,FALSE),0)*'FL Characterization'!R$2)</f>
        <v>40.406543770559743</v>
      </c>
      <c r="S3" s="2">
        <f>('[1]Pc, Spring, S1'!S3*Main!$B$5)+(_xlfn.IFNA(VLOOKUP($A3,'FL Ratio'!$A$3:$B$10,2,FALSE),0)*'FL Characterization'!S$2)</f>
        <v>44.583570709805088</v>
      </c>
      <c r="T3" s="2">
        <f>('[1]Pc, Spring, S1'!T3*Main!$B$5)+(_xlfn.IFNA(VLOOKUP($A3,'FL Ratio'!$A$3:$B$10,2,FALSE),0)*'FL Characterization'!T$2)</f>
        <v>44.431961645849235</v>
      </c>
      <c r="U3" s="2">
        <f>('[1]Pc, Spring, S1'!U3*Main!$B$5)+(_xlfn.IFNA(VLOOKUP($A3,'FL Ratio'!$A$3:$B$10,2,FALSE),0)*'FL Characterization'!U$2)</f>
        <v>43.096879382326058</v>
      </c>
      <c r="V3" s="2">
        <f>('[1]Pc, Spring, S1'!V3*Main!$B$5)+(_xlfn.IFNA(VLOOKUP($A3,'FL Ratio'!$A$3:$B$10,2,FALSE),0)*'FL Characterization'!V$2)</f>
        <v>41.399725795957679</v>
      </c>
      <c r="W3" s="2">
        <f>('[1]Pc, Spring, S1'!W3*Main!$B$5)+(_xlfn.IFNA(VLOOKUP($A3,'FL Ratio'!$A$3:$B$10,2,FALSE),0)*'FL Characterization'!W$2)</f>
        <v>40.592670281544358</v>
      </c>
      <c r="X3" s="2">
        <f>('[1]Pc, Spring, S1'!X3*Main!$B$5)+(_xlfn.IFNA(VLOOKUP($A3,'FL Ratio'!$A$3:$B$10,2,FALSE),0)*'FL Characterization'!X$2)</f>
        <v>38.519020276181941</v>
      </c>
      <c r="Y3" s="2">
        <f>('[1]Pc, Spring, S1'!Y3*Main!$B$5)+(_xlfn.IFNA(VLOOKUP($A3,'FL Ratio'!$A$3:$B$10,2,FALSE),0)*'FL Characterization'!Y$2)</f>
        <v>36.077298458782877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44.508112653366162</v>
      </c>
      <c r="C4" s="2">
        <f>('[1]Pc, Spring, S1'!C4*Main!$B$5)+(_xlfn.IFNA(VLOOKUP($A4,'FL Ratio'!$A$3:$B$10,2,FALSE),0)*'FL Characterization'!C$2)</f>
        <v>39.058878993063267</v>
      </c>
      <c r="D4" s="2">
        <f>('[1]Pc, Spring, S1'!D4*Main!$B$5)+(_xlfn.IFNA(VLOOKUP($A4,'FL Ratio'!$A$3:$B$10,2,FALSE),0)*'FL Characterization'!D$2)</f>
        <v>39.164765793414169</v>
      </c>
      <c r="E4" s="2">
        <f>('[1]Pc, Spring, S1'!E4*Main!$B$5)+(_xlfn.IFNA(VLOOKUP($A4,'FL Ratio'!$A$3:$B$10,2,FALSE),0)*'FL Characterization'!E$2)</f>
        <v>36.105307068801721</v>
      </c>
      <c r="F4" s="2">
        <f>('[1]Pc, Spring, S1'!F4*Main!$B$5)+(_xlfn.IFNA(VLOOKUP($A4,'FL Ratio'!$A$3:$B$10,2,FALSE),0)*'FL Characterization'!F$2)</f>
        <v>38.1094114380302</v>
      </c>
      <c r="G4" s="2">
        <f>('[1]Pc, Spring, S1'!G4*Main!$B$5)+(_xlfn.IFNA(VLOOKUP($A4,'FL Ratio'!$A$3:$B$10,2,FALSE),0)*'FL Characterization'!G$2)</f>
        <v>37.378569460914413</v>
      </c>
      <c r="H4" s="2">
        <f>('[1]Pc, Spring, S1'!H4*Main!$B$5)+(_xlfn.IFNA(VLOOKUP($A4,'FL Ratio'!$A$3:$B$10,2,FALSE),0)*'FL Characterization'!H$2)</f>
        <v>43.758390691877864</v>
      </c>
      <c r="I4" s="2">
        <f>('[1]Pc, Spring, S1'!I4*Main!$B$5)+(_xlfn.IFNA(VLOOKUP($A4,'FL Ratio'!$A$3:$B$10,2,FALSE),0)*'FL Characterization'!I$2)</f>
        <v>47.273840175676398</v>
      </c>
      <c r="J4" s="2">
        <f>('[1]Pc, Spring, S1'!J4*Main!$B$5)+(_xlfn.IFNA(VLOOKUP($A4,'FL Ratio'!$A$3:$B$10,2,FALSE),0)*'FL Characterization'!J$2)</f>
        <v>54.621912185876383</v>
      </c>
      <c r="K4" s="2">
        <f>('[1]Pc, Spring, S1'!K4*Main!$B$5)+(_xlfn.IFNA(VLOOKUP($A4,'FL Ratio'!$A$3:$B$10,2,FALSE),0)*'FL Characterization'!K$2)</f>
        <v>56.139405763637797</v>
      </c>
      <c r="L4" s="2">
        <f>('[1]Pc, Spring, S1'!L4*Main!$B$5)+(_xlfn.IFNA(VLOOKUP($A4,'FL Ratio'!$A$3:$B$10,2,FALSE),0)*'FL Characterization'!L$2)</f>
        <v>58.016944684737695</v>
      </c>
      <c r="M4" s="2">
        <f>('[1]Pc, Spring, S1'!M4*Main!$B$5)+(_xlfn.IFNA(VLOOKUP($A4,'FL Ratio'!$A$3:$B$10,2,FALSE),0)*'FL Characterization'!M$2)</f>
        <v>61.226496243791154</v>
      </c>
      <c r="N4" s="2">
        <f>('[1]Pc, Spring, S1'!N4*Main!$B$5)+(_xlfn.IFNA(VLOOKUP($A4,'FL Ratio'!$A$3:$B$10,2,FALSE),0)*'FL Characterization'!N$2)</f>
        <v>61.762460659275689</v>
      </c>
      <c r="O4" s="2">
        <f>('[1]Pc, Spring, S1'!O4*Main!$B$5)+(_xlfn.IFNA(VLOOKUP($A4,'FL Ratio'!$A$3:$B$10,2,FALSE),0)*'FL Characterization'!O$2)</f>
        <v>61.608132186542854</v>
      </c>
      <c r="P4" s="2">
        <f>('[1]Pc, Spring, S1'!P4*Main!$B$5)+(_xlfn.IFNA(VLOOKUP($A4,'FL Ratio'!$A$3:$B$10,2,FALSE),0)*'FL Characterization'!P$2)</f>
        <v>58.249633914435925</v>
      </c>
      <c r="Q4" s="2">
        <f>('[1]Pc, Spring, S1'!Q4*Main!$B$5)+(_xlfn.IFNA(VLOOKUP($A4,'FL Ratio'!$A$3:$B$10,2,FALSE),0)*'FL Characterization'!Q$2)</f>
        <v>58.835146273461092</v>
      </c>
      <c r="R4" s="2">
        <f>('[1]Pc, Spring, S1'!R4*Main!$B$5)+(_xlfn.IFNA(VLOOKUP($A4,'FL Ratio'!$A$3:$B$10,2,FALSE),0)*'FL Characterization'!R$2)</f>
        <v>58.293007469896025</v>
      </c>
      <c r="S4" s="2">
        <f>('[1]Pc, Spring, S1'!S4*Main!$B$5)+(_xlfn.IFNA(VLOOKUP($A4,'FL Ratio'!$A$3:$B$10,2,FALSE),0)*'FL Characterization'!S$2)</f>
        <v>60.575830365333012</v>
      </c>
      <c r="T4" s="2">
        <f>('[1]Pc, Spring, S1'!T4*Main!$B$5)+(_xlfn.IFNA(VLOOKUP($A4,'FL Ratio'!$A$3:$B$10,2,FALSE),0)*'FL Characterization'!T$2)</f>
        <v>60.188094293826992</v>
      </c>
      <c r="U4" s="2">
        <f>('[1]Pc, Spring, S1'!U4*Main!$B$5)+(_xlfn.IFNA(VLOOKUP($A4,'FL Ratio'!$A$3:$B$10,2,FALSE),0)*'FL Characterization'!U$2)</f>
        <v>58.829942389230276</v>
      </c>
      <c r="V4" s="2">
        <f>('[1]Pc, Spring, S1'!V4*Main!$B$5)+(_xlfn.IFNA(VLOOKUP($A4,'FL Ratio'!$A$3:$B$10,2,FALSE),0)*'FL Characterization'!V$2)</f>
        <v>57.634155671094774</v>
      </c>
      <c r="W4" s="2">
        <f>('[1]Pc, Spring, S1'!W4*Main!$B$5)+(_xlfn.IFNA(VLOOKUP($A4,'FL Ratio'!$A$3:$B$10,2,FALSE),0)*'FL Characterization'!W$2)</f>
        <v>60.170167060933153</v>
      </c>
      <c r="X4" s="2">
        <f>('[1]Pc, Spring, S1'!X4*Main!$B$5)+(_xlfn.IFNA(VLOOKUP($A4,'FL Ratio'!$A$3:$B$10,2,FALSE),0)*'FL Characterization'!X$2)</f>
        <v>56.451753044426553</v>
      </c>
      <c r="Y4" s="2">
        <f>('[1]Pc, Spring, S1'!Y4*Main!$B$5)+(_xlfn.IFNA(VLOOKUP($A4,'FL Ratio'!$A$3:$B$10,2,FALSE),0)*'FL Characterization'!Y$2)</f>
        <v>51.759848903315962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CA6AE-8FD8-47E3-ACEB-AC17C2C6115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31.637734318835637</v>
      </c>
      <c r="C2" s="2">
        <f>('[1]Pc, Spring, S1'!C2*Main!$B$5)+(_xlfn.IFNA(VLOOKUP($A2,'FL Ratio'!$A$3:$B$10,2,FALSE),0)*'FL Characterization'!C$2)</f>
        <v>28.284013626572431</v>
      </c>
      <c r="D2" s="2">
        <f>('[1]Pc, Spring, S1'!D2*Main!$B$5)+(_xlfn.IFNA(VLOOKUP($A2,'FL Ratio'!$A$3:$B$10,2,FALSE),0)*'FL Characterization'!D$2)</f>
        <v>26.974920342899971</v>
      </c>
      <c r="E2" s="2">
        <f>('[1]Pc, Spring, S1'!E2*Main!$B$5)+(_xlfn.IFNA(VLOOKUP($A2,'FL Ratio'!$A$3:$B$10,2,FALSE),0)*'FL Characterization'!E$2)</f>
        <v>26.912877261804425</v>
      </c>
      <c r="F2" s="2">
        <f>('[1]Pc, Spring, S1'!F2*Main!$B$5)+(_xlfn.IFNA(VLOOKUP($A2,'FL Ratio'!$A$3:$B$10,2,FALSE),0)*'FL Characterization'!F$2)</f>
        <v>26.579735924746682</v>
      </c>
      <c r="G2" s="2">
        <f>('[1]Pc, Spring, S1'!G2*Main!$B$5)+(_xlfn.IFNA(VLOOKUP($A2,'FL Ratio'!$A$3:$B$10,2,FALSE),0)*'FL Characterization'!G$2)</f>
        <v>27.77570847205001</v>
      </c>
      <c r="H2" s="2">
        <f>('[1]Pc, Spring, S1'!H2*Main!$B$5)+(_xlfn.IFNA(VLOOKUP($A2,'FL Ratio'!$A$3:$B$10,2,FALSE),0)*'FL Characterization'!H$2)</f>
        <v>31.240938615322218</v>
      </c>
      <c r="I2" s="2">
        <f>('[1]Pc, Spring, S1'!I2*Main!$B$5)+(_xlfn.IFNA(VLOOKUP($A2,'FL Ratio'!$A$3:$B$10,2,FALSE),0)*'FL Characterization'!I$2)</f>
        <v>38.992113279562652</v>
      </c>
      <c r="J2" s="2">
        <f>('[1]Pc, Spring, S1'!J2*Main!$B$5)+(_xlfn.IFNA(VLOOKUP($A2,'FL Ratio'!$A$3:$B$10,2,FALSE),0)*'FL Characterization'!J$2)</f>
        <v>41.788994826627984</v>
      </c>
      <c r="K2" s="2">
        <f>('[1]Pc, Spring, S1'!K2*Main!$B$5)+(_xlfn.IFNA(VLOOKUP($A2,'FL Ratio'!$A$3:$B$10,2,FALSE),0)*'FL Characterization'!K$2)</f>
        <v>43.787486792118727</v>
      </c>
      <c r="L2" s="2">
        <f>('[1]Pc, Spring, S1'!L2*Main!$B$5)+(_xlfn.IFNA(VLOOKUP($A2,'FL Ratio'!$A$3:$B$10,2,FALSE),0)*'FL Characterization'!L$2)</f>
        <v>45.235261643018703</v>
      </c>
      <c r="M2" s="2">
        <f>('[1]Pc, Spring, S1'!M2*Main!$B$5)+(_xlfn.IFNA(VLOOKUP($A2,'FL Ratio'!$A$3:$B$10,2,FALSE),0)*'FL Characterization'!M$2)</f>
        <v>44.041399314829384</v>
      </c>
      <c r="N2" s="2">
        <f>('[1]Pc, Spring, S1'!N2*Main!$B$5)+(_xlfn.IFNA(VLOOKUP($A2,'FL Ratio'!$A$3:$B$10,2,FALSE),0)*'FL Characterization'!N$2)</f>
        <v>44.736838105972332</v>
      </c>
      <c r="O2" s="2">
        <f>('[1]Pc, Spring, S1'!O2*Main!$B$5)+(_xlfn.IFNA(VLOOKUP($A2,'FL Ratio'!$A$3:$B$10,2,FALSE),0)*'FL Characterization'!O$2)</f>
        <v>45.636977975507243</v>
      </c>
      <c r="P2" s="2">
        <f>('[1]Pc, Spring, S1'!P2*Main!$B$5)+(_xlfn.IFNA(VLOOKUP($A2,'FL Ratio'!$A$3:$B$10,2,FALSE),0)*'FL Characterization'!P$2)</f>
        <v>41.908115204757216</v>
      </c>
      <c r="Q2" s="2">
        <f>('[1]Pc, Spring, S1'!Q2*Main!$B$5)+(_xlfn.IFNA(VLOOKUP($A2,'FL Ratio'!$A$3:$B$10,2,FALSE),0)*'FL Characterization'!Q$2)</f>
        <v>38.669991623205711</v>
      </c>
      <c r="R2" s="2">
        <f>('[1]Pc, Spring, S1'!R2*Main!$B$5)+(_xlfn.IFNA(VLOOKUP($A2,'FL Ratio'!$A$3:$B$10,2,FALSE),0)*'FL Characterization'!R$2)</f>
        <v>40.131672978112611</v>
      </c>
      <c r="S2" s="2">
        <f>('[1]Pc, Spring, S1'!S2*Main!$B$5)+(_xlfn.IFNA(VLOOKUP($A2,'FL Ratio'!$A$3:$B$10,2,FALSE),0)*'FL Characterization'!S$2)</f>
        <v>42.178796173683736</v>
      </c>
      <c r="T2" s="2">
        <f>('[1]Pc, Spring, S1'!T2*Main!$B$5)+(_xlfn.IFNA(VLOOKUP($A2,'FL Ratio'!$A$3:$B$10,2,FALSE),0)*'FL Characterization'!T$2)</f>
        <v>44.701793061057543</v>
      </c>
      <c r="U2" s="2">
        <f>('[1]Pc, Spring, S1'!U2*Main!$B$5)+(_xlfn.IFNA(VLOOKUP($A2,'FL Ratio'!$A$3:$B$10,2,FALSE),0)*'FL Characterization'!U$2)</f>
        <v>43.917930327172066</v>
      </c>
      <c r="V2" s="2">
        <f>('[1]Pc, Spring, S1'!V2*Main!$B$5)+(_xlfn.IFNA(VLOOKUP($A2,'FL Ratio'!$A$3:$B$10,2,FALSE),0)*'FL Characterization'!V$2)</f>
        <v>42.309779401738638</v>
      </c>
      <c r="W2" s="2">
        <f>('[1]Pc, Spring, S1'!W2*Main!$B$5)+(_xlfn.IFNA(VLOOKUP($A2,'FL Ratio'!$A$3:$B$10,2,FALSE),0)*'FL Characterization'!W$2)</f>
        <v>43.848740720574376</v>
      </c>
      <c r="X2" s="2">
        <f>('[1]Pc, Spring, S1'!X2*Main!$B$5)+(_xlfn.IFNA(VLOOKUP($A2,'FL Ratio'!$A$3:$B$10,2,FALSE),0)*'FL Characterization'!X$2)</f>
        <v>36.741669841359219</v>
      </c>
      <c r="Y2" s="2">
        <f>('[1]Pc, Spring, S1'!Y2*Main!$B$5)+(_xlfn.IFNA(VLOOKUP($A2,'FL Ratio'!$A$3:$B$10,2,FALSE),0)*'FL Characterization'!Y$2)</f>
        <v>36.893365058097643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32.552272470502011</v>
      </c>
      <c r="C3" s="2">
        <f>('[1]Pc, Spring, S1'!C3*Main!$B$5)+(_xlfn.IFNA(VLOOKUP($A3,'FL Ratio'!$A$3:$B$10,2,FALSE),0)*'FL Characterization'!C$2)</f>
        <v>31.571137920722457</v>
      </c>
      <c r="D3" s="2">
        <f>('[1]Pc, Spring, S1'!D3*Main!$B$5)+(_xlfn.IFNA(VLOOKUP($A3,'FL Ratio'!$A$3:$B$10,2,FALSE),0)*'FL Characterization'!D$2)</f>
        <v>28.349974983945643</v>
      </c>
      <c r="E3" s="2">
        <f>('[1]Pc, Spring, S1'!E3*Main!$B$5)+(_xlfn.IFNA(VLOOKUP($A3,'FL Ratio'!$A$3:$B$10,2,FALSE),0)*'FL Characterization'!E$2)</f>
        <v>29.247889509513794</v>
      </c>
      <c r="F3" s="2">
        <f>('[1]Pc, Spring, S1'!F3*Main!$B$5)+(_xlfn.IFNA(VLOOKUP($A3,'FL Ratio'!$A$3:$B$10,2,FALSE),0)*'FL Characterization'!F$2)</f>
        <v>28.013260798819715</v>
      </c>
      <c r="G3" s="2">
        <f>('[1]Pc, Spring, S1'!G3*Main!$B$5)+(_xlfn.IFNA(VLOOKUP($A3,'FL Ratio'!$A$3:$B$10,2,FALSE),0)*'FL Characterization'!G$2)</f>
        <v>30.716252449032929</v>
      </c>
      <c r="H3" s="2">
        <f>('[1]Pc, Spring, S1'!H3*Main!$B$5)+(_xlfn.IFNA(VLOOKUP($A3,'FL Ratio'!$A$3:$B$10,2,FALSE),0)*'FL Characterization'!H$2)</f>
        <v>39.93950323881171</v>
      </c>
      <c r="I3" s="2">
        <f>('[1]Pc, Spring, S1'!I3*Main!$B$5)+(_xlfn.IFNA(VLOOKUP($A3,'FL Ratio'!$A$3:$B$10,2,FALSE),0)*'FL Characterization'!I$2)</f>
        <v>45.647157021946072</v>
      </c>
      <c r="J3" s="2">
        <f>('[1]Pc, Spring, S1'!J3*Main!$B$5)+(_xlfn.IFNA(VLOOKUP($A3,'FL Ratio'!$A$3:$B$10,2,FALSE),0)*'FL Characterization'!J$2)</f>
        <v>49.549360493821865</v>
      </c>
      <c r="K3" s="2">
        <f>('[1]Pc, Spring, S1'!K3*Main!$B$5)+(_xlfn.IFNA(VLOOKUP($A3,'FL Ratio'!$A$3:$B$10,2,FALSE),0)*'FL Characterization'!K$2)</f>
        <v>48.253757526582262</v>
      </c>
      <c r="L3" s="2">
        <f>('[1]Pc, Spring, S1'!L3*Main!$B$5)+(_xlfn.IFNA(VLOOKUP($A3,'FL Ratio'!$A$3:$B$10,2,FALSE),0)*'FL Characterization'!L$2)</f>
        <v>45.443342770823996</v>
      </c>
      <c r="M3" s="2">
        <f>('[1]Pc, Spring, S1'!M3*Main!$B$5)+(_xlfn.IFNA(VLOOKUP($A3,'FL Ratio'!$A$3:$B$10,2,FALSE),0)*'FL Characterization'!M$2)</f>
        <v>49.592934938167275</v>
      </c>
      <c r="N3" s="2">
        <f>('[1]Pc, Spring, S1'!N3*Main!$B$5)+(_xlfn.IFNA(VLOOKUP($A3,'FL Ratio'!$A$3:$B$10,2,FALSE),0)*'FL Characterization'!N$2)</f>
        <v>47.851815487765677</v>
      </c>
      <c r="O3" s="2">
        <f>('[1]Pc, Spring, S1'!O3*Main!$B$5)+(_xlfn.IFNA(VLOOKUP($A3,'FL Ratio'!$A$3:$B$10,2,FALSE),0)*'FL Characterization'!O$2)</f>
        <v>46.211766194486394</v>
      </c>
      <c r="P3" s="2">
        <f>('[1]Pc, Spring, S1'!P3*Main!$B$5)+(_xlfn.IFNA(VLOOKUP($A3,'FL Ratio'!$A$3:$B$10,2,FALSE),0)*'FL Characterization'!P$2)</f>
        <v>45.578162506058788</v>
      </c>
      <c r="Q3" s="2">
        <f>('[1]Pc, Spring, S1'!Q3*Main!$B$5)+(_xlfn.IFNA(VLOOKUP($A3,'FL Ratio'!$A$3:$B$10,2,FALSE),0)*'FL Characterization'!Q$2)</f>
        <v>43.756030886779982</v>
      </c>
      <c r="R3" s="2">
        <f>('[1]Pc, Spring, S1'!R3*Main!$B$5)+(_xlfn.IFNA(VLOOKUP($A3,'FL Ratio'!$A$3:$B$10,2,FALSE),0)*'FL Characterization'!R$2)</f>
        <v>40.406543770559743</v>
      </c>
      <c r="S3" s="2">
        <f>('[1]Pc, Spring, S1'!S3*Main!$B$5)+(_xlfn.IFNA(VLOOKUP($A3,'FL Ratio'!$A$3:$B$10,2,FALSE),0)*'FL Characterization'!S$2)</f>
        <v>44.583570709805088</v>
      </c>
      <c r="T3" s="2">
        <f>('[1]Pc, Spring, S1'!T3*Main!$B$5)+(_xlfn.IFNA(VLOOKUP($A3,'FL Ratio'!$A$3:$B$10,2,FALSE),0)*'FL Characterization'!T$2)</f>
        <v>44.431961645849235</v>
      </c>
      <c r="U3" s="2">
        <f>('[1]Pc, Spring, S1'!U3*Main!$B$5)+(_xlfn.IFNA(VLOOKUP($A3,'FL Ratio'!$A$3:$B$10,2,FALSE),0)*'FL Characterization'!U$2)</f>
        <v>43.096879382326058</v>
      </c>
      <c r="V3" s="2">
        <f>('[1]Pc, Spring, S1'!V3*Main!$B$5)+(_xlfn.IFNA(VLOOKUP($A3,'FL Ratio'!$A$3:$B$10,2,FALSE),0)*'FL Characterization'!V$2)</f>
        <v>41.399725795957679</v>
      </c>
      <c r="W3" s="2">
        <f>('[1]Pc, Spring, S1'!W3*Main!$B$5)+(_xlfn.IFNA(VLOOKUP($A3,'FL Ratio'!$A$3:$B$10,2,FALSE),0)*'FL Characterization'!W$2)</f>
        <v>40.592670281544358</v>
      </c>
      <c r="X3" s="2">
        <f>('[1]Pc, Spring, S1'!X3*Main!$B$5)+(_xlfn.IFNA(VLOOKUP($A3,'FL Ratio'!$A$3:$B$10,2,FALSE),0)*'FL Characterization'!X$2)</f>
        <v>38.519020276181941</v>
      </c>
      <c r="Y3" s="2">
        <f>('[1]Pc, Spring, S1'!Y3*Main!$B$5)+(_xlfn.IFNA(VLOOKUP($A3,'FL Ratio'!$A$3:$B$10,2,FALSE),0)*'FL Characterization'!Y$2)</f>
        <v>36.077298458782877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44.508112653366162</v>
      </c>
      <c r="C4" s="2">
        <f>('[1]Pc, Spring, S1'!C4*Main!$B$5)+(_xlfn.IFNA(VLOOKUP($A4,'FL Ratio'!$A$3:$B$10,2,FALSE),0)*'FL Characterization'!C$2)</f>
        <v>39.058878993063267</v>
      </c>
      <c r="D4" s="2">
        <f>('[1]Pc, Spring, S1'!D4*Main!$B$5)+(_xlfn.IFNA(VLOOKUP($A4,'FL Ratio'!$A$3:$B$10,2,FALSE),0)*'FL Characterization'!D$2)</f>
        <v>39.164765793414169</v>
      </c>
      <c r="E4" s="2">
        <f>('[1]Pc, Spring, S1'!E4*Main!$B$5)+(_xlfn.IFNA(VLOOKUP($A4,'FL Ratio'!$A$3:$B$10,2,FALSE),0)*'FL Characterization'!E$2)</f>
        <v>36.105307068801721</v>
      </c>
      <c r="F4" s="2">
        <f>('[1]Pc, Spring, S1'!F4*Main!$B$5)+(_xlfn.IFNA(VLOOKUP($A4,'FL Ratio'!$A$3:$B$10,2,FALSE),0)*'FL Characterization'!F$2)</f>
        <v>38.1094114380302</v>
      </c>
      <c r="G4" s="2">
        <f>('[1]Pc, Spring, S1'!G4*Main!$B$5)+(_xlfn.IFNA(VLOOKUP($A4,'FL Ratio'!$A$3:$B$10,2,FALSE),0)*'FL Characterization'!G$2)</f>
        <v>37.378569460914413</v>
      </c>
      <c r="H4" s="2">
        <f>('[1]Pc, Spring, S1'!H4*Main!$B$5)+(_xlfn.IFNA(VLOOKUP($A4,'FL Ratio'!$A$3:$B$10,2,FALSE),0)*'FL Characterization'!H$2)</f>
        <v>43.758390691877864</v>
      </c>
      <c r="I4" s="2">
        <f>('[1]Pc, Spring, S1'!I4*Main!$B$5)+(_xlfn.IFNA(VLOOKUP($A4,'FL Ratio'!$A$3:$B$10,2,FALSE),0)*'FL Characterization'!I$2)</f>
        <v>47.273840175676398</v>
      </c>
      <c r="J4" s="2">
        <f>('[1]Pc, Spring, S1'!J4*Main!$B$5)+(_xlfn.IFNA(VLOOKUP($A4,'FL Ratio'!$A$3:$B$10,2,FALSE),0)*'FL Characterization'!J$2)</f>
        <v>54.621912185876383</v>
      </c>
      <c r="K4" s="2">
        <f>('[1]Pc, Spring, S1'!K4*Main!$B$5)+(_xlfn.IFNA(VLOOKUP($A4,'FL Ratio'!$A$3:$B$10,2,FALSE),0)*'FL Characterization'!K$2)</f>
        <v>56.139405763637797</v>
      </c>
      <c r="L4" s="2">
        <f>('[1]Pc, Spring, S1'!L4*Main!$B$5)+(_xlfn.IFNA(VLOOKUP($A4,'FL Ratio'!$A$3:$B$10,2,FALSE),0)*'FL Characterization'!L$2)</f>
        <v>58.016944684737695</v>
      </c>
      <c r="M4" s="2">
        <f>('[1]Pc, Spring, S1'!M4*Main!$B$5)+(_xlfn.IFNA(VLOOKUP($A4,'FL Ratio'!$A$3:$B$10,2,FALSE),0)*'FL Characterization'!M$2)</f>
        <v>61.226496243791154</v>
      </c>
      <c r="N4" s="2">
        <f>('[1]Pc, Spring, S1'!N4*Main!$B$5)+(_xlfn.IFNA(VLOOKUP($A4,'FL Ratio'!$A$3:$B$10,2,FALSE),0)*'FL Characterization'!N$2)</f>
        <v>61.762460659275689</v>
      </c>
      <c r="O4" s="2">
        <f>('[1]Pc, Spring, S1'!O4*Main!$B$5)+(_xlfn.IFNA(VLOOKUP($A4,'FL Ratio'!$A$3:$B$10,2,FALSE),0)*'FL Characterization'!O$2)</f>
        <v>61.608132186542854</v>
      </c>
      <c r="P4" s="2">
        <f>('[1]Pc, Spring, S1'!P4*Main!$B$5)+(_xlfn.IFNA(VLOOKUP($A4,'FL Ratio'!$A$3:$B$10,2,FALSE),0)*'FL Characterization'!P$2)</f>
        <v>58.249633914435925</v>
      </c>
      <c r="Q4" s="2">
        <f>('[1]Pc, Spring, S1'!Q4*Main!$B$5)+(_xlfn.IFNA(VLOOKUP($A4,'FL Ratio'!$A$3:$B$10,2,FALSE),0)*'FL Characterization'!Q$2)</f>
        <v>58.835146273461092</v>
      </c>
      <c r="R4" s="2">
        <f>('[1]Pc, Spring, S1'!R4*Main!$B$5)+(_xlfn.IFNA(VLOOKUP($A4,'FL Ratio'!$A$3:$B$10,2,FALSE),0)*'FL Characterization'!R$2)</f>
        <v>58.293007469896025</v>
      </c>
      <c r="S4" s="2">
        <f>('[1]Pc, Spring, S1'!S4*Main!$B$5)+(_xlfn.IFNA(VLOOKUP($A4,'FL Ratio'!$A$3:$B$10,2,FALSE),0)*'FL Characterization'!S$2)</f>
        <v>60.575830365333012</v>
      </c>
      <c r="T4" s="2">
        <f>('[1]Pc, Spring, S1'!T4*Main!$B$5)+(_xlfn.IFNA(VLOOKUP($A4,'FL Ratio'!$A$3:$B$10,2,FALSE),0)*'FL Characterization'!T$2)</f>
        <v>60.188094293826992</v>
      </c>
      <c r="U4" s="2">
        <f>('[1]Pc, Spring, S1'!U4*Main!$B$5)+(_xlfn.IFNA(VLOOKUP($A4,'FL Ratio'!$A$3:$B$10,2,FALSE),0)*'FL Characterization'!U$2)</f>
        <v>58.829942389230276</v>
      </c>
      <c r="V4" s="2">
        <f>('[1]Pc, Spring, S1'!V4*Main!$B$5)+(_xlfn.IFNA(VLOOKUP($A4,'FL Ratio'!$A$3:$B$10,2,FALSE),0)*'FL Characterization'!V$2)</f>
        <v>57.634155671094774</v>
      </c>
      <c r="W4" s="2">
        <f>('[1]Pc, Spring, S1'!W4*Main!$B$5)+(_xlfn.IFNA(VLOOKUP($A4,'FL Ratio'!$A$3:$B$10,2,FALSE),0)*'FL Characterization'!W$2)</f>
        <v>60.170167060933153</v>
      </c>
      <c r="X4" s="2">
        <f>('[1]Pc, Spring, S1'!X4*Main!$B$5)+(_xlfn.IFNA(VLOOKUP($A4,'FL Ratio'!$A$3:$B$10,2,FALSE),0)*'FL Characterization'!X$2)</f>
        <v>56.451753044426553</v>
      </c>
      <c r="Y4" s="2">
        <f>('[1]Pc, Spring, S1'!Y4*Main!$B$5)+(_xlfn.IFNA(VLOOKUP($A4,'FL Ratio'!$A$3:$B$10,2,FALSE),0)*'FL Characterization'!Y$2)</f>
        <v>51.759848903315962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14B1F-CBF1-423B-9907-DFEE7C9E44C5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31.637734318835637</v>
      </c>
      <c r="C2" s="2">
        <f>('[1]Pc, Spring, S1'!C2*Main!$B$5)+(_xlfn.IFNA(VLOOKUP($A2,'FL Ratio'!$A$3:$B$10,2,FALSE),0)*'FL Characterization'!C$2)</f>
        <v>28.284013626572431</v>
      </c>
      <c r="D2" s="2">
        <f>('[1]Pc, Spring, S1'!D2*Main!$B$5)+(_xlfn.IFNA(VLOOKUP($A2,'FL Ratio'!$A$3:$B$10,2,FALSE),0)*'FL Characterization'!D$2)</f>
        <v>26.974920342899971</v>
      </c>
      <c r="E2" s="2">
        <f>('[1]Pc, Spring, S1'!E2*Main!$B$5)+(_xlfn.IFNA(VLOOKUP($A2,'FL Ratio'!$A$3:$B$10,2,FALSE),0)*'FL Characterization'!E$2)</f>
        <v>26.912877261804425</v>
      </c>
      <c r="F2" s="2">
        <f>('[1]Pc, Spring, S1'!F2*Main!$B$5)+(_xlfn.IFNA(VLOOKUP($A2,'FL Ratio'!$A$3:$B$10,2,FALSE),0)*'FL Characterization'!F$2)</f>
        <v>26.579735924746682</v>
      </c>
      <c r="G2" s="2">
        <f>('[1]Pc, Spring, S1'!G2*Main!$B$5)+(_xlfn.IFNA(VLOOKUP($A2,'FL Ratio'!$A$3:$B$10,2,FALSE),0)*'FL Characterization'!G$2)</f>
        <v>27.77570847205001</v>
      </c>
      <c r="H2" s="2">
        <f>('[1]Pc, Spring, S1'!H2*Main!$B$5)+(_xlfn.IFNA(VLOOKUP($A2,'FL Ratio'!$A$3:$B$10,2,FALSE),0)*'FL Characterization'!H$2)</f>
        <v>31.240938615322218</v>
      </c>
      <c r="I2" s="2">
        <f>('[1]Pc, Spring, S1'!I2*Main!$B$5)+(_xlfn.IFNA(VLOOKUP($A2,'FL Ratio'!$A$3:$B$10,2,FALSE),0)*'FL Characterization'!I$2)</f>
        <v>38.992113279562652</v>
      </c>
      <c r="J2" s="2">
        <f>('[1]Pc, Spring, S1'!J2*Main!$B$5)+(_xlfn.IFNA(VLOOKUP($A2,'FL Ratio'!$A$3:$B$10,2,FALSE),0)*'FL Characterization'!J$2)</f>
        <v>41.788994826627984</v>
      </c>
      <c r="K2" s="2">
        <f>('[1]Pc, Spring, S1'!K2*Main!$B$5)+(_xlfn.IFNA(VLOOKUP($A2,'FL Ratio'!$A$3:$B$10,2,FALSE),0)*'FL Characterization'!K$2)</f>
        <v>43.787486792118727</v>
      </c>
      <c r="L2" s="2">
        <f>('[1]Pc, Spring, S1'!L2*Main!$B$5)+(_xlfn.IFNA(VLOOKUP($A2,'FL Ratio'!$A$3:$B$10,2,FALSE),0)*'FL Characterization'!L$2)</f>
        <v>45.235261643018703</v>
      </c>
      <c r="M2" s="2">
        <f>('[1]Pc, Spring, S1'!M2*Main!$B$5)+(_xlfn.IFNA(VLOOKUP($A2,'FL Ratio'!$A$3:$B$10,2,FALSE),0)*'FL Characterization'!M$2)</f>
        <v>44.041399314829384</v>
      </c>
      <c r="N2" s="2">
        <f>('[1]Pc, Spring, S1'!N2*Main!$B$5)+(_xlfn.IFNA(VLOOKUP($A2,'FL Ratio'!$A$3:$B$10,2,FALSE),0)*'FL Characterization'!N$2)</f>
        <v>44.736838105972332</v>
      </c>
      <c r="O2" s="2">
        <f>('[1]Pc, Spring, S1'!O2*Main!$B$5)+(_xlfn.IFNA(VLOOKUP($A2,'FL Ratio'!$A$3:$B$10,2,FALSE),0)*'FL Characterization'!O$2)</f>
        <v>45.636977975507243</v>
      </c>
      <c r="P2" s="2">
        <f>('[1]Pc, Spring, S1'!P2*Main!$B$5)+(_xlfn.IFNA(VLOOKUP($A2,'FL Ratio'!$A$3:$B$10,2,FALSE),0)*'FL Characterization'!P$2)</f>
        <v>41.908115204757216</v>
      </c>
      <c r="Q2" s="2">
        <f>('[1]Pc, Spring, S1'!Q2*Main!$B$5)+(_xlfn.IFNA(VLOOKUP($A2,'FL Ratio'!$A$3:$B$10,2,FALSE),0)*'FL Characterization'!Q$2)</f>
        <v>38.669991623205711</v>
      </c>
      <c r="R2" s="2">
        <f>('[1]Pc, Spring, S1'!R2*Main!$B$5)+(_xlfn.IFNA(VLOOKUP($A2,'FL Ratio'!$A$3:$B$10,2,FALSE),0)*'FL Characterization'!R$2)</f>
        <v>40.131672978112611</v>
      </c>
      <c r="S2" s="2">
        <f>('[1]Pc, Spring, S1'!S2*Main!$B$5)+(_xlfn.IFNA(VLOOKUP($A2,'FL Ratio'!$A$3:$B$10,2,FALSE),0)*'FL Characterization'!S$2)</f>
        <v>42.178796173683736</v>
      </c>
      <c r="T2" s="2">
        <f>('[1]Pc, Spring, S1'!T2*Main!$B$5)+(_xlfn.IFNA(VLOOKUP($A2,'FL Ratio'!$A$3:$B$10,2,FALSE),0)*'FL Characterization'!T$2)</f>
        <v>44.701793061057543</v>
      </c>
      <c r="U2" s="2">
        <f>('[1]Pc, Spring, S1'!U2*Main!$B$5)+(_xlfn.IFNA(VLOOKUP($A2,'FL Ratio'!$A$3:$B$10,2,FALSE),0)*'FL Characterization'!U$2)</f>
        <v>43.917930327172066</v>
      </c>
      <c r="V2" s="2">
        <f>('[1]Pc, Spring, S1'!V2*Main!$B$5)+(_xlfn.IFNA(VLOOKUP($A2,'FL Ratio'!$A$3:$B$10,2,FALSE),0)*'FL Characterization'!V$2)</f>
        <v>42.309779401738638</v>
      </c>
      <c r="W2" s="2">
        <f>('[1]Pc, Spring, S1'!W2*Main!$B$5)+(_xlfn.IFNA(VLOOKUP($A2,'FL Ratio'!$A$3:$B$10,2,FALSE),0)*'FL Characterization'!W$2)</f>
        <v>43.848740720574376</v>
      </c>
      <c r="X2" s="2">
        <f>('[1]Pc, Spring, S1'!X2*Main!$B$5)+(_xlfn.IFNA(VLOOKUP($A2,'FL Ratio'!$A$3:$B$10,2,FALSE),0)*'FL Characterization'!X$2)</f>
        <v>36.741669841359219</v>
      </c>
      <c r="Y2" s="2">
        <f>('[1]Pc, Spring, S1'!Y2*Main!$B$5)+(_xlfn.IFNA(VLOOKUP($A2,'FL Ratio'!$A$3:$B$10,2,FALSE),0)*'FL Characterization'!Y$2)</f>
        <v>36.893365058097643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32.552272470502011</v>
      </c>
      <c r="C3" s="2">
        <f>('[1]Pc, Spring, S1'!C3*Main!$B$5)+(_xlfn.IFNA(VLOOKUP($A3,'FL Ratio'!$A$3:$B$10,2,FALSE),0)*'FL Characterization'!C$2)</f>
        <v>31.571137920722457</v>
      </c>
      <c r="D3" s="2">
        <f>('[1]Pc, Spring, S1'!D3*Main!$B$5)+(_xlfn.IFNA(VLOOKUP($A3,'FL Ratio'!$A$3:$B$10,2,FALSE),0)*'FL Characterization'!D$2)</f>
        <v>28.349974983945643</v>
      </c>
      <c r="E3" s="2">
        <f>('[1]Pc, Spring, S1'!E3*Main!$B$5)+(_xlfn.IFNA(VLOOKUP($A3,'FL Ratio'!$A$3:$B$10,2,FALSE),0)*'FL Characterization'!E$2)</f>
        <v>29.247889509513794</v>
      </c>
      <c r="F3" s="2">
        <f>('[1]Pc, Spring, S1'!F3*Main!$B$5)+(_xlfn.IFNA(VLOOKUP($A3,'FL Ratio'!$A$3:$B$10,2,FALSE),0)*'FL Characterization'!F$2)</f>
        <v>28.013260798819715</v>
      </c>
      <c r="G3" s="2">
        <f>('[1]Pc, Spring, S1'!G3*Main!$B$5)+(_xlfn.IFNA(VLOOKUP($A3,'FL Ratio'!$A$3:$B$10,2,FALSE),0)*'FL Characterization'!G$2)</f>
        <v>30.716252449032929</v>
      </c>
      <c r="H3" s="2">
        <f>('[1]Pc, Spring, S1'!H3*Main!$B$5)+(_xlfn.IFNA(VLOOKUP($A3,'FL Ratio'!$A$3:$B$10,2,FALSE),0)*'FL Characterization'!H$2)</f>
        <v>39.93950323881171</v>
      </c>
      <c r="I3" s="2">
        <f>('[1]Pc, Spring, S1'!I3*Main!$B$5)+(_xlfn.IFNA(VLOOKUP($A3,'FL Ratio'!$A$3:$B$10,2,FALSE),0)*'FL Characterization'!I$2)</f>
        <v>45.647157021946072</v>
      </c>
      <c r="J3" s="2">
        <f>('[1]Pc, Spring, S1'!J3*Main!$B$5)+(_xlfn.IFNA(VLOOKUP($A3,'FL Ratio'!$A$3:$B$10,2,FALSE),0)*'FL Characterization'!J$2)</f>
        <v>49.549360493821865</v>
      </c>
      <c r="K3" s="2">
        <f>('[1]Pc, Spring, S1'!K3*Main!$B$5)+(_xlfn.IFNA(VLOOKUP($A3,'FL Ratio'!$A$3:$B$10,2,FALSE),0)*'FL Characterization'!K$2)</f>
        <v>48.253757526582262</v>
      </c>
      <c r="L3" s="2">
        <f>('[1]Pc, Spring, S1'!L3*Main!$B$5)+(_xlfn.IFNA(VLOOKUP($A3,'FL Ratio'!$A$3:$B$10,2,FALSE),0)*'FL Characterization'!L$2)</f>
        <v>45.443342770823996</v>
      </c>
      <c r="M3" s="2">
        <f>('[1]Pc, Spring, S1'!M3*Main!$B$5)+(_xlfn.IFNA(VLOOKUP($A3,'FL Ratio'!$A$3:$B$10,2,FALSE),0)*'FL Characterization'!M$2)</f>
        <v>49.592934938167275</v>
      </c>
      <c r="N3" s="2">
        <f>('[1]Pc, Spring, S1'!N3*Main!$B$5)+(_xlfn.IFNA(VLOOKUP($A3,'FL Ratio'!$A$3:$B$10,2,FALSE),0)*'FL Characterization'!N$2)</f>
        <v>47.851815487765677</v>
      </c>
      <c r="O3" s="2">
        <f>('[1]Pc, Spring, S1'!O3*Main!$B$5)+(_xlfn.IFNA(VLOOKUP($A3,'FL Ratio'!$A$3:$B$10,2,FALSE),0)*'FL Characterization'!O$2)</f>
        <v>46.211766194486394</v>
      </c>
      <c r="P3" s="2">
        <f>('[1]Pc, Spring, S1'!P3*Main!$B$5)+(_xlfn.IFNA(VLOOKUP($A3,'FL Ratio'!$A$3:$B$10,2,FALSE),0)*'FL Characterization'!P$2)</f>
        <v>45.578162506058788</v>
      </c>
      <c r="Q3" s="2">
        <f>('[1]Pc, Spring, S1'!Q3*Main!$B$5)+(_xlfn.IFNA(VLOOKUP($A3,'FL Ratio'!$A$3:$B$10,2,FALSE),0)*'FL Characterization'!Q$2)</f>
        <v>43.756030886779982</v>
      </c>
      <c r="R3" s="2">
        <f>('[1]Pc, Spring, S1'!R3*Main!$B$5)+(_xlfn.IFNA(VLOOKUP($A3,'FL Ratio'!$A$3:$B$10,2,FALSE),0)*'FL Characterization'!R$2)</f>
        <v>40.406543770559743</v>
      </c>
      <c r="S3" s="2">
        <f>('[1]Pc, Spring, S1'!S3*Main!$B$5)+(_xlfn.IFNA(VLOOKUP($A3,'FL Ratio'!$A$3:$B$10,2,FALSE),0)*'FL Characterization'!S$2)</f>
        <v>44.583570709805088</v>
      </c>
      <c r="T3" s="2">
        <f>('[1]Pc, Spring, S1'!T3*Main!$B$5)+(_xlfn.IFNA(VLOOKUP($A3,'FL Ratio'!$A$3:$B$10,2,FALSE),0)*'FL Characterization'!T$2)</f>
        <v>44.431961645849235</v>
      </c>
      <c r="U3" s="2">
        <f>('[1]Pc, Spring, S1'!U3*Main!$B$5)+(_xlfn.IFNA(VLOOKUP($A3,'FL Ratio'!$A$3:$B$10,2,FALSE),0)*'FL Characterization'!U$2)</f>
        <v>43.096879382326058</v>
      </c>
      <c r="V3" s="2">
        <f>('[1]Pc, Spring, S1'!V3*Main!$B$5)+(_xlfn.IFNA(VLOOKUP($A3,'FL Ratio'!$A$3:$B$10,2,FALSE),0)*'FL Characterization'!V$2)</f>
        <v>41.399725795957679</v>
      </c>
      <c r="W3" s="2">
        <f>('[1]Pc, Spring, S1'!W3*Main!$B$5)+(_xlfn.IFNA(VLOOKUP($A3,'FL Ratio'!$A$3:$B$10,2,FALSE),0)*'FL Characterization'!W$2)</f>
        <v>40.592670281544358</v>
      </c>
      <c r="X3" s="2">
        <f>('[1]Pc, Spring, S1'!X3*Main!$B$5)+(_xlfn.IFNA(VLOOKUP($A3,'FL Ratio'!$A$3:$B$10,2,FALSE),0)*'FL Characterization'!X$2)</f>
        <v>38.519020276181941</v>
      </c>
      <c r="Y3" s="2">
        <f>('[1]Pc, Spring, S1'!Y3*Main!$B$5)+(_xlfn.IFNA(VLOOKUP($A3,'FL Ratio'!$A$3:$B$10,2,FALSE),0)*'FL Characterization'!Y$2)</f>
        <v>36.077298458782877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44.508112653366162</v>
      </c>
      <c r="C4" s="2">
        <f>('[1]Pc, Spring, S1'!C4*Main!$B$5)+(_xlfn.IFNA(VLOOKUP($A4,'FL Ratio'!$A$3:$B$10,2,FALSE),0)*'FL Characterization'!C$2)</f>
        <v>39.058878993063267</v>
      </c>
      <c r="D4" s="2">
        <f>('[1]Pc, Spring, S1'!D4*Main!$B$5)+(_xlfn.IFNA(VLOOKUP($A4,'FL Ratio'!$A$3:$B$10,2,FALSE),0)*'FL Characterization'!D$2)</f>
        <v>39.164765793414169</v>
      </c>
      <c r="E4" s="2">
        <f>('[1]Pc, Spring, S1'!E4*Main!$B$5)+(_xlfn.IFNA(VLOOKUP($A4,'FL Ratio'!$A$3:$B$10,2,FALSE),0)*'FL Characterization'!E$2)</f>
        <v>36.105307068801721</v>
      </c>
      <c r="F4" s="2">
        <f>('[1]Pc, Spring, S1'!F4*Main!$B$5)+(_xlfn.IFNA(VLOOKUP($A4,'FL Ratio'!$A$3:$B$10,2,FALSE),0)*'FL Characterization'!F$2)</f>
        <v>38.1094114380302</v>
      </c>
      <c r="G4" s="2">
        <f>('[1]Pc, Spring, S1'!G4*Main!$B$5)+(_xlfn.IFNA(VLOOKUP($A4,'FL Ratio'!$A$3:$B$10,2,FALSE),0)*'FL Characterization'!G$2)</f>
        <v>37.378569460914413</v>
      </c>
      <c r="H4" s="2">
        <f>('[1]Pc, Spring, S1'!H4*Main!$B$5)+(_xlfn.IFNA(VLOOKUP($A4,'FL Ratio'!$A$3:$B$10,2,FALSE),0)*'FL Characterization'!H$2)</f>
        <v>43.758390691877864</v>
      </c>
      <c r="I4" s="2">
        <f>('[1]Pc, Spring, S1'!I4*Main!$B$5)+(_xlfn.IFNA(VLOOKUP($A4,'FL Ratio'!$A$3:$B$10,2,FALSE),0)*'FL Characterization'!I$2)</f>
        <v>47.273840175676398</v>
      </c>
      <c r="J4" s="2">
        <f>('[1]Pc, Spring, S1'!J4*Main!$B$5)+(_xlfn.IFNA(VLOOKUP($A4,'FL Ratio'!$A$3:$B$10,2,FALSE),0)*'FL Characterization'!J$2)</f>
        <v>54.621912185876383</v>
      </c>
      <c r="K4" s="2">
        <f>('[1]Pc, Spring, S1'!K4*Main!$B$5)+(_xlfn.IFNA(VLOOKUP($A4,'FL Ratio'!$A$3:$B$10,2,FALSE),0)*'FL Characterization'!K$2)</f>
        <v>56.139405763637797</v>
      </c>
      <c r="L4" s="2">
        <f>('[1]Pc, Spring, S1'!L4*Main!$B$5)+(_xlfn.IFNA(VLOOKUP($A4,'FL Ratio'!$A$3:$B$10,2,FALSE),0)*'FL Characterization'!L$2)</f>
        <v>58.016944684737695</v>
      </c>
      <c r="M4" s="2">
        <f>('[1]Pc, Spring, S1'!M4*Main!$B$5)+(_xlfn.IFNA(VLOOKUP($A4,'FL Ratio'!$A$3:$B$10,2,FALSE),0)*'FL Characterization'!M$2)</f>
        <v>61.226496243791154</v>
      </c>
      <c r="N4" s="2">
        <f>('[1]Pc, Spring, S1'!N4*Main!$B$5)+(_xlfn.IFNA(VLOOKUP($A4,'FL Ratio'!$A$3:$B$10,2,FALSE),0)*'FL Characterization'!N$2)</f>
        <v>61.762460659275689</v>
      </c>
      <c r="O4" s="2">
        <f>('[1]Pc, Spring, S1'!O4*Main!$B$5)+(_xlfn.IFNA(VLOOKUP($A4,'FL Ratio'!$A$3:$B$10,2,FALSE),0)*'FL Characterization'!O$2)</f>
        <v>61.608132186542854</v>
      </c>
      <c r="P4" s="2">
        <f>('[1]Pc, Spring, S1'!P4*Main!$B$5)+(_xlfn.IFNA(VLOOKUP($A4,'FL Ratio'!$A$3:$B$10,2,FALSE),0)*'FL Characterization'!P$2)</f>
        <v>58.249633914435925</v>
      </c>
      <c r="Q4" s="2">
        <f>('[1]Pc, Spring, S1'!Q4*Main!$B$5)+(_xlfn.IFNA(VLOOKUP($A4,'FL Ratio'!$A$3:$B$10,2,FALSE),0)*'FL Characterization'!Q$2)</f>
        <v>58.835146273461092</v>
      </c>
      <c r="R4" s="2">
        <f>('[1]Pc, Spring, S1'!R4*Main!$B$5)+(_xlfn.IFNA(VLOOKUP($A4,'FL Ratio'!$A$3:$B$10,2,FALSE),0)*'FL Characterization'!R$2)</f>
        <v>58.293007469896025</v>
      </c>
      <c r="S4" s="2">
        <f>('[1]Pc, Spring, S1'!S4*Main!$B$5)+(_xlfn.IFNA(VLOOKUP($A4,'FL Ratio'!$A$3:$B$10,2,FALSE),0)*'FL Characterization'!S$2)</f>
        <v>60.575830365333012</v>
      </c>
      <c r="T4" s="2">
        <f>('[1]Pc, Spring, S1'!T4*Main!$B$5)+(_xlfn.IFNA(VLOOKUP($A4,'FL Ratio'!$A$3:$B$10,2,FALSE),0)*'FL Characterization'!T$2)</f>
        <v>60.188094293826992</v>
      </c>
      <c r="U4" s="2">
        <f>('[1]Pc, Spring, S1'!U4*Main!$B$5)+(_xlfn.IFNA(VLOOKUP($A4,'FL Ratio'!$A$3:$B$10,2,FALSE),0)*'FL Characterization'!U$2)</f>
        <v>58.829942389230276</v>
      </c>
      <c r="V4" s="2">
        <f>('[1]Pc, Spring, S1'!V4*Main!$B$5)+(_xlfn.IFNA(VLOOKUP($A4,'FL Ratio'!$A$3:$B$10,2,FALSE),0)*'FL Characterization'!V$2)</f>
        <v>57.634155671094774</v>
      </c>
      <c r="W4" s="2">
        <f>('[1]Pc, Spring, S1'!W4*Main!$B$5)+(_xlfn.IFNA(VLOOKUP($A4,'FL Ratio'!$A$3:$B$10,2,FALSE),0)*'FL Characterization'!W$2)</f>
        <v>60.170167060933153</v>
      </c>
      <c r="X4" s="2">
        <f>('[1]Pc, Spring, S1'!X4*Main!$B$5)+(_xlfn.IFNA(VLOOKUP($A4,'FL Ratio'!$A$3:$B$10,2,FALSE),0)*'FL Characterization'!X$2)</f>
        <v>56.451753044426553</v>
      </c>
      <c r="Y4" s="2">
        <f>('[1]Pc, Spring, S1'!Y4*Main!$B$5)+(_xlfn.IFNA(VLOOKUP($A4,'FL Ratio'!$A$3:$B$10,2,FALSE),0)*'FL Characterization'!Y$2)</f>
        <v>51.759848903315962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E6CD5-359B-48BB-A2E5-55802D9FB142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32.586866348400704</v>
      </c>
      <c r="C2" s="2">
        <f>('[1]Pc, Spring, S2'!C2*Main!$B$5)+(_xlfn.IFNA(VLOOKUP($A2,'FL Ratio'!$A$3:$B$10,2,FALSE),0)*'FL Characterization'!C$2)</f>
        <v>29.132534035369606</v>
      </c>
      <c r="D2" s="2">
        <f>('[1]Pc, Spring, S2'!D2*Main!$B$5)+(_xlfn.IFNA(VLOOKUP($A2,'FL Ratio'!$A$3:$B$10,2,FALSE),0)*'FL Characterization'!D$2)</f>
        <v>27.784167953186973</v>
      </c>
      <c r="E2" s="2">
        <f>('[1]Pc, Spring, S2'!E2*Main!$B$5)+(_xlfn.IFNA(VLOOKUP($A2,'FL Ratio'!$A$3:$B$10,2,FALSE),0)*'FL Characterization'!E$2)</f>
        <v>27.72026357965856</v>
      </c>
      <c r="F2" s="2">
        <f>('[1]Pc, Spring, S2'!F2*Main!$B$5)+(_xlfn.IFNA(VLOOKUP($A2,'FL Ratio'!$A$3:$B$10,2,FALSE),0)*'FL Characterization'!F$2)</f>
        <v>27.377128002489087</v>
      </c>
      <c r="G2" s="2">
        <f>('[1]Pc, Spring, S2'!G2*Main!$B$5)+(_xlfn.IFNA(VLOOKUP($A2,'FL Ratio'!$A$3:$B$10,2,FALSE),0)*'FL Characterization'!G$2)</f>
        <v>28.608979726211508</v>
      </c>
      <c r="H2" s="2">
        <f>('[1]Pc, Spring, S2'!H2*Main!$B$5)+(_xlfn.IFNA(VLOOKUP($A2,'FL Ratio'!$A$3:$B$10,2,FALSE),0)*'FL Characterization'!H$2)</f>
        <v>32.178166773781882</v>
      </c>
      <c r="I2" s="2">
        <f>('[1]Pc, Spring, S2'!I2*Main!$B$5)+(_xlfn.IFNA(VLOOKUP($A2,'FL Ratio'!$A$3:$B$10,2,FALSE),0)*'FL Characterization'!I$2)</f>
        <v>40.161876677949529</v>
      </c>
      <c r="J2" s="2">
        <f>('[1]Pc, Spring, S2'!J2*Main!$B$5)+(_xlfn.IFNA(VLOOKUP($A2,'FL Ratio'!$A$3:$B$10,2,FALSE),0)*'FL Characterization'!J$2)</f>
        <v>43.042664671426827</v>
      </c>
      <c r="K2" s="2">
        <f>('[1]Pc, Spring, S2'!K2*Main!$B$5)+(_xlfn.IFNA(VLOOKUP($A2,'FL Ratio'!$A$3:$B$10,2,FALSE),0)*'FL Characterization'!K$2)</f>
        <v>45.101111395882292</v>
      </c>
      <c r="L2" s="2">
        <f>('[1]Pc, Spring, S2'!L2*Main!$B$5)+(_xlfn.IFNA(VLOOKUP($A2,'FL Ratio'!$A$3:$B$10,2,FALSE),0)*'FL Characterization'!L$2)</f>
        <v>46.592319492309265</v>
      </c>
      <c r="M2" s="2">
        <f>('[1]Pc, Spring, S2'!M2*Main!$B$5)+(_xlfn.IFNA(VLOOKUP($A2,'FL Ratio'!$A$3:$B$10,2,FALSE),0)*'FL Characterization'!M$2)</f>
        <v>45.362641294274276</v>
      </c>
      <c r="N2" s="2">
        <f>('[1]Pc, Spring, S2'!N2*Main!$B$5)+(_xlfn.IFNA(VLOOKUP($A2,'FL Ratio'!$A$3:$B$10,2,FALSE),0)*'FL Characterization'!N$2)</f>
        <v>46.078943249151507</v>
      </c>
      <c r="O2" s="2">
        <f>('[1]Pc, Spring, S2'!O2*Main!$B$5)+(_xlfn.IFNA(VLOOKUP($A2,'FL Ratio'!$A$3:$B$10,2,FALSE),0)*'FL Characterization'!O$2)</f>
        <v>47.006087314772458</v>
      </c>
      <c r="P2" s="2">
        <f>('[1]Pc, Spring, S2'!P2*Main!$B$5)+(_xlfn.IFNA(VLOOKUP($A2,'FL Ratio'!$A$3:$B$10,2,FALSE),0)*'FL Characterization'!P$2)</f>
        <v>43.165358660899933</v>
      </c>
      <c r="Q2" s="2">
        <f>('[1]Pc, Spring, S2'!Q2*Main!$B$5)+(_xlfn.IFNA(VLOOKUP($A2,'FL Ratio'!$A$3:$B$10,2,FALSE),0)*'FL Characterization'!Q$2)</f>
        <v>39.830091371901887</v>
      </c>
      <c r="R2" s="2">
        <f>('[1]Pc, Spring, S2'!R2*Main!$B$5)+(_xlfn.IFNA(VLOOKUP($A2,'FL Ratio'!$A$3:$B$10,2,FALSE),0)*'FL Characterization'!R$2)</f>
        <v>41.335623167455992</v>
      </c>
      <c r="S2" s="2">
        <f>('[1]Pc, Spring, S2'!S2*Main!$B$5)+(_xlfn.IFNA(VLOOKUP($A2,'FL Ratio'!$A$3:$B$10,2,FALSE),0)*'FL Characterization'!S$2)</f>
        <v>43.444160058894248</v>
      </c>
      <c r="T2" s="2">
        <f>('[1]Pc, Spring, S2'!T2*Main!$B$5)+(_xlfn.IFNA(VLOOKUP($A2,'FL Ratio'!$A$3:$B$10,2,FALSE),0)*'FL Characterization'!T$2)</f>
        <v>46.042846852889269</v>
      </c>
      <c r="U2" s="2">
        <f>('[1]Pc, Spring, S2'!U2*Main!$B$5)+(_xlfn.IFNA(VLOOKUP($A2,'FL Ratio'!$A$3:$B$10,2,FALSE),0)*'FL Characterization'!U$2)</f>
        <v>45.235468236987231</v>
      </c>
      <c r="V2" s="2">
        <f>('[1]Pc, Spring, S2'!V2*Main!$B$5)+(_xlfn.IFNA(VLOOKUP($A2,'FL Ratio'!$A$3:$B$10,2,FALSE),0)*'FL Characterization'!V$2)</f>
        <v>43.579072783790799</v>
      </c>
      <c r="W2" s="2">
        <f>('[1]Pc, Spring, S2'!W2*Main!$B$5)+(_xlfn.IFNA(VLOOKUP($A2,'FL Ratio'!$A$3:$B$10,2,FALSE),0)*'FL Characterization'!W$2)</f>
        <v>45.164202942191608</v>
      </c>
      <c r="X2" s="2">
        <f>('[1]Pc, Spring, S2'!X2*Main!$B$5)+(_xlfn.IFNA(VLOOKUP($A2,'FL Ratio'!$A$3:$B$10,2,FALSE),0)*'FL Characterization'!X$2)</f>
        <v>37.843919936599988</v>
      </c>
      <c r="Y2" s="2">
        <f>('[1]Pc, Spring, S2'!Y2*Main!$B$5)+(_xlfn.IFNA(VLOOKUP($A2,'FL Ratio'!$A$3:$B$10,2,FALSE),0)*'FL Characterization'!Y$2)</f>
        <v>38.000166009840584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33.471825477404046</v>
      </c>
      <c r="C3" s="2">
        <f>('[1]Pc, Spring, S2'!C3*Main!$B$5)+(_xlfn.IFNA(VLOOKUP($A3,'FL Ratio'!$A$3:$B$10,2,FALSE),0)*'FL Characterization'!C$2)</f>
        <v>32.459354993925245</v>
      </c>
      <c r="D3" s="2">
        <f>('[1]Pc, Spring, S2'!D3*Main!$B$5)+(_xlfn.IFNA(VLOOKUP($A3,'FL Ratio'!$A$3:$B$10,2,FALSE),0)*'FL Characterization'!D$2)</f>
        <v>29.147717460482674</v>
      </c>
      <c r="E3" s="2">
        <f>('[1]Pc, Spring, S2'!E3*Main!$B$5)+(_xlfn.IFNA(VLOOKUP($A3,'FL Ratio'!$A$3:$B$10,2,FALSE),0)*'FL Characterization'!E$2)</f>
        <v>30.075320214605867</v>
      </c>
      <c r="F3" s="2">
        <f>('[1]Pc, Spring, S2'!F3*Main!$B$5)+(_xlfn.IFNA(VLOOKUP($A3,'FL Ratio'!$A$3:$B$10,2,FALSE),0)*'FL Characterization'!F$2)</f>
        <v>28.812688973705683</v>
      </c>
      <c r="G3" s="2">
        <f>('[1]Pc, Spring, S2'!G3*Main!$B$5)+(_xlfn.IFNA(VLOOKUP($A3,'FL Ratio'!$A$3:$B$10,2,FALSE),0)*'FL Characterization'!G$2)</f>
        <v>31.602967775052221</v>
      </c>
      <c r="H3" s="2">
        <f>('[1]Pc, Spring, S2'!H3*Main!$B$5)+(_xlfn.IFNA(VLOOKUP($A3,'FL Ratio'!$A$3:$B$10,2,FALSE),0)*'FL Characterization'!H$2)</f>
        <v>41.095164697717024</v>
      </c>
      <c r="I3" s="2">
        <f>('[1]Pc, Spring, S2'!I3*Main!$B$5)+(_xlfn.IFNA(VLOOKUP($A3,'FL Ratio'!$A$3:$B$10,2,FALSE),0)*'FL Characterization'!I$2)</f>
        <v>47.00918680491727</v>
      </c>
      <c r="J3" s="2">
        <f>('[1]Pc, Spring, S2'!J3*Main!$B$5)+(_xlfn.IFNA(VLOOKUP($A3,'FL Ratio'!$A$3:$B$10,2,FALSE),0)*'FL Characterization'!J$2)</f>
        <v>51.029347025494538</v>
      </c>
      <c r="K3" s="2">
        <f>('[1]Pc, Spring, S2'!K3*Main!$B$5)+(_xlfn.IFNA(VLOOKUP($A3,'FL Ratio'!$A$3:$B$10,2,FALSE),0)*'FL Characterization'!K$2)</f>
        <v>49.691902515313444</v>
      </c>
      <c r="L3" s="2">
        <f>('[1]Pc, Spring, S2'!L3*Main!$B$5)+(_xlfn.IFNA(VLOOKUP($A3,'FL Ratio'!$A$3:$B$10,2,FALSE),0)*'FL Characterization'!L$2)</f>
        <v>46.801067247993949</v>
      </c>
      <c r="M3" s="2">
        <f>('[1]Pc, Spring, S2'!M3*Main!$B$5)+(_xlfn.IFNA(VLOOKUP($A3,'FL Ratio'!$A$3:$B$10,2,FALSE),0)*'FL Characterization'!M$2)</f>
        <v>51.073755548255676</v>
      </c>
      <c r="N3" s="2">
        <f>('[1]Pc, Spring, S2'!N3*Main!$B$5)+(_xlfn.IFNA(VLOOKUP($A3,'FL Ratio'!$A$3:$B$10,2,FALSE),0)*'FL Characterization'!N$2)</f>
        <v>49.276269366999514</v>
      </c>
      <c r="O3" s="2">
        <f>('[1]Pc, Spring, S2'!O3*Main!$B$5)+(_xlfn.IFNA(VLOOKUP($A3,'FL Ratio'!$A$3:$B$10,2,FALSE),0)*'FL Characterization'!O$2)</f>
        <v>47.577666827197383</v>
      </c>
      <c r="P3" s="2">
        <f>('[1]Pc, Spring, S2'!P3*Main!$B$5)+(_xlfn.IFNA(VLOOKUP($A3,'FL Ratio'!$A$3:$B$10,2,FALSE),0)*'FL Characterization'!P$2)</f>
        <v>46.923686589883452</v>
      </c>
      <c r="Q3" s="2">
        <f>('[1]Pc, Spring, S2'!Q3*Main!$B$5)+(_xlfn.IFNA(VLOOKUP($A3,'FL Ratio'!$A$3:$B$10,2,FALSE),0)*'FL Characterization'!Q$2)</f>
        <v>45.047252846372771</v>
      </c>
      <c r="R3" s="2">
        <f>('[1]Pc, Spring, S2'!R3*Main!$B$5)+(_xlfn.IFNA(VLOOKUP($A3,'FL Ratio'!$A$3:$B$10,2,FALSE),0)*'FL Characterization'!R$2)</f>
        <v>41.606702465995497</v>
      </c>
      <c r="S3" s="2">
        <f>('[1]Pc, Spring, S2'!S3*Main!$B$5)+(_xlfn.IFNA(VLOOKUP($A3,'FL Ratio'!$A$3:$B$10,2,FALSE),0)*'FL Characterization'!S$2)</f>
        <v>45.896557273464552</v>
      </c>
      <c r="T3" s="2">
        <f>('[1]Pc, Spring, S2'!T3*Main!$B$5)+(_xlfn.IFNA(VLOOKUP($A3,'FL Ratio'!$A$3:$B$10,2,FALSE),0)*'FL Characterization'!T$2)</f>
        <v>45.750531019291529</v>
      </c>
      <c r="U3" s="2">
        <f>('[1]Pc, Spring, S2'!U3*Main!$B$5)+(_xlfn.IFNA(VLOOKUP($A3,'FL Ratio'!$A$3:$B$10,2,FALSE),0)*'FL Characterization'!U$2)</f>
        <v>44.379668598415357</v>
      </c>
      <c r="V3" s="2">
        <f>('[1]Pc, Spring, S2'!V3*Main!$B$5)+(_xlfn.IFNA(VLOOKUP($A3,'FL Ratio'!$A$3:$B$10,2,FALSE),0)*'FL Characterization'!V$2)</f>
        <v>42.626353951431923</v>
      </c>
      <c r="W3" s="2">
        <f>('[1]Pc, Spring, S2'!W3*Main!$B$5)+(_xlfn.IFNA(VLOOKUP($A3,'FL Ratio'!$A$3:$B$10,2,FALSE),0)*'FL Characterization'!W$2)</f>
        <v>41.800954820282364</v>
      </c>
      <c r="X3" s="2">
        <f>('[1]Pc, Spring, S2'!X3*Main!$B$5)+(_xlfn.IFNA(VLOOKUP($A3,'FL Ratio'!$A$3:$B$10,2,FALSE),0)*'FL Characterization'!X$2)</f>
        <v>39.631250822041949</v>
      </c>
      <c r="Y3" s="2">
        <f>('[1]Pc, Spring, S2'!Y3*Main!$B$5)+(_xlfn.IFNA(VLOOKUP($A3,'FL Ratio'!$A$3:$B$10,2,FALSE),0)*'FL Characterization'!Y$2)</f>
        <v>37.107370904669025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45.786340865754127</v>
      </c>
      <c r="C4" s="2">
        <f>('[1]Pc, Spring, S2'!C4*Main!$B$5)+(_xlfn.IFNA(VLOOKUP($A4,'FL Ratio'!$A$3:$B$10,2,FALSE),0)*'FL Characterization'!C$2)</f>
        <v>40.171728298436278</v>
      </c>
      <c r="D4" s="2">
        <f>('[1]Pc, Spring, S2'!D4*Main!$B$5)+(_xlfn.IFNA(VLOOKUP($A4,'FL Ratio'!$A$3:$B$10,2,FALSE),0)*'FL Characterization'!D$2)</f>
        <v>40.28695199423526</v>
      </c>
      <c r="E4" s="2">
        <f>('[1]Pc, Spring, S2'!E4*Main!$B$5)+(_xlfn.IFNA(VLOOKUP($A4,'FL Ratio'!$A$3:$B$10,2,FALSE),0)*'FL Characterization'!E$2)</f>
        <v>37.138460300672442</v>
      </c>
      <c r="F4" s="2">
        <f>('[1]Pc, Spring, S2'!F4*Main!$B$5)+(_xlfn.IFNA(VLOOKUP($A4,'FL Ratio'!$A$3:$B$10,2,FALSE),0)*'FL Characterization'!F$2)</f>
        <v>39.211724132092485</v>
      </c>
      <c r="G4" s="2">
        <f>('[1]Pc, Spring, S2'!G4*Main!$B$5)+(_xlfn.IFNA(VLOOKUP($A4,'FL Ratio'!$A$3:$B$10,2,FALSE),0)*'FL Characterization'!G$2)</f>
        <v>38.465154297290148</v>
      </c>
      <c r="H4" s="2">
        <f>('[1]Pc, Spring, S2'!H4*Main!$B$5)+(_xlfn.IFNA(VLOOKUP($A4,'FL Ratio'!$A$3:$B$10,2,FALSE),0)*'FL Characterization'!H$2)</f>
        <v>45.028618774375168</v>
      </c>
      <c r="I4" s="2">
        <f>('[1]Pc, Spring, S2'!I4*Main!$B$5)+(_xlfn.IFNA(VLOOKUP($A4,'FL Ratio'!$A$3:$B$10,2,FALSE),0)*'FL Characterization'!I$2)</f>
        <v>48.684670453259514</v>
      </c>
      <c r="J4" s="2">
        <f>('[1]Pc, Spring, S2'!J4*Main!$B$5)+(_xlfn.IFNA(VLOOKUP($A4,'FL Ratio'!$A$3:$B$10,2,FALSE),0)*'FL Characterization'!J$2)</f>
        <v>56.254075268310686</v>
      </c>
      <c r="K4" s="2">
        <f>('[1]Pc, Spring, S2'!K4*Main!$B$5)+(_xlfn.IFNA(VLOOKUP($A4,'FL Ratio'!$A$3:$B$10,2,FALSE),0)*'FL Characterization'!K$2)</f>
        <v>57.814120199480641</v>
      </c>
      <c r="L4" s="2">
        <f>('[1]Pc, Spring, S2'!L4*Main!$B$5)+(_xlfn.IFNA(VLOOKUP($A4,'FL Ratio'!$A$3:$B$10,2,FALSE),0)*'FL Characterization'!L$2)</f>
        <v>59.75187721932506</v>
      </c>
      <c r="M4" s="2">
        <f>('[1]Pc, Spring, S2'!M4*Main!$B$5)+(_xlfn.IFNA(VLOOKUP($A4,'FL Ratio'!$A$3:$B$10,2,FALSE),0)*'FL Characterization'!M$2)</f>
        <v>63.05632369304827</v>
      </c>
      <c r="N4" s="2">
        <f>('[1]Pc, Spring, S2'!N4*Main!$B$5)+(_xlfn.IFNA(VLOOKUP($A4,'FL Ratio'!$A$3:$B$10,2,FALSE),0)*'FL Characterization'!N$2)</f>
        <v>63.604233893654836</v>
      </c>
      <c r="O4" s="2">
        <f>('[1]Pc, Spring, S2'!O4*Main!$B$5)+(_xlfn.IFNA(VLOOKUP($A4,'FL Ratio'!$A$3:$B$10,2,FALSE),0)*'FL Characterization'!O$2)</f>
        <v>63.435923799015534</v>
      </c>
      <c r="P4" s="2">
        <f>('[1]Pc, Spring, S2'!P4*Main!$B$5)+(_xlfn.IFNA(VLOOKUP($A4,'FL Ratio'!$A$3:$B$10,2,FALSE),0)*'FL Characterization'!P$2)</f>
        <v>59.975302140511907</v>
      </c>
      <c r="Q4" s="2">
        <f>('[1]Pc, Spring, S2'!Q4*Main!$B$5)+(_xlfn.IFNA(VLOOKUP($A4,'FL Ratio'!$A$3:$B$10,2,FALSE),0)*'FL Characterization'!Q$2)</f>
        <v>60.578741694654319</v>
      </c>
      <c r="R4" s="2">
        <f>('[1]Pc, Spring, S2'!R4*Main!$B$5)+(_xlfn.IFNA(VLOOKUP($A4,'FL Ratio'!$A$3:$B$10,2,FALSE),0)*'FL Characterization'!R$2)</f>
        <v>60.02976007631186</v>
      </c>
      <c r="S4" s="2">
        <f>('[1]Pc, Spring, S2'!S4*Main!$B$5)+(_xlfn.IFNA(VLOOKUP($A4,'FL Ratio'!$A$3:$B$10,2,FALSE),0)*'FL Characterization'!S$2)</f>
        <v>62.368584718658312</v>
      </c>
      <c r="T4" s="2">
        <f>('[1]Pc, Spring, S2'!T4*Main!$B$5)+(_xlfn.IFNA(VLOOKUP($A4,'FL Ratio'!$A$3:$B$10,2,FALSE),0)*'FL Characterization'!T$2)</f>
        <v>61.979347646708618</v>
      </c>
      <c r="U4" s="2">
        <f>('[1]Pc, Spring, S2'!U4*Main!$B$5)+(_xlfn.IFNA(VLOOKUP($A4,'FL Ratio'!$A$3:$B$10,2,FALSE),0)*'FL Characterization'!U$2)</f>
        <v>60.584723495526703</v>
      </c>
      <c r="V4" s="2">
        <f>('[1]Pc, Spring, S2'!V4*Main!$B$5)+(_xlfn.IFNA(VLOOKUP($A4,'FL Ratio'!$A$3:$B$10,2,FALSE),0)*'FL Characterization'!V$2)</f>
        <v>59.347816722823133</v>
      </c>
      <c r="W4" s="2">
        <f>('[1]Pc, Spring, S2'!W4*Main!$B$5)+(_xlfn.IFNA(VLOOKUP($A4,'FL Ratio'!$A$3:$B$10,2,FALSE),0)*'FL Characterization'!W$2)</f>
        <v>61.965776503052822</v>
      </c>
      <c r="X4" s="2">
        <f>('[1]Pc, Spring, S2'!X4*Main!$B$5)+(_xlfn.IFNA(VLOOKUP($A4,'FL Ratio'!$A$3:$B$10,2,FALSE),0)*'FL Characterization'!X$2)</f>
        <v>58.101965573333899</v>
      </c>
      <c r="Y4" s="2">
        <f>('[1]Pc, Spring, S2'!Y4*Main!$B$5)+(_xlfn.IFNA(VLOOKUP($A4,'FL Ratio'!$A$3:$B$10,2,FALSE),0)*'FL Characterization'!Y$2)</f>
        <v>53.260397862538113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5F3B-A6BB-4568-9E99-BFA17EFF7F46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32.586866348400704</v>
      </c>
      <c r="C2" s="2">
        <f>('[1]Pc, Spring, S2'!C2*Main!$B$5)+(_xlfn.IFNA(VLOOKUP($A2,'FL Ratio'!$A$3:$B$10,2,FALSE),0)*'FL Characterization'!C$2)</f>
        <v>29.132534035369606</v>
      </c>
      <c r="D2" s="2">
        <f>('[1]Pc, Spring, S2'!D2*Main!$B$5)+(_xlfn.IFNA(VLOOKUP($A2,'FL Ratio'!$A$3:$B$10,2,FALSE),0)*'FL Characterization'!D$2)</f>
        <v>27.784167953186973</v>
      </c>
      <c r="E2" s="2">
        <f>('[1]Pc, Spring, S2'!E2*Main!$B$5)+(_xlfn.IFNA(VLOOKUP($A2,'FL Ratio'!$A$3:$B$10,2,FALSE),0)*'FL Characterization'!E$2)</f>
        <v>27.72026357965856</v>
      </c>
      <c r="F2" s="2">
        <f>('[1]Pc, Spring, S2'!F2*Main!$B$5)+(_xlfn.IFNA(VLOOKUP($A2,'FL Ratio'!$A$3:$B$10,2,FALSE),0)*'FL Characterization'!F$2)</f>
        <v>27.377128002489087</v>
      </c>
      <c r="G2" s="2">
        <f>('[1]Pc, Spring, S2'!G2*Main!$B$5)+(_xlfn.IFNA(VLOOKUP($A2,'FL Ratio'!$A$3:$B$10,2,FALSE),0)*'FL Characterization'!G$2)</f>
        <v>28.608979726211508</v>
      </c>
      <c r="H2" s="2">
        <f>('[1]Pc, Spring, S2'!H2*Main!$B$5)+(_xlfn.IFNA(VLOOKUP($A2,'FL Ratio'!$A$3:$B$10,2,FALSE),0)*'FL Characterization'!H$2)</f>
        <v>32.178166773781882</v>
      </c>
      <c r="I2" s="2">
        <f>('[1]Pc, Spring, S2'!I2*Main!$B$5)+(_xlfn.IFNA(VLOOKUP($A2,'FL Ratio'!$A$3:$B$10,2,FALSE),0)*'FL Characterization'!I$2)</f>
        <v>40.161876677949529</v>
      </c>
      <c r="J2" s="2">
        <f>('[1]Pc, Spring, S2'!J2*Main!$B$5)+(_xlfn.IFNA(VLOOKUP($A2,'FL Ratio'!$A$3:$B$10,2,FALSE),0)*'FL Characterization'!J$2)</f>
        <v>43.042664671426827</v>
      </c>
      <c r="K2" s="2">
        <f>('[1]Pc, Spring, S2'!K2*Main!$B$5)+(_xlfn.IFNA(VLOOKUP($A2,'FL Ratio'!$A$3:$B$10,2,FALSE),0)*'FL Characterization'!K$2)</f>
        <v>45.101111395882292</v>
      </c>
      <c r="L2" s="2">
        <f>('[1]Pc, Spring, S2'!L2*Main!$B$5)+(_xlfn.IFNA(VLOOKUP($A2,'FL Ratio'!$A$3:$B$10,2,FALSE),0)*'FL Characterization'!L$2)</f>
        <v>46.592319492309265</v>
      </c>
      <c r="M2" s="2">
        <f>('[1]Pc, Spring, S2'!M2*Main!$B$5)+(_xlfn.IFNA(VLOOKUP($A2,'FL Ratio'!$A$3:$B$10,2,FALSE),0)*'FL Characterization'!M$2)</f>
        <v>45.362641294274276</v>
      </c>
      <c r="N2" s="2">
        <f>('[1]Pc, Spring, S2'!N2*Main!$B$5)+(_xlfn.IFNA(VLOOKUP($A2,'FL Ratio'!$A$3:$B$10,2,FALSE),0)*'FL Characterization'!N$2)</f>
        <v>46.078943249151507</v>
      </c>
      <c r="O2" s="2">
        <f>('[1]Pc, Spring, S2'!O2*Main!$B$5)+(_xlfn.IFNA(VLOOKUP($A2,'FL Ratio'!$A$3:$B$10,2,FALSE),0)*'FL Characterization'!O$2)</f>
        <v>47.006087314772458</v>
      </c>
      <c r="P2" s="2">
        <f>('[1]Pc, Spring, S2'!P2*Main!$B$5)+(_xlfn.IFNA(VLOOKUP($A2,'FL Ratio'!$A$3:$B$10,2,FALSE),0)*'FL Characterization'!P$2)</f>
        <v>43.165358660899933</v>
      </c>
      <c r="Q2" s="2">
        <f>('[1]Pc, Spring, S2'!Q2*Main!$B$5)+(_xlfn.IFNA(VLOOKUP($A2,'FL Ratio'!$A$3:$B$10,2,FALSE),0)*'FL Characterization'!Q$2)</f>
        <v>39.830091371901887</v>
      </c>
      <c r="R2" s="2">
        <f>('[1]Pc, Spring, S2'!R2*Main!$B$5)+(_xlfn.IFNA(VLOOKUP($A2,'FL Ratio'!$A$3:$B$10,2,FALSE),0)*'FL Characterization'!R$2)</f>
        <v>41.335623167455992</v>
      </c>
      <c r="S2" s="2">
        <f>('[1]Pc, Spring, S2'!S2*Main!$B$5)+(_xlfn.IFNA(VLOOKUP($A2,'FL Ratio'!$A$3:$B$10,2,FALSE),0)*'FL Characterization'!S$2)</f>
        <v>43.444160058894248</v>
      </c>
      <c r="T2" s="2">
        <f>('[1]Pc, Spring, S2'!T2*Main!$B$5)+(_xlfn.IFNA(VLOOKUP($A2,'FL Ratio'!$A$3:$B$10,2,FALSE),0)*'FL Characterization'!T$2)</f>
        <v>46.042846852889269</v>
      </c>
      <c r="U2" s="2">
        <f>('[1]Pc, Spring, S2'!U2*Main!$B$5)+(_xlfn.IFNA(VLOOKUP($A2,'FL Ratio'!$A$3:$B$10,2,FALSE),0)*'FL Characterization'!U$2)</f>
        <v>45.235468236987231</v>
      </c>
      <c r="V2" s="2">
        <f>('[1]Pc, Spring, S2'!V2*Main!$B$5)+(_xlfn.IFNA(VLOOKUP($A2,'FL Ratio'!$A$3:$B$10,2,FALSE),0)*'FL Characterization'!V$2)</f>
        <v>43.579072783790799</v>
      </c>
      <c r="W2" s="2">
        <f>('[1]Pc, Spring, S2'!W2*Main!$B$5)+(_xlfn.IFNA(VLOOKUP($A2,'FL Ratio'!$A$3:$B$10,2,FALSE),0)*'FL Characterization'!W$2)</f>
        <v>45.164202942191608</v>
      </c>
      <c r="X2" s="2">
        <f>('[1]Pc, Spring, S2'!X2*Main!$B$5)+(_xlfn.IFNA(VLOOKUP($A2,'FL Ratio'!$A$3:$B$10,2,FALSE),0)*'FL Characterization'!X$2)</f>
        <v>37.843919936599988</v>
      </c>
      <c r="Y2" s="2">
        <f>('[1]Pc, Spring, S2'!Y2*Main!$B$5)+(_xlfn.IFNA(VLOOKUP($A2,'FL Ratio'!$A$3:$B$10,2,FALSE),0)*'FL Characterization'!Y$2)</f>
        <v>38.000166009840584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33.471825477404046</v>
      </c>
      <c r="C3" s="2">
        <f>('[1]Pc, Spring, S2'!C3*Main!$B$5)+(_xlfn.IFNA(VLOOKUP($A3,'FL Ratio'!$A$3:$B$10,2,FALSE),0)*'FL Characterization'!C$2)</f>
        <v>32.459354993925245</v>
      </c>
      <c r="D3" s="2">
        <f>('[1]Pc, Spring, S2'!D3*Main!$B$5)+(_xlfn.IFNA(VLOOKUP($A3,'FL Ratio'!$A$3:$B$10,2,FALSE),0)*'FL Characterization'!D$2)</f>
        <v>29.147717460482674</v>
      </c>
      <c r="E3" s="2">
        <f>('[1]Pc, Spring, S2'!E3*Main!$B$5)+(_xlfn.IFNA(VLOOKUP($A3,'FL Ratio'!$A$3:$B$10,2,FALSE),0)*'FL Characterization'!E$2)</f>
        <v>30.075320214605867</v>
      </c>
      <c r="F3" s="2">
        <f>('[1]Pc, Spring, S2'!F3*Main!$B$5)+(_xlfn.IFNA(VLOOKUP($A3,'FL Ratio'!$A$3:$B$10,2,FALSE),0)*'FL Characterization'!F$2)</f>
        <v>28.812688973705683</v>
      </c>
      <c r="G3" s="2">
        <f>('[1]Pc, Spring, S2'!G3*Main!$B$5)+(_xlfn.IFNA(VLOOKUP($A3,'FL Ratio'!$A$3:$B$10,2,FALSE),0)*'FL Characterization'!G$2)</f>
        <v>31.602967775052221</v>
      </c>
      <c r="H3" s="2">
        <f>('[1]Pc, Spring, S2'!H3*Main!$B$5)+(_xlfn.IFNA(VLOOKUP($A3,'FL Ratio'!$A$3:$B$10,2,FALSE),0)*'FL Characterization'!H$2)</f>
        <v>41.095164697717024</v>
      </c>
      <c r="I3" s="2">
        <f>('[1]Pc, Spring, S2'!I3*Main!$B$5)+(_xlfn.IFNA(VLOOKUP($A3,'FL Ratio'!$A$3:$B$10,2,FALSE),0)*'FL Characterization'!I$2)</f>
        <v>47.00918680491727</v>
      </c>
      <c r="J3" s="2">
        <f>('[1]Pc, Spring, S2'!J3*Main!$B$5)+(_xlfn.IFNA(VLOOKUP($A3,'FL Ratio'!$A$3:$B$10,2,FALSE),0)*'FL Characterization'!J$2)</f>
        <v>51.029347025494538</v>
      </c>
      <c r="K3" s="2">
        <f>('[1]Pc, Spring, S2'!K3*Main!$B$5)+(_xlfn.IFNA(VLOOKUP($A3,'FL Ratio'!$A$3:$B$10,2,FALSE),0)*'FL Characterization'!K$2)</f>
        <v>49.691902515313444</v>
      </c>
      <c r="L3" s="2">
        <f>('[1]Pc, Spring, S2'!L3*Main!$B$5)+(_xlfn.IFNA(VLOOKUP($A3,'FL Ratio'!$A$3:$B$10,2,FALSE),0)*'FL Characterization'!L$2)</f>
        <v>46.801067247993949</v>
      </c>
      <c r="M3" s="2">
        <f>('[1]Pc, Spring, S2'!M3*Main!$B$5)+(_xlfn.IFNA(VLOOKUP($A3,'FL Ratio'!$A$3:$B$10,2,FALSE),0)*'FL Characterization'!M$2)</f>
        <v>51.073755548255676</v>
      </c>
      <c r="N3" s="2">
        <f>('[1]Pc, Spring, S2'!N3*Main!$B$5)+(_xlfn.IFNA(VLOOKUP($A3,'FL Ratio'!$A$3:$B$10,2,FALSE),0)*'FL Characterization'!N$2)</f>
        <v>49.276269366999514</v>
      </c>
      <c r="O3" s="2">
        <f>('[1]Pc, Spring, S2'!O3*Main!$B$5)+(_xlfn.IFNA(VLOOKUP($A3,'FL Ratio'!$A$3:$B$10,2,FALSE),0)*'FL Characterization'!O$2)</f>
        <v>47.577666827197383</v>
      </c>
      <c r="P3" s="2">
        <f>('[1]Pc, Spring, S2'!P3*Main!$B$5)+(_xlfn.IFNA(VLOOKUP($A3,'FL Ratio'!$A$3:$B$10,2,FALSE),0)*'FL Characterization'!P$2)</f>
        <v>46.923686589883452</v>
      </c>
      <c r="Q3" s="2">
        <f>('[1]Pc, Spring, S2'!Q3*Main!$B$5)+(_xlfn.IFNA(VLOOKUP($A3,'FL Ratio'!$A$3:$B$10,2,FALSE),0)*'FL Characterization'!Q$2)</f>
        <v>45.047252846372771</v>
      </c>
      <c r="R3" s="2">
        <f>('[1]Pc, Spring, S2'!R3*Main!$B$5)+(_xlfn.IFNA(VLOOKUP($A3,'FL Ratio'!$A$3:$B$10,2,FALSE),0)*'FL Characterization'!R$2)</f>
        <v>41.606702465995497</v>
      </c>
      <c r="S3" s="2">
        <f>('[1]Pc, Spring, S2'!S3*Main!$B$5)+(_xlfn.IFNA(VLOOKUP($A3,'FL Ratio'!$A$3:$B$10,2,FALSE),0)*'FL Characterization'!S$2)</f>
        <v>45.896557273464552</v>
      </c>
      <c r="T3" s="2">
        <f>('[1]Pc, Spring, S2'!T3*Main!$B$5)+(_xlfn.IFNA(VLOOKUP($A3,'FL Ratio'!$A$3:$B$10,2,FALSE),0)*'FL Characterization'!T$2)</f>
        <v>45.750531019291529</v>
      </c>
      <c r="U3" s="2">
        <f>('[1]Pc, Spring, S2'!U3*Main!$B$5)+(_xlfn.IFNA(VLOOKUP($A3,'FL Ratio'!$A$3:$B$10,2,FALSE),0)*'FL Characterization'!U$2)</f>
        <v>44.379668598415357</v>
      </c>
      <c r="V3" s="2">
        <f>('[1]Pc, Spring, S2'!V3*Main!$B$5)+(_xlfn.IFNA(VLOOKUP($A3,'FL Ratio'!$A$3:$B$10,2,FALSE),0)*'FL Characterization'!V$2)</f>
        <v>42.626353951431923</v>
      </c>
      <c r="W3" s="2">
        <f>('[1]Pc, Spring, S2'!W3*Main!$B$5)+(_xlfn.IFNA(VLOOKUP($A3,'FL Ratio'!$A$3:$B$10,2,FALSE),0)*'FL Characterization'!W$2)</f>
        <v>41.800954820282364</v>
      </c>
      <c r="X3" s="2">
        <f>('[1]Pc, Spring, S2'!X3*Main!$B$5)+(_xlfn.IFNA(VLOOKUP($A3,'FL Ratio'!$A$3:$B$10,2,FALSE),0)*'FL Characterization'!X$2)</f>
        <v>39.631250822041949</v>
      </c>
      <c r="Y3" s="2">
        <f>('[1]Pc, Spring, S2'!Y3*Main!$B$5)+(_xlfn.IFNA(VLOOKUP($A3,'FL Ratio'!$A$3:$B$10,2,FALSE),0)*'FL Characterization'!Y$2)</f>
        <v>37.107370904669025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45.786340865754127</v>
      </c>
      <c r="C4" s="2">
        <f>('[1]Pc, Spring, S2'!C4*Main!$B$5)+(_xlfn.IFNA(VLOOKUP($A4,'FL Ratio'!$A$3:$B$10,2,FALSE),0)*'FL Characterization'!C$2)</f>
        <v>40.171728298436278</v>
      </c>
      <c r="D4" s="2">
        <f>('[1]Pc, Spring, S2'!D4*Main!$B$5)+(_xlfn.IFNA(VLOOKUP($A4,'FL Ratio'!$A$3:$B$10,2,FALSE),0)*'FL Characterization'!D$2)</f>
        <v>40.28695199423526</v>
      </c>
      <c r="E4" s="2">
        <f>('[1]Pc, Spring, S2'!E4*Main!$B$5)+(_xlfn.IFNA(VLOOKUP($A4,'FL Ratio'!$A$3:$B$10,2,FALSE),0)*'FL Characterization'!E$2)</f>
        <v>37.138460300672442</v>
      </c>
      <c r="F4" s="2">
        <f>('[1]Pc, Spring, S2'!F4*Main!$B$5)+(_xlfn.IFNA(VLOOKUP($A4,'FL Ratio'!$A$3:$B$10,2,FALSE),0)*'FL Characterization'!F$2)</f>
        <v>39.211724132092485</v>
      </c>
      <c r="G4" s="2">
        <f>('[1]Pc, Spring, S2'!G4*Main!$B$5)+(_xlfn.IFNA(VLOOKUP($A4,'FL Ratio'!$A$3:$B$10,2,FALSE),0)*'FL Characterization'!G$2)</f>
        <v>38.465154297290148</v>
      </c>
      <c r="H4" s="2">
        <f>('[1]Pc, Spring, S2'!H4*Main!$B$5)+(_xlfn.IFNA(VLOOKUP($A4,'FL Ratio'!$A$3:$B$10,2,FALSE),0)*'FL Characterization'!H$2)</f>
        <v>45.028618774375168</v>
      </c>
      <c r="I4" s="2">
        <f>('[1]Pc, Spring, S2'!I4*Main!$B$5)+(_xlfn.IFNA(VLOOKUP($A4,'FL Ratio'!$A$3:$B$10,2,FALSE),0)*'FL Characterization'!I$2)</f>
        <v>48.684670453259514</v>
      </c>
      <c r="J4" s="2">
        <f>('[1]Pc, Spring, S2'!J4*Main!$B$5)+(_xlfn.IFNA(VLOOKUP($A4,'FL Ratio'!$A$3:$B$10,2,FALSE),0)*'FL Characterization'!J$2)</f>
        <v>56.254075268310686</v>
      </c>
      <c r="K4" s="2">
        <f>('[1]Pc, Spring, S2'!K4*Main!$B$5)+(_xlfn.IFNA(VLOOKUP($A4,'FL Ratio'!$A$3:$B$10,2,FALSE),0)*'FL Characterization'!K$2)</f>
        <v>57.814120199480641</v>
      </c>
      <c r="L4" s="2">
        <f>('[1]Pc, Spring, S2'!L4*Main!$B$5)+(_xlfn.IFNA(VLOOKUP($A4,'FL Ratio'!$A$3:$B$10,2,FALSE),0)*'FL Characterization'!L$2)</f>
        <v>59.75187721932506</v>
      </c>
      <c r="M4" s="2">
        <f>('[1]Pc, Spring, S2'!M4*Main!$B$5)+(_xlfn.IFNA(VLOOKUP($A4,'FL Ratio'!$A$3:$B$10,2,FALSE),0)*'FL Characterization'!M$2)</f>
        <v>63.05632369304827</v>
      </c>
      <c r="N4" s="2">
        <f>('[1]Pc, Spring, S2'!N4*Main!$B$5)+(_xlfn.IFNA(VLOOKUP($A4,'FL Ratio'!$A$3:$B$10,2,FALSE),0)*'FL Characterization'!N$2)</f>
        <v>63.604233893654836</v>
      </c>
      <c r="O4" s="2">
        <f>('[1]Pc, Spring, S2'!O4*Main!$B$5)+(_xlfn.IFNA(VLOOKUP($A4,'FL Ratio'!$A$3:$B$10,2,FALSE),0)*'FL Characterization'!O$2)</f>
        <v>63.435923799015534</v>
      </c>
      <c r="P4" s="2">
        <f>('[1]Pc, Spring, S2'!P4*Main!$B$5)+(_xlfn.IFNA(VLOOKUP($A4,'FL Ratio'!$A$3:$B$10,2,FALSE),0)*'FL Characterization'!P$2)</f>
        <v>59.975302140511907</v>
      </c>
      <c r="Q4" s="2">
        <f>('[1]Pc, Spring, S2'!Q4*Main!$B$5)+(_xlfn.IFNA(VLOOKUP($A4,'FL Ratio'!$A$3:$B$10,2,FALSE),0)*'FL Characterization'!Q$2)</f>
        <v>60.578741694654319</v>
      </c>
      <c r="R4" s="2">
        <f>('[1]Pc, Spring, S2'!R4*Main!$B$5)+(_xlfn.IFNA(VLOOKUP($A4,'FL Ratio'!$A$3:$B$10,2,FALSE),0)*'FL Characterization'!R$2)</f>
        <v>60.02976007631186</v>
      </c>
      <c r="S4" s="2">
        <f>('[1]Pc, Spring, S2'!S4*Main!$B$5)+(_xlfn.IFNA(VLOOKUP($A4,'FL Ratio'!$A$3:$B$10,2,FALSE),0)*'FL Characterization'!S$2)</f>
        <v>62.368584718658312</v>
      </c>
      <c r="T4" s="2">
        <f>('[1]Pc, Spring, S2'!T4*Main!$B$5)+(_xlfn.IFNA(VLOOKUP($A4,'FL Ratio'!$A$3:$B$10,2,FALSE),0)*'FL Characterization'!T$2)</f>
        <v>61.979347646708618</v>
      </c>
      <c r="U4" s="2">
        <f>('[1]Pc, Spring, S2'!U4*Main!$B$5)+(_xlfn.IFNA(VLOOKUP($A4,'FL Ratio'!$A$3:$B$10,2,FALSE),0)*'FL Characterization'!U$2)</f>
        <v>60.584723495526703</v>
      </c>
      <c r="V4" s="2">
        <f>('[1]Pc, Spring, S2'!V4*Main!$B$5)+(_xlfn.IFNA(VLOOKUP($A4,'FL Ratio'!$A$3:$B$10,2,FALSE),0)*'FL Characterization'!V$2)</f>
        <v>59.347816722823133</v>
      </c>
      <c r="W4" s="2">
        <f>('[1]Pc, Spring, S2'!W4*Main!$B$5)+(_xlfn.IFNA(VLOOKUP($A4,'FL Ratio'!$A$3:$B$10,2,FALSE),0)*'FL Characterization'!W$2)</f>
        <v>61.965776503052822</v>
      </c>
      <c r="X4" s="2">
        <f>('[1]Pc, Spring, S2'!X4*Main!$B$5)+(_xlfn.IFNA(VLOOKUP($A4,'FL Ratio'!$A$3:$B$10,2,FALSE),0)*'FL Characterization'!X$2)</f>
        <v>58.101965573333899</v>
      </c>
      <c r="Y4" s="2">
        <f>('[1]Pc, Spring, S2'!Y4*Main!$B$5)+(_xlfn.IFNA(VLOOKUP($A4,'FL Ratio'!$A$3:$B$10,2,FALSE),0)*'FL Characterization'!Y$2)</f>
        <v>53.260397862538113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4355B-28E7-4651-81FC-2564B66FAF14}">
  <dimension ref="A1:Y28"/>
  <sheetViews>
    <sheetView workbookViewId="0">
      <selection activeCell="E17" sqref="E17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32.586866348400704</v>
      </c>
      <c r="C2" s="2">
        <f>('[1]Pc, Spring, S2'!C2*Main!$B$5)+(_xlfn.IFNA(VLOOKUP($A2,'FL Ratio'!$A$3:$B$10,2,FALSE),0)*'FL Characterization'!C$2)</f>
        <v>29.132534035369606</v>
      </c>
      <c r="D2" s="2">
        <f>('[1]Pc, Spring, S2'!D2*Main!$B$5)+(_xlfn.IFNA(VLOOKUP($A2,'FL Ratio'!$A$3:$B$10,2,FALSE),0)*'FL Characterization'!D$2)</f>
        <v>27.784167953186973</v>
      </c>
      <c r="E2" s="2">
        <f>('[1]Pc, Spring, S2'!E2*Main!$B$5)+(_xlfn.IFNA(VLOOKUP($A2,'FL Ratio'!$A$3:$B$10,2,FALSE),0)*'FL Characterization'!E$2)</f>
        <v>27.72026357965856</v>
      </c>
      <c r="F2" s="2">
        <f>('[1]Pc, Spring, S2'!F2*Main!$B$5)+(_xlfn.IFNA(VLOOKUP($A2,'FL Ratio'!$A$3:$B$10,2,FALSE),0)*'FL Characterization'!F$2)</f>
        <v>27.377128002489087</v>
      </c>
      <c r="G2" s="2">
        <f>('[1]Pc, Spring, S2'!G2*Main!$B$5)+(_xlfn.IFNA(VLOOKUP($A2,'FL Ratio'!$A$3:$B$10,2,FALSE),0)*'FL Characterization'!G$2)</f>
        <v>28.608979726211508</v>
      </c>
      <c r="H2" s="2">
        <f>('[1]Pc, Spring, S2'!H2*Main!$B$5)+(_xlfn.IFNA(VLOOKUP($A2,'FL Ratio'!$A$3:$B$10,2,FALSE),0)*'FL Characterization'!H$2)</f>
        <v>32.178166773781882</v>
      </c>
      <c r="I2" s="2">
        <f>('[1]Pc, Spring, S2'!I2*Main!$B$5)+(_xlfn.IFNA(VLOOKUP($A2,'FL Ratio'!$A$3:$B$10,2,FALSE),0)*'FL Characterization'!I$2)</f>
        <v>40.161876677949529</v>
      </c>
      <c r="J2" s="2">
        <f>('[1]Pc, Spring, S2'!J2*Main!$B$5)+(_xlfn.IFNA(VLOOKUP($A2,'FL Ratio'!$A$3:$B$10,2,FALSE),0)*'FL Characterization'!J$2)</f>
        <v>43.042664671426827</v>
      </c>
      <c r="K2" s="2">
        <f>('[1]Pc, Spring, S2'!K2*Main!$B$5)+(_xlfn.IFNA(VLOOKUP($A2,'FL Ratio'!$A$3:$B$10,2,FALSE),0)*'FL Characterization'!K$2)</f>
        <v>45.101111395882292</v>
      </c>
      <c r="L2" s="2">
        <f>('[1]Pc, Spring, S2'!L2*Main!$B$5)+(_xlfn.IFNA(VLOOKUP($A2,'FL Ratio'!$A$3:$B$10,2,FALSE),0)*'FL Characterization'!L$2)</f>
        <v>46.592319492309265</v>
      </c>
      <c r="M2" s="2">
        <f>('[1]Pc, Spring, S2'!M2*Main!$B$5)+(_xlfn.IFNA(VLOOKUP($A2,'FL Ratio'!$A$3:$B$10,2,FALSE),0)*'FL Characterization'!M$2)</f>
        <v>45.362641294274276</v>
      </c>
      <c r="N2" s="2">
        <f>('[1]Pc, Spring, S2'!N2*Main!$B$5)+(_xlfn.IFNA(VLOOKUP($A2,'FL Ratio'!$A$3:$B$10,2,FALSE),0)*'FL Characterization'!N$2)</f>
        <v>46.078943249151507</v>
      </c>
      <c r="O2" s="2">
        <f>('[1]Pc, Spring, S2'!O2*Main!$B$5)+(_xlfn.IFNA(VLOOKUP($A2,'FL Ratio'!$A$3:$B$10,2,FALSE),0)*'FL Characterization'!O$2)</f>
        <v>47.006087314772458</v>
      </c>
      <c r="P2" s="2">
        <f>('[1]Pc, Spring, S2'!P2*Main!$B$5)+(_xlfn.IFNA(VLOOKUP($A2,'FL Ratio'!$A$3:$B$10,2,FALSE),0)*'FL Characterization'!P$2)</f>
        <v>43.165358660899933</v>
      </c>
      <c r="Q2" s="2">
        <f>('[1]Pc, Spring, S2'!Q2*Main!$B$5)+(_xlfn.IFNA(VLOOKUP($A2,'FL Ratio'!$A$3:$B$10,2,FALSE),0)*'FL Characterization'!Q$2)</f>
        <v>39.830091371901887</v>
      </c>
      <c r="R2" s="2">
        <f>('[1]Pc, Spring, S2'!R2*Main!$B$5)+(_xlfn.IFNA(VLOOKUP($A2,'FL Ratio'!$A$3:$B$10,2,FALSE),0)*'FL Characterization'!R$2)</f>
        <v>41.335623167455992</v>
      </c>
      <c r="S2" s="2">
        <f>('[1]Pc, Spring, S2'!S2*Main!$B$5)+(_xlfn.IFNA(VLOOKUP($A2,'FL Ratio'!$A$3:$B$10,2,FALSE),0)*'FL Characterization'!S$2)</f>
        <v>43.444160058894248</v>
      </c>
      <c r="T2" s="2">
        <f>('[1]Pc, Spring, S2'!T2*Main!$B$5)+(_xlfn.IFNA(VLOOKUP($A2,'FL Ratio'!$A$3:$B$10,2,FALSE),0)*'FL Characterization'!T$2)</f>
        <v>46.042846852889269</v>
      </c>
      <c r="U2" s="2">
        <f>('[1]Pc, Spring, S2'!U2*Main!$B$5)+(_xlfn.IFNA(VLOOKUP($A2,'FL Ratio'!$A$3:$B$10,2,FALSE),0)*'FL Characterization'!U$2)</f>
        <v>45.235468236987231</v>
      </c>
      <c r="V2" s="2">
        <f>('[1]Pc, Spring, S2'!V2*Main!$B$5)+(_xlfn.IFNA(VLOOKUP($A2,'FL Ratio'!$A$3:$B$10,2,FALSE),0)*'FL Characterization'!V$2)</f>
        <v>43.579072783790799</v>
      </c>
      <c r="W2" s="2">
        <f>('[1]Pc, Spring, S2'!W2*Main!$B$5)+(_xlfn.IFNA(VLOOKUP($A2,'FL Ratio'!$A$3:$B$10,2,FALSE),0)*'FL Characterization'!W$2)</f>
        <v>45.164202942191608</v>
      </c>
      <c r="X2" s="2">
        <f>('[1]Pc, Spring, S2'!X2*Main!$B$5)+(_xlfn.IFNA(VLOOKUP($A2,'FL Ratio'!$A$3:$B$10,2,FALSE),0)*'FL Characterization'!X$2)</f>
        <v>37.843919936599988</v>
      </c>
      <c r="Y2" s="2">
        <f>('[1]Pc, Spring, S2'!Y2*Main!$B$5)+(_xlfn.IFNA(VLOOKUP($A2,'FL Ratio'!$A$3:$B$10,2,FALSE),0)*'FL Characterization'!Y$2)</f>
        <v>38.000166009840584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33.471825477404046</v>
      </c>
      <c r="C3" s="2">
        <f>('[1]Pc, Spring, S2'!C3*Main!$B$5)+(_xlfn.IFNA(VLOOKUP($A3,'FL Ratio'!$A$3:$B$10,2,FALSE),0)*'FL Characterization'!C$2)</f>
        <v>32.459354993925245</v>
      </c>
      <c r="D3" s="2">
        <f>('[1]Pc, Spring, S2'!D3*Main!$B$5)+(_xlfn.IFNA(VLOOKUP($A3,'FL Ratio'!$A$3:$B$10,2,FALSE),0)*'FL Characterization'!D$2)</f>
        <v>29.147717460482674</v>
      </c>
      <c r="E3" s="2">
        <f>('[1]Pc, Spring, S2'!E3*Main!$B$5)+(_xlfn.IFNA(VLOOKUP($A3,'FL Ratio'!$A$3:$B$10,2,FALSE),0)*'FL Characterization'!E$2)</f>
        <v>30.075320214605867</v>
      </c>
      <c r="F3" s="2">
        <f>('[1]Pc, Spring, S2'!F3*Main!$B$5)+(_xlfn.IFNA(VLOOKUP($A3,'FL Ratio'!$A$3:$B$10,2,FALSE),0)*'FL Characterization'!F$2)</f>
        <v>28.812688973705683</v>
      </c>
      <c r="G3" s="2">
        <f>('[1]Pc, Spring, S2'!G3*Main!$B$5)+(_xlfn.IFNA(VLOOKUP($A3,'FL Ratio'!$A$3:$B$10,2,FALSE),0)*'FL Characterization'!G$2)</f>
        <v>31.602967775052221</v>
      </c>
      <c r="H3" s="2">
        <f>('[1]Pc, Spring, S2'!H3*Main!$B$5)+(_xlfn.IFNA(VLOOKUP($A3,'FL Ratio'!$A$3:$B$10,2,FALSE),0)*'FL Characterization'!H$2)</f>
        <v>41.095164697717024</v>
      </c>
      <c r="I3" s="2">
        <f>('[1]Pc, Spring, S2'!I3*Main!$B$5)+(_xlfn.IFNA(VLOOKUP($A3,'FL Ratio'!$A$3:$B$10,2,FALSE),0)*'FL Characterization'!I$2)</f>
        <v>47.00918680491727</v>
      </c>
      <c r="J3" s="2">
        <f>('[1]Pc, Spring, S2'!J3*Main!$B$5)+(_xlfn.IFNA(VLOOKUP($A3,'FL Ratio'!$A$3:$B$10,2,FALSE),0)*'FL Characterization'!J$2)</f>
        <v>51.029347025494538</v>
      </c>
      <c r="K3" s="2">
        <f>('[1]Pc, Spring, S2'!K3*Main!$B$5)+(_xlfn.IFNA(VLOOKUP($A3,'FL Ratio'!$A$3:$B$10,2,FALSE),0)*'FL Characterization'!K$2)</f>
        <v>49.691902515313444</v>
      </c>
      <c r="L3" s="2">
        <f>('[1]Pc, Spring, S2'!L3*Main!$B$5)+(_xlfn.IFNA(VLOOKUP($A3,'FL Ratio'!$A$3:$B$10,2,FALSE),0)*'FL Characterization'!L$2)</f>
        <v>46.801067247993949</v>
      </c>
      <c r="M3" s="2">
        <f>('[1]Pc, Spring, S2'!M3*Main!$B$5)+(_xlfn.IFNA(VLOOKUP($A3,'FL Ratio'!$A$3:$B$10,2,FALSE),0)*'FL Characterization'!M$2)</f>
        <v>51.073755548255676</v>
      </c>
      <c r="N3" s="2">
        <f>('[1]Pc, Spring, S2'!N3*Main!$B$5)+(_xlfn.IFNA(VLOOKUP($A3,'FL Ratio'!$A$3:$B$10,2,FALSE),0)*'FL Characterization'!N$2)</f>
        <v>49.276269366999514</v>
      </c>
      <c r="O3" s="2">
        <f>('[1]Pc, Spring, S2'!O3*Main!$B$5)+(_xlfn.IFNA(VLOOKUP($A3,'FL Ratio'!$A$3:$B$10,2,FALSE),0)*'FL Characterization'!O$2)</f>
        <v>47.577666827197383</v>
      </c>
      <c r="P3" s="2">
        <f>('[1]Pc, Spring, S2'!P3*Main!$B$5)+(_xlfn.IFNA(VLOOKUP($A3,'FL Ratio'!$A$3:$B$10,2,FALSE),0)*'FL Characterization'!P$2)</f>
        <v>46.923686589883452</v>
      </c>
      <c r="Q3" s="2">
        <f>('[1]Pc, Spring, S2'!Q3*Main!$B$5)+(_xlfn.IFNA(VLOOKUP($A3,'FL Ratio'!$A$3:$B$10,2,FALSE),0)*'FL Characterization'!Q$2)</f>
        <v>45.047252846372771</v>
      </c>
      <c r="R3" s="2">
        <f>('[1]Pc, Spring, S2'!R3*Main!$B$5)+(_xlfn.IFNA(VLOOKUP($A3,'FL Ratio'!$A$3:$B$10,2,FALSE),0)*'FL Characterization'!R$2)</f>
        <v>41.606702465995497</v>
      </c>
      <c r="S3" s="2">
        <f>('[1]Pc, Spring, S2'!S3*Main!$B$5)+(_xlfn.IFNA(VLOOKUP($A3,'FL Ratio'!$A$3:$B$10,2,FALSE),0)*'FL Characterization'!S$2)</f>
        <v>45.896557273464552</v>
      </c>
      <c r="T3" s="2">
        <f>('[1]Pc, Spring, S2'!T3*Main!$B$5)+(_xlfn.IFNA(VLOOKUP($A3,'FL Ratio'!$A$3:$B$10,2,FALSE),0)*'FL Characterization'!T$2)</f>
        <v>45.750531019291529</v>
      </c>
      <c r="U3" s="2">
        <f>('[1]Pc, Spring, S2'!U3*Main!$B$5)+(_xlfn.IFNA(VLOOKUP($A3,'FL Ratio'!$A$3:$B$10,2,FALSE),0)*'FL Characterization'!U$2)</f>
        <v>44.379668598415357</v>
      </c>
      <c r="V3" s="2">
        <f>('[1]Pc, Spring, S2'!V3*Main!$B$5)+(_xlfn.IFNA(VLOOKUP($A3,'FL Ratio'!$A$3:$B$10,2,FALSE),0)*'FL Characterization'!V$2)</f>
        <v>42.626353951431923</v>
      </c>
      <c r="W3" s="2">
        <f>('[1]Pc, Spring, S2'!W3*Main!$B$5)+(_xlfn.IFNA(VLOOKUP($A3,'FL Ratio'!$A$3:$B$10,2,FALSE),0)*'FL Characterization'!W$2)</f>
        <v>41.800954820282364</v>
      </c>
      <c r="X3" s="2">
        <f>('[1]Pc, Spring, S2'!X3*Main!$B$5)+(_xlfn.IFNA(VLOOKUP($A3,'FL Ratio'!$A$3:$B$10,2,FALSE),0)*'FL Characterization'!X$2)</f>
        <v>39.631250822041949</v>
      </c>
      <c r="Y3" s="2">
        <f>('[1]Pc, Spring, S2'!Y3*Main!$B$5)+(_xlfn.IFNA(VLOOKUP($A3,'FL Ratio'!$A$3:$B$10,2,FALSE),0)*'FL Characterization'!Y$2)</f>
        <v>37.107370904669025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45.786340865754127</v>
      </c>
      <c r="C4" s="2">
        <f>('[1]Pc, Spring, S2'!C4*Main!$B$5)+(_xlfn.IFNA(VLOOKUP($A4,'FL Ratio'!$A$3:$B$10,2,FALSE),0)*'FL Characterization'!C$2)</f>
        <v>40.171728298436278</v>
      </c>
      <c r="D4" s="2">
        <f>('[1]Pc, Spring, S2'!D4*Main!$B$5)+(_xlfn.IFNA(VLOOKUP($A4,'FL Ratio'!$A$3:$B$10,2,FALSE),0)*'FL Characterization'!D$2)</f>
        <v>40.28695199423526</v>
      </c>
      <c r="E4" s="2">
        <f>('[1]Pc, Spring, S2'!E4*Main!$B$5)+(_xlfn.IFNA(VLOOKUP($A4,'FL Ratio'!$A$3:$B$10,2,FALSE),0)*'FL Characterization'!E$2)</f>
        <v>37.138460300672442</v>
      </c>
      <c r="F4" s="2">
        <f>('[1]Pc, Spring, S2'!F4*Main!$B$5)+(_xlfn.IFNA(VLOOKUP($A4,'FL Ratio'!$A$3:$B$10,2,FALSE),0)*'FL Characterization'!F$2)</f>
        <v>39.211724132092485</v>
      </c>
      <c r="G4" s="2">
        <f>('[1]Pc, Spring, S2'!G4*Main!$B$5)+(_xlfn.IFNA(VLOOKUP($A4,'FL Ratio'!$A$3:$B$10,2,FALSE),0)*'FL Characterization'!G$2)</f>
        <v>38.465154297290148</v>
      </c>
      <c r="H4" s="2">
        <f>('[1]Pc, Spring, S2'!H4*Main!$B$5)+(_xlfn.IFNA(VLOOKUP($A4,'FL Ratio'!$A$3:$B$10,2,FALSE),0)*'FL Characterization'!H$2)</f>
        <v>45.028618774375168</v>
      </c>
      <c r="I4" s="2">
        <f>('[1]Pc, Spring, S2'!I4*Main!$B$5)+(_xlfn.IFNA(VLOOKUP($A4,'FL Ratio'!$A$3:$B$10,2,FALSE),0)*'FL Characterization'!I$2)</f>
        <v>48.684670453259514</v>
      </c>
      <c r="J4" s="2">
        <f>('[1]Pc, Spring, S2'!J4*Main!$B$5)+(_xlfn.IFNA(VLOOKUP($A4,'FL Ratio'!$A$3:$B$10,2,FALSE),0)*'FL Characterization'!J$2)</f>
        <v>56.254075268310686</v>
      </c>
      <c r="K4" s="2">
        <f>('[1]Pc, Spring, S2'!K4*Main!$B$5)+(_xlfn.IFNA(VLOOKUP($A4,'FL Ratio'!$A$3:$B$10,2,FALSE),0)*'FL Characterization'!K$2)</f>
        <v>57.814120199480641</v>
      </c>
      <c r="L4" s="2">
        <f>('[1]Pc, Spring, S2'!L4*Main!$B$5)+(_xlfn.IFNA(VLOOKUP($A4,'FL Ratio'!$A$3:$B$10,2,FALSE),0)*'FL Characterization'!L$2)</f>
        <v>59.75187721932506</v>
      </c>
      <c r="M4" s="2">
        <f>('[1]Pc, Spring, S2'!M4*Main!$B$5)+(_xlfn.IFNA(VLOOKUP($A4,'FL Ratio'!$A$3:$B$10,2,FALSE),0)*'FL Characterization'!M$2)</f>
        <v>63.05632369304827</v>
      </c>
      <c r="N4" s="2">
        <f>('[1]Pc, Spring, S2'!N4*Main!$B$5)+(_xlfn.IFNA(VLOOKUP($A4,'FL Ratio'!$A$3:$B$10,2,FALSE),0)*'FL Characterization'!N$2)</f>
        <v>63.604233893654836</v>
      </c>
      <c r="O4" s="2">
        <f>('[1]Pc, Spring, S2'!O4*Main!$B$5)+(_xlfn.IFNA(VLOOKUP($A4,'FL Ratio'!$A$3:$B$10,2,FALSE),0)*'FL Characterization'!O$2)</f>
        <v>63.435923799015534</v>
      </c>
      <c r="P4" s="2">
        <f>('[1]Pc, Spring, S2'!P4*Main!$B$5)+(_xlfn.IFNA(VLOOKUP($A4,'FL Ratio'!$A$3:$B$10,2,FALSE),0)*'FL Characterization'!P$2)</f>
        <v>59.975302140511907</v>
      </c>
      <c r="Q4" s="2">
        <f>('[1]Pc, Spring, S2'!Q4*Main!$B$5)+(_xlfn.IFNA(VLOOKUP($A4,'FL Ratio'!$A$3:$B$10,2,FALSE),0)*'FL Characterization'!Q$2)</f>
        <v>60.578741694654319</v>
      </c>
      <c r="R4" s="2">
        <f>('[1]Pc, Spring, S2'!R4*Main!$B$5)+(_xlfn.IFNA(VLOOKUP($A4,'FL Ratio'!$A$3:$B$10,2,FALSE),0)*'FL Characterization'!R$2)</f>
        <v>60.02976007631186</v>
      </c>
      <c r="S4" s="2">
        <f>('[1]Pc, Spring, S2'!S4*Main!$B$5)+(_xlfn.IFNA(VLOOKUP($A4,'FL Ratio'!$A$3:$B$10,2,FALSE),0)*'FL Characterization'!S$2)</f>
        <v>62.368584718658312</v>
      </c>
      <c r="T4" s="2">
        <f>('[1]Pc, Spring, S2'!T4*Main!$B$5)+(_xlfn.IFNA(VLOOKUP($A4,'FL Ratio'!$A$3:$B$10,2,FALSE),0)*'FL Characterization'!T$2)</f>
        <v>61.979347646708618</v>
      </c>
      <c r="U4" s="2">
        <f>('[1]Pc, Spring, S2'!U4*Main!$B$5)+(_xlfn.IFNA(VLOOKUP($A4,'FL Ratio'!$A$3:$B$10,2,FALSE),0)*'FL Characterization'!U$2)</f>
        <v>60.584723495526703</v>
      </c>
      <c r="V4" s="2">
        <f>('[1]Pc, Spring, S2'!V4*Main!$B$5)+(_xlfn.IFNA(VLOOKUP($A4,'FL Ratio'!$A$3:$B$10,2,FALSE),0)*'FL Characterization'!V$2)</f>
        <v>59.347816722823133</v>
      </c>
      <c r="W4" s="2">
        <f>('[1]Pc, Spring, S2'!W4*Main!$B$5)+(_xlfn.IFNA(VLOOKUP($A4,'FL Ratio'!$A$3:$B$10,2,FALSE),0)*'FL Characterization'!W$2)</f>
        <v>61.965776503052822</v>
      </c>
      <c r="X4" s="2">
        <f>('[1]Pc, Spring, S2'!X4*Main!$B$5)+(_xlfn.IFNA(VLOOKUP($A4,'FL Ratio'!$A$3:$B$10,2,FALSE),0)*'FL Characterization'!X$2)</f>
        <v>58.101965573333899</v>
      </c>
      <c r="Y4" s="2">
        <f>('[1]Pc, Spring, S2'!Y4*Main!$B$5)+(_xlfn.IFNA(VLOOKUP($A4,'FL Ratio'!$A$3:$B$10,2,FALSE),0)*'FL Characterization'!Y$2)</f>
        <v>53.260397862538113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C3171-7D56-4100-BF8F-9607196E6BB9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31.00497963245892</v>
      </c>
      <c r="C2" s="2">
        <f>('[1]Pc, Spring, S3'!C2*Main!$B$5)+(_xlfn.IFNA(VLOOKUP($A2,'FL Ratio'!$A$3:$B$10,2,FALSE),0)*'FL Characterization'!C$2)</f>
        <v>27.718333354040983</v>
      </c>
      <c r="D2" s="2">
        <f>('[1]Pc, Spring, S3'!D2*Main!$B$5)+(_xlfn.IFNA(VLOOKUP($A2,'FL Ratio'!$A$3:$B$10,2,FALSE),0)*'FL Characterization'!D$2)</f>
        <v>26.435421936041976</v>
      </c>
      <c r="E2" s="2">
        <f>('[1]Pc, Spring, S3'!E2*Main!$B$5)+(_xlfn.IFNA(VLOOKUP($A2,'FL Ratio'!$A$3:$B$10,2,FALSE),0)*'FL Characterization'!E$2)</f>
        <v>26.374619716568336</v>
      </c>
      <c r="F2" s="2">
        <f>('[1]Pc, Spring, S3'!F2*Main!$B$5)+(_xlfn.IFNA(VLOOKUP($A2,'FL Ratio'!$A$3:$B$10,2,FALSE),0)*'FL Characterization'!F$2)</f>
        <v>26.048141206251746</v>
      </c>
      <c r="G2" s="2">
        <f>('[1]Pc, Spring, S3'!G2*Main!$B$5)+(_xlfn.IFNA(VLOOKUP($A2,'FL Ratio'!$A$3:$B$10,2,FALSE),0)*'FL Characterization'!G$2)</f>
        <v>27.220194302609009</v>
      </c>
      <c r="H2" s="2">
        <f>('[1]Pc, Spring, S3'!H2*Main!$B$5)+(_xlfn.IFNA(VLOOKUP($A2,'FL Ratio'!$A$3:$B$10,2,FALSE),0)*'FL Characterization'!H$2)</f>
        <v>30.616119843015774</v>
      </c>
      <c r="I2" s="2">
        <f>('[1]Pc, Spring, S3'!I2*Main!$B$5)+(_xlfn.IFNA(VLOOKUP($A2,'FL Ratio'!$A$3:$B$10,2,FALSE),0)*'FL Characterization'!I$2)</f>
        <v>38.212271013971389</v>
      </c>
      <c r="J2" s="2">
        <f>('[1]Pc, Spring, S3'!J2*Main!$B$5)+(_xlfn.IFNA(VLOOKUP($A2,'FL Ratio'!$A$3:$B$10,2,FALSE),0)*'FL Characterization'!J$2)</f>
        <v>40.95321493009542</v>
      </c>
      <c r="K2" s="2">
        <f>('[1]Pc, Spring, S3'!K2*Main!$B$5)+(_xlfn.IFNA(VLOOKUP($A2,'FL Ratio'!$A$3:$B$10,2,FALSE),0)*'FL Characterization'!K$2)</f>
        <v>42.911737056276358</v>
      </c>
      <c r="L2" s="2">
        <f>('[1]Pc, Spring, S3'!L2*Main!$B$5)+(_xlfn.IFNA(VLOOKUP($A2,'FL Ratio'!$A$3:$B$10,2,FALSE),0)*'FL Characterization'!L$2)</f>
        <v>44.33055641015833</v>
      </c>
      <c r="M2" s="2">
        <f>('[1]Pc, Spring, S3'!M2*Main!$B$5)+(_xlfn.IFNA(VLOOKUP($A2,'FL Ratio'!$A$3:$B$10,2,FALSE),0)*'FL Characterization'!M$2)</f>
        <v>43.160571328532804</v>
      </c>
      <c r="N2" s="2">
        <f>('[1]Pc, Spring, S3'!N2*Main!$B$5)+(_xlfn.IFNA(VLOOKUP($A2,'FL Ratio'!$A$3:$B$10,2,FALSE),0)*'FL Characterization'!N$2)</f>
        <v>43.842101343852889</v>
      </c>
      <c r="O2" s="2">
        <f>('[1]Pc, Spring, S3'!O2*Main!$B$5)+(_xlfn.IFNA(VLOOKUP($A2,'FL Ratio'!$A$3:$B$10,2,FALSE),0)*'FL Characterization'!O$2)</f>
        <v>44.724238415997092</v>
      </c>
      <c r="P2" s="2">
        <f>('[1]Pc, Spring, S3'!P2*Main!$B$5)+(_xlfn.IFNA(VLOOKUP($A2,'FL Ratio'!$A$3:$B$10,2,FALSE),0)*'FL Characterization'!P$2)</f>
        <v>41.069952900662074</v>
      </c>
      <c r="Q2" s="2">
        <f>('[1]Pc, Spring, S3'!Q2*Main!$B$5)+(_xlfn.IFNA(VLOOKUP($A2,'FL Ratio'!$A$3:$B$10,2,FALSE),0)*'FL Characterization'!Q$2)</f>
        <v>37.896591790741596</v>
      </c>
      <c r="R2" s="2">
        <f>('[1]Pc, Spring, S3'!R2*Main!$B$5)+(_xlfn.IFNA(VLOOKUP($A2,'FL Ratio'!$A$3:$B$10,2,FALSE),0)*'FL Characterization'!R$2)</f>
        <v>39.32903951855036</v>
      </c>
      <c r="S2" s="2">
        <f>('[1]Pc, Spring, S3'!S2*Main!$B$5)+(_xlfn.IFNA(VLOOKUP($A2,'FL Ratio'!$A$3:$B$10,2,FALSE),0)*'FL Characterization'!S$2)</f>
        <v>41.335220250210064</v>
      </c>
      <c r="T2" s="2">
        <f>('[1]Pc, Spring, S3'!T2*Main!$B$5)+(_xlfn.IFNA(VLOOKUP($A2,'FL Ratio'!$A$3:$B$10,2,FALSE),0)*'FL Characterization'!T$2)</f>
        <v>43.807757199836381</v>
      </c>
      <c r="U2" s="2">
        <f>('[1]Pc, Spring, S3'!U2*Main!$B$5)+(_xlfn.IFNA(VLOOKUP($A2,'FL Ratio'!$A$3:$B$10,2,FALSE),0)*'FL Characterization'!U$2)</f>
        <v>43.039571720628622</v>
      </c>
      <c r="V2" s="2">
        <f>('[1]Pc, Spring, S3'!V2*Main!$B$5)+(_xlfn.IFNA(VLOOKUP($A2,'FL Ratio'!$A$3:$B$10,2,FALSE),0)*'FL Characterization'!V$2)</f>
        <v>41.463583813703863</v>
      </c>
      <c r="W2" s="2">
        <f>('[1]Pc, Spring, S3'!W2*Main!$B$5)+(_xlfn.IFNA(VLOOKUP($A2,'FL Ratio'!$A$3:$B$10,2,FALSE),0)*'FL Characterization'!W$2)</f>
        <v>42.971765906162894</v>
      </c>
      <c r="X2" s="2">
        <f>('[1]Pc, Spring, S3'!X2*Main!$B$5)+(_xlfn.IFNA(VLOOKUP($A2,'FL Ratio'!$A$3:$B$10,2,FALSE),0)*'FL Characterization'!X$2)</f>
        <v>36.006836444532027</v>
      </c>
      <c r="Y2" s="2">
        <f>('[1]Pc, Spring, S3'!Y2*Main!$B$5)+(_xlfn.IFNA(VLOOKUP($A2,'FL Ratio'!$A$3:$B$10,2,FALSE),0)*'FL Characterization'!Y$2)</f>
        <v>36.155497756935695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31.939237132567314</v>
      </c>
      <c r="C3" s="2">
        <f>('[1]Pc, Spring, S3'!C3*Main!$B$5)+(_xlfn.IFNA(VLOOKUP($A3,'FL Ratio'!$A$3:$B$10,2,FALSE),0)*'FL Characterization'!C$2)</f>
        <v>30.978993205253932</v>
      </c>
      <c r="D3" s="2">
        <f>('[1]Pc, Spring, S3'!D3*Main!$B$5)+(_xlfn.IFNA(VLOOKUP($A3,'FL Ratio'!$A$3:$B$10,2,FALSE),0)*'FL Characterization'!D$2)</f>
        <v>27.818146666254293</v>
      </c>
      <c r="E3" s="2">
        <f>('[1]Pc, Spring, S3'!E3*Main!$B$5)+(_xlfn.IFNA(VLOOKUP($A3,'FL Ratio'!$A$3:$B$10,2,FALSE),0)*'FL Characterization'!E$2)</f>
        <v>28.69626903945241</v>
      </c>
      <c r="F3" s="2">
        <f>('[1]Pc, Spring, S3'!F3*Main!$B$5)+(_xlfn.IFNA(VLOOKUP($A3,'FL Ratio'!$A$3:$B$10,2,FALSE),0)*'FL Characterization'!F$2)</f>
        <v>27.480308682229072</v>
      </c>
      <c r="G3" s="2">
        <f>('[1]Pc, Spring, S3'!G3*Main!$B$5)+(_xlfn.IFNA(VLOOKUP($A3,'FL Ratio'!$A$3:$B$10,2,FALSE),0)*'FL Characterization'!G$2)</f>
        <v>30.125108898353393</v>
      </c>
      <c r="H3" s="2">
        <f>('[1]Pc, Spring, S3'!H3*Main!$B$5)+(_xlfn.IFNA(VLOOKUP($A3,'FL Ratio'!$A$3:$B$10,2,FALSE),0)*'FL Characterization'!H$2)</f>
        <v>39.169062266208165</v>
      </c>
      <c r="I3" s="2">
        <f>('[1]Pc, Spring, S3'!I3*Main!$B$5)+(_xlfn.IFNA(VLOOKUP($A3,'FL Ratio'!$A$3:$B$10,2,FALSE),0)*'FL Characterization'!I$2)</f>
        <v>44.739137166631934</v>
      </c>
      <c r="J3" s="2">
        <f>('[1]Pc, Spring, S3'!J3*Main!$B$5)+(_xlfn.IFNA(VLOOKUP($A3,'FL Ratio'!$A$3:$B$10,2,FALSE),0)*'FL Characterization'!J$2)</f>
        <v>48.562702806040093</v>
      </c>
      <c r="K3" s="2">
        <f>('[1]Pc, Spring, S3'!K3*Main!$B$5)+(_xlfn.IFNA(VLOOKUP($A3,'FL Ratio'!$A$3:$B$10,2,FALSE),0)*'FL Characterization'!K$2)</f>
        <v>47.294994200761479</v>
      </c>
      <c r="L3" s="2">
        <f>('[1]Pc, Spring, S3'!L3*Main!$B$5)+(_xlfn.IFNA(VLOOKUP($A3,'FL Ratio'!$A$3:$B$10,2,FALSE),0)*'FL Characterization'!L$2)</f>
        <v>44.538193119377361</v>
      </c>
      <c r="M3" s="2">
        <f>('[1]Pc, Spring, S3'!M3*Main!$B$5)+(_xlfn.IFNA(VLOOKUP($A3,'FL Ratio'!$A$3:$B$10,2,FALSE),0)*'FL Characterization'!M$2)</f>
        <v>48.605721198108348</v>
      </c>
      <c r="N3" s="2">
        <f>('[1]Pc, Spring, S3'!N3*Main!$B$5)+(_xlfn.IFNA(VLOOKUP($A3,'FL Ratio'!$A$3:$B$10,2,FALSE),0)*'FL Characterization'!N$2)</f>
        <v>46.902179568276452</v>
      </c>
      <c r="O3" s="2">
        <f>('[1]Pc, Spring, S3'!O3*Main!$B$5)+(_xlfn.IFNA(VLOOKUP($A3,'FL Ratio'!$A$3:$B$10,2,FALSE),0)*'FL Characterization'!O$2)</f>
        <v>45.30116577267907</v>
      </c>
      <c r="P3" s="2">
        <f>('[1]Pc, Spring, S3'!P3*Main!$B$5)+(_xlfn.IFNA(VLOOKUP($A3,'FL Ratio'!$A$3:$B$10,2,FALSE),0)*'FL Characterization'!P$2)</f>
        <v>44.681146450175675</v>
      </c>
      <c r="Q3" s="2">
        <f>('[1]Pc, Spring, S3'!Q3*Main!$B$5)+(_xlfn.IFNA(VLOOKUP($A3,'FL Ratio'!$A$3:$B$10,2,FALSE),0)*'FL Characterization'!Q$2)</f>
        <v>42.895216247051458</v>
      </c>
      <c r="R3" s="2">
        <f>('[1]Pc, Spring, S3'!R3*Main!$B$5)+(_xlfn.IFNA(VLOOKUP($A3,'FL Ratio'!$A$3:$B$10,2,FALSE),0)*'FL Characterization'!R$2)</f>
        <v>39.606437973602588</v>
      </c>
      <c r="S3" s="2">
        <f>('[1]Pc, Spring, S3'!S3*Main!$B$5)+(_xlfn.IFNA(VLOOKUP($A3,'FL Ratio'!$A$3:$B$10,2,FALSE),0)*'FL Characterization'!S$2)</f>
        <v>43.708246334032111</v>
      </c>
      <c r="T3" s="2">
        <f>('[1]Pc, Spring, S3'!T3*Main!$B$5)+(_xlfn.IFNA(VLOOKUP($A3,'FL Ratio'!$A$3:$B$10,2,FALSE),0)*'FL Characterization'!T$2)</f>
        <v>43.552915396887705</v>
      </c>
      <c r="U3" s="2">
        <f>('[1]Pc, Spring, S3'!U3*Main!$B$5)+(_xlfn.IFNA(VLOOKUP($A3,'FL Ratio'!$A$3:$B$10,2,FALSE),0)*'FL Characterization'!U$2)</f>
        <v>42.241686571599864</v>
      </c>
      <c r="V3" s="2">
        <f>('[1]Pc, Spring, S3'!V3*Main!$B$5)+(_xlfn.IFNA(VLOOKUP($A3,'FL Ratio'!$A$3:$B$10,2,FALSE),0)*'FL Characterization'!V$2)</f>
        <v>40.581973692308182</v>
      </c>
      <c r="W3" s="2">
        <f>('[1]Pc, Spring, S3'!W3*Main!$B$5)+(_xlfn.IFNA(VLOOKUP($A3,'FL Ratio'!$A$3:$B$10,2,FALSE),0)*'FL Characterization'!W$2)</f>
        <v>39.78714725571902</v>
      </c>
      <c r="X3" s="2">
        <f>('[1]Pc, Spring, S3'!X3*Main!$B$5)+(_xlfn.IFNA(VLOOKUP($A3,'FL Ratio'!$A$3:$B$10,2,FALSE),0)*'FL Characterization'!X$2)</f>
        <v>37.777533245608609</v>
      </c>
      <c r="Y3" s="2">
        <f>('[1]Pc, Spring, S3'!Y3*Main!$B$5)+(_xlfn.IFNA(VLOOKUP($A3,'FL Ratio'!$A$3:$B$10,2,FALSE),0)*'FL Characterization'!Y$2)</f>
        <v>35.390583494858767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43.655960511774182</v>
      </c>
      <c r="C4" s="2">
        <f>('[1]Pc, Spring, S3'!C4*Main!$B$5)+(_xlfn.IFNA(VLOOKUP($A4,'FL Ratio'!$A$3:$B$10,2,FALSE),0)*'FL Characterization'!C$2)</f>
        <v>38.316979456147926</v>
      </c>
      <c r="D4" s="2">
        <f>('[1]Pc, Spring, S3'!D4*Main!$B$5)+(_xlfn.IFNA(VLOOKUP($A4,'FL Ratio'!$A$3:$B$10,2,FALSE),0)*'FL Characterization'!D$2)</f>
        <v>38.416641659533447</v>
      </c>
      <c r="E4" s="2">
        <f>('[1]Pc, Spring, S3'!E4*Main!$B$5)+(_xlfn.IFNA(VLOOKUP($A4,'FL Ratio'!$A$3:$B$10,2,FALSE),0)*'FL Characterization'!E$2)</f>
        <v>35.416538247554584</v>
      </c>
      <c r="F4" s="2">
        <f>('[1]Pc, Spring, S3'!F4*Main!$B$5)+(_xlfn.IFNA(VLOOKUP($A4,'FL Ratio'!$A$3:$B$10,2,FALSE),0)*'FL Characterization'!F$2)</f>
        <v>37.374536308655337</v>
      </c>
      <c r="G4" s="2">
        <f>('[1]Pc, Spring, S3'!G4*Main!$B$5)+(_xlfn.IFNA(VLOOKUP($A4,'FL Ratio'!$A$3:$B$10,2,FALSE),0)*'FL Characterization'!G$2)</f>
        <v>36.654179569997254</v>
      </c>
      <c r="H4" s="2">
        <f>('[1]Pc, Spring, S3'!H4*Main!$B$5)+(_xlfn.IFNA(VLOOKUP($A4,'FL Ratio'!$A$3:$B$10,2,FALSE),0)*'FL Characterization'!H$2)</f>
        <v>42.911571970212997</v>
      </c>
      <c r="I4" s="2">
        <f>('[1]Pc, Spring, S3'!I4*Main!$B$5)+(_xlfn.IFNA(VLOOKUP($A4,'FL Ratio'!$A$3:$B$10,2,FALSE),0)*'FL Characterization'!I$2)</f>
        <v>46.333286657287651</v>
      </c>
      <c r="J4" s="2">
        <f>('[1]Pc, Spring, S3'!J4*Main!$B$5)+(_xlfn.IFNA(VLOOKUP($A4,'FL Ratio'!$A$3:$B$10,2,FALSE),0)*'FL Characterization'!J$2)</f>
        <v>53.533803464253509</v>
      </c>
      <c r="K4" s="2">
        <f>('[1]Pc, Spring, S3'!K4*Main!$B$5)+(_xlfn.IFNA(VLOOKUP($A4,'FL Ratio'!$A$3:$B$10,2,FALSE),0)*'FL Characterization'!K$2)</f>
        <v>55.022929473075898</v>
      </c>
      <c r="L4" s="2">
        <f>('[1]Pc, Spring, S3'!L4*Main!$B$5)+(_xlfn.IFNA(VLOOKUP($A4,'FL Ratio'!$A$3:$B$10,2,FALSE),0)*'FL Characterization'!L$2)</f>
        <v>56.860322995012787</v>
      </c>
      <c r="M4" s="2">
        <f>('[1]Pc, Spring, S3'!M4*Main!$B$5)+(_xlfn.IFNA(VLOOKUP($A4,'FL Ratio'!$A$3:$B$10,2,FALSE),0)*'FL Characterization'!M$2)</f>
        <v>60.006611277619747</v>
      </c>
      <c r="N4" s="2">
        <f>('[1]Pc, Spring, S3'!N4*Main!$B$5)+(_xlfn.IFNA(VLOOKUP($A4,'FL Ratio'!$A$3:$B$10,2,FALSE),0)*'FL Characterization'!N$2)</f>
        <v>60.534611836356262</v>
      </c>
      <c r="O4" s="2">
        <f>('[1]Pc, Spring, S3'!O4*Main!$B$5)+(_xlfn.IFNA(VLOOKUP($A4,'FL Ratio'!$A$3:$B$10,2,FALSE),0)*'FL Characterization'!O$2)</f>
        <v>60.389604444894402</v>
      </c>
      <c r="P4" s="2">
        <f>('[1]Pc, Spring, S3'!P4*Main!$B$5)+(_xlfn.IFNA(VLOOKUP($A4,'FL Ratio'!$A$3:$B$10,2,FALSE),0)*'FL Characterization'!P$2)</f>
        <v>57.099188430385269</v>
      </c>
      <c r="Q4" s="2">
        <f>('[1]Pc, Spring, S3'!Q4*Main!$B$5)+(_xlfn.IFNA(VLOOKUP($A4,'FL Ratio'!$A$3:$B$10,2,FALSE),0)*'FL Characterization'!Q$2)</f>
        <v>57.672749325998943</v>
      </c>
      <c r="R4" s="2">
        <f>('[1]Pc, Spring, S3'!R4*Main!$B$5)+(_xlfn.IFNA(VLOOKUP($A4,'FL Ratio'!$A$3:$B$10,2,FALSE),0)*'FL Characterization'!R$2)</f>
        <v>57.135172398952136</v>
      </c>
      <c r="S4" s="2">
        <f>('[1]Pc, Spring, S3'!S4*Main!$B$5)+(_xlfn.IFNA(VLOOKUP($A4,'FL Ratio'!$A$3:$B$10,2,FALSE),0)*'FL Characterization'!S$2)</f>
        <v>59.380660796449469</v>
      </c>
      <c r="T4" s="2">
        <f>('[1]Pc, Spring, S3'!T4*Main!$B$5)+(_xlfn.IFNA(VLOOKUP($A4,'FL Ratio'!$A$3:$B$10,2,FALSE),0)*'FL Characterization'!T$2)</f>
        <v>58.993925391905911</v>
      </c>
      <c r="U4" s="2">
        <f>('[1]Pc, Spring, S3'!U4*Main!$B$5)+(_xlfn.IFNA(VLOOKUP($A4,'FL Ratio'!$A$3:$B$10,2,FALSE),0)*'FL Characterization'!U$2)</f>
        <v>57.660088318366</v>
      </c>
      <c r="V4" s="2">
        <f>('[1]Pc, Spring, S3'!V4*Main!$B$5)+(_xlfn.IFNA(VLOOKUP($A4,'FL Ratio'!$A$3:$B$10,2,FALSE),0)*'FL Characterization'!V$2)</f>
        <v>56.491714969942535</v>
      </c>
      <c r="W4" s="2">
        <f>('[1]Pc, Spring, S3'!W4*Main!$B$5)+(_xlfn.IFNA(VLOOKUP($A4,'FL Ratio'!$A$3:$B$10,2,FALSE),0)*'FL Characterization'!W$2)</f>
        <v>58.97309409952004</v>
      </c>
      <c r="X4" s="2">
        <f>('[1]Pc, Spring, S3'!X4*Main!$B$5)+(_xlfn.IFNA(VLOOKUP($A4,'FL Ratio'!$A$3:$B$10,2,FALSE),0)*'FL Characterization'!X$2)</f>
        <v>55.351611358488327</v>
      </c>
      <c r="Y4" s="2">
        <f>('[1]Pc, Spring, S3'!Y4*Main!$B$5)+(_xlfn.IFNA(VLOOKUP($A4,'FL Ratio'!$A$3:$B$10,2,FALSE),0)*'FL Characterization'!Y$2)</f>
        <v>50.759482930501186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53E46-6D7A-469F-8A04-3A5E4D10568A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31.00497963245892</v>
      </c>
      <c r="C2" s="2">
        <f>('[1]Pc, Spring, S3'!C2*Main!$B$5)+(_xlfn.IFNA(VLOOKUP($A2,'FL Ratio'!$A$3:$B$10,2,FALSE),0)*'FL Characterization'!C$2)</f>
        <v>27.718333354040983</v>
      </c>
      <c r="D2" s="2">
        <f>('[1]Pc, Spring, S3'!D2*Main!$B$5)+(_xlfn.IFNA(VLOOKUP($A2,'FL Ratio'!$A$3:$B$10,2,FALSE),0)*'FL Characterization'!D$2)</f>
        <v>26.435421936041976</v>
      </c>
      <c r="E2" s="2">
        <f>('[1]Pc, Spring, S3'!E2*Main!$B$5)+(_xlfn.IFNA(VLOOKUP($A2,'FL Ratio'!$A$3:$B$10,2,FALSE),0)*'FL Characterization'!E$2)</f>
        <v>26.374619716568336</v>
      </c>
      <c r="F2" s="2">
        <f>('[1]Pc, Spring, S3'!F2*Main!$B$5)+(_xlfn.IFNA(VLOOKUP($A2,'FL Ratio'!$A$3:$B$10,2,FALSE),0)*'FL Characterization'!F$2)</f>
        <v>26.048141206251746</v>
      </c>
      <c r="G2" s="2">
        <f>('[1]Pc, Spring, S3'!G2*Main!$B$5)+(_xlfn.IFNA(VLOOKUP($A2,'FL Ratio'!$A$3:$B$10,2,FALSE),0)*'FL Characterization'!G$2)</f>
        <v>27.220194302609009</v>
      </c>
      <c r="H2" s="2">
        <f>('[1]Pc, Spring, S3'!H2*Main!$B$5)+(_xlfn.IFNA(VLOOKUP($A2,'FL Ratio'!$A$3:$B$10,2,FALSE),0)*'FL Characterization'!H$2)</f>
        <v>30.616119843015774</v>
      </c>
      <c r="I2" s="2">
        <f>('[1]Pc, Spring, S3'!I2*Main!$B$5)+(_xlfn.IFNA(VLOOKUP($A2,'FL Ratio'!$A$3:$B$10,2,FALSE),0)*'FL Characterization'!I$2)</f>
        <v>38.212271013971389</v>
      </c>
      <c r="J2" s="2">
        <f>('[1]Pc, Spring, S3'!J2*Main!$B$5)+(_xlfn.IFNA(VLOOKUP($A2,'FL Ratio'!$A$3:$B$10,2,FALSE),0)*'FL Characterization'!J$2)</f>
        <v>40.95321493009542</v>
      </c>
      <c r="K2" s="2">
        <f>('[1]Pc, Spring, S3'!K2*Main!$B$5)+(_xlfn.IFNA(VLOOKUP($A2,'FL Ratio'!$A$3:$B$10,2,FALSE),0)*'FL Characterization'!K$2)</f>
        <v>42.911737056276358</v>
      </c>
      <c r="L2" s="2">
        <f>('[1]Pc, Spring, S3'!L2*Main!$B$5)+(_xlfn.IFNA(VLOOKUP($A2,'FL Ratio'!$A$3:$B$10,2,FALSE),0)*'FL Characterization'!L$2)</f>
        <v>44.33055641015833</v>
      </c>
      <c r="M2" s="2">
        <f>('[1]Pc, Spring, S3'!M2*Main!$B$5)+(_xlfn.IFNA(VLOOKUP($A2,'FL Ratio'!$A$3:$B$10,2,FALSE),0)*'FL Characterization'!M$2)</f>
        <v>43.160571328532804</v>
      </c>
      <c r="N2" s="2">
        <f>('[1]Pc, Spring, S3'!N2*Main!$B$5)+(_xlfn.IFNA(VLOOKUP($A2,'FL Ratio'!$A$3:$B$10,2,FALSE),0)*'FL Characterization'!N$2)</f>
        <v>43.842101343852889</v>
      </c>
      <c r="O2" s="2">
        <f>('[1]Pc, Spring, S3'!O2*Main!$B$5)+(_xlfn.IFNA(VLOOKUP($A2,'FL Ratio'!$A$3:$B$10,2,FALSE),0)*'FL Characterization'!O$2)</f>
        <v>44.724238415997092</v>
      </c>
      <c r="P2" s="2">
        <f>('[1]Pc, Spring, S3'!P2*Main!$B$5)+(_xlfn.IFNA(VLOOKUP($A2,'FL Ratio'!$A$3:$B$10,2,FALSE),0)*'FL Characterization'!P$2)</f>
        <v>41.069952900662074</v>
      </c>
      <c r="Q2" s="2">
        <f>('[1]Pc, Spring, S3'!Q2*Main!$B$5)+(_xlfn.IFNA(VLOOKUP($A2,'FL Ratio'!$A$3:$B$10,2,FALSE),0)*'FL Characterization'!Q$2)</f>
        <v>37.896591790741596</v>
      </c>
      <c r="R2" s="2">
        <f>('[1]Pc, Spring, S3'!R2*Main!$B$5)+(_xlfn.IFNA(VLOOKUP($A2,'FL Ratio'!$A$3:$B$10,2,FALSE),0)*'FL Characterization'!R$2)</f>
        <v>39.32903951855036</v>
      </c>
      <c r="S2" s="2">
        <f>('[1]Pc, Spring, S3'!S2*Main!$B$5)+(_xlfn.IFNA(VLOOKUP($A2,'FL Ratio'!$A$3:$B$10,2,FALSE),0)*'FL Characterization'!S$2)</f>
        <v>41.335220250210064</v>
      </c>
      <c r="T2" s="2">
        <f>('[1]Pc, Spring, S3'!T2*Main!$B$5)+(_xlfn.IFNA(VLOOKUP($A2,'FL Ratio'!$A$3:$B$10,2,FALSE),0)*'FL Characterization'!T$2)</f>
        <v>43.807757199836381</v>
      </c>
      <c r="U2" s="2">
        <f>('[1]Pc, Spring, S3'!U2*Main!$B$5)+(_xlfn.IFNA(VLOOKUP($A2,'FL Ratio'!$A$3:$B$10,2,FALSE),0)*'FL Characterization'!U$2)</f>
        <v>43.039571720628622</v>
      </c>
      <c r="V2" s="2">
        <f>('[1]Pc, Spring, S3'!V2*Main!$B$5)+(_xlfn.IFNA(VLOOKUP($A2,'FL Ratio'!$A$3:$B$10,2,FALSE),0)*'FL Characterization'!V$2)</f>
        <v>41.463583813703863</v>
      </c>
      <c r="W2" s="2">
        <f>('[1]Pc, Spring, S3'!W2*Main!$B$5)+(_xlfn.IFNA(VLOOKUP($A2,'FL Ratio'!$A$3:$B$10,2,FALSE),0)*'FL Characterization'!W$2)</f>
        <v>42.971765906162894</v>
      </c>
      <c r="X2" s="2">
        <f>('[1]Pc, Spring, S3'!X2*Main!$B$5)+(_xlfn.IFNA(VLOOKUP($A2,'FL Ratio'!$A$3:$B$10,2,FALSE),0)*'FL Characterization'!X$2)</f>
        <v>36.006836444532027</v>
      </c>
      <c r="Y2" s="2">
        <f>('[1]Pc, Spring, S3'!Y2*Main!$B$5)+(_xlfn.IFNA(VLOOKUP($A2,'FL Ratio'!$A$3:$B$10,2,FALSE),0)*'FL Characterization'!Y$2)</f>
        <v>36.155497756935695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31.939237132567314</v>
      </c>
      <c r="C3" s="2">
        <f>('[1]Pc, Spring, S3'!C3*Main!$B$5)+(_xlfn.IFNA(VLOOKUP($A3,'FL Ratio'!$A$3:$B$10,2,FALSE),0)*'FL Characterization'!C$2)</f>
        <v>30.978993205253932</v>
      </c>
      <c r="D3" s="2">
        <f>('[1]Pc, Spring, S3'!D3*Main!$B$5)+(_xlfn.IFNA(VLOOKUP($A3,'FL Ratio'!$A$3:$B$10,2,FALSE),0)*'FL Characterization'!D$2)</f>
        <v>27.818146666254293</v>
      </c>
      <c r="E3" s="2">
        <f>('[1]Pc, Spring, S3'!E3*Main!$B$5)+(_xlfn.IFNA(VLOOKUP($A3,'FL Ratio'!$A$3:$B$10,2,FALSE),0)*'FL Characterization'!E$2)</f>
        <v>28.69626903945241</v>
      </c>
      <c r="F3" s="2">
        <f>('[1]Pc, Spring, S3'!F3*Main!$B$5)+(_xlfn.IFNA(VLOOKUP($A3,'FL Ratio'!$A$3:$B$10,2,FALSE),0)*'FL Characterization'!F$2)</f>
        <v>27.480308682229072</v>
      </c>
      <c r="G3" s="2">
        <f>('[1]Pc, Spring, S3'!G3*Main!$B$5)+(_xlfn.IFNA(VLOOKUP($A3,'FL Ratio'!$A$3:$B$10,2,FALSE),0)*'FL Characterization'!G$2)</f>
        <v>30.125108898353393</v>
      </c>
      <c r="H3" s="2">
        <f>('[1]Pc, Spring, S3'!H3*Main!$B$5)+(_xlfn.IFNA(VLOOKUP($A3,'FL Ratio'!$A$3:$B$10,2,FALSE),0)*'FL Characterization'!H$2)</f>
        <v>39.169062266208165</v>
      </c>
      <c r="I3" s="2">
        <f>('[1]Pc, Spring, S3'!I3*Main!$B$5)+(_xlfn.IFNA(VLOOKUP($A3,'FL Ratio'!$A$3:$B$10,2,FALSE),0)*'FL Characterization'!I$2)</f>
        <v>44.739137166631934</v>
      </c>
      <c r="J3" s="2">
        <f>('[1]Pc, Spring, S3'!J3*Main!$B$5)+(_xlfn.IFNA(VLOOKUP($A3,'FL Ratio'!$A$3:$B$10,2,FALSE),0)*'FL Characterization'!J$2)</f>
        <v>48.562702806040093</v>
      </c>
      <c r="K3" s="2">
        <f>('[1]Pc, Spring, S3'!K3*Main!$B$5)+(_xlfn.IFNA(VLOOKUP($A3,'FL Ratio'!$A$3:$B$10,2,FALSE),0)*'FL Characterization'!K$2)</f>
        <v>47.294994200761479</v>
      </c>
      <c r="L3" s="2">
        <f>('[1]Pc, Spring, S3'!L3*Main!$B$5)+(_xlfn.IFNA(VLOOKUP($A3,'FL Ratio'!$A$3:$B$10,2,FALSE),0)*'FL Characterization'!L$2)</f>
        <v>44.538193119377361</v>
      </c>
      <c r="M3" s="2">
        <f>('[1]Pc, Spring, S3'!M3*Main!$B$5)+(_xlfn.IFNA(VLOOKUP($A3,'FL Ratio'!$A$3:$B$10,2,FALSE),0)*'FL Characterization'!M$2)</f>
        <v>48.605721198108348</v>
      </c>
      <c r="N3" s="2">
        <f>('[1]Pc, Spring, S3'!N3*Main!$B$5)+(_xlfn.IFNA(VLOOKUP($A3,'FL Ratio'!$A$3:$B$10,2,FALSE),0)*'FL Characterization'!N$2)</f>
        <v>46.902179568276452</v>
      </c>
      <c r="O3" s="2">
        <f>('[1]Pc, Spring, S3'!O3*Main!$B$5)+(_xlfn.IFNA(VLOOKUP($A3,'FL Ratio'!$A$3:$B$10,2,FALSE),0)*'FL Characterization'!O$2)</f>
        <v>45.30116577267907</v>
      </c>
      <c r="P3" s="2">
        <f>('[1]Pc, Spring, S3'!P3*Main!$B$5)+(_xlfn.IFNA(VLOOKUP($A3,'FL Ratio'!$A$3:$B$10,2,FALSE),0)*'FL Characterization'!P$2)</f>
        <v>44.681146450175675</v>
      </c>
      <c r="Q3" s="2">
        <f>('[1]Pc, Spring, S3'!Q3*Main!$B$5)+(_xlfn.IFNA(VLOOKUP($A3,'FL Ratio'!$A$3:$B$10,2,FALSE),0)*'FL Characterization'!Q$2)</f>
        <v>42.895216247051458</v>
      </c>
      <c r="R3" s="2">
        <f>('[1]Pc, Spring, S3'!R3*Main!$B$5)+(_xlfn.IFNA(VLOOKUP($A3,'FL Ratio'!$A$3:$B$10,2,FALSE),0)*'FL Characterization'!R$2)</f>
        <v>39.606437973602588</v>
      </c>
      <c r="S3" s="2">
        <f>('[1]Pc, Spring, S3'!S3*Main!$B$5)+(_xlfn.IFNA(VLOOKUP($A3,'FL Ratio'!$A$3:$B$10,2,FALSE),0)*'FL Characterization'!S$2)</f>
        <v>43.708246334032111</v>
      </c>
      <c r="T3" s="2">
        <f>('[1]Pc, Spring, S3'!T3*Main!$B$5)+(_xlfn.IFNA(VLOOKUP($A3,'FL Ratio'!$A$3:$B$10,2,FALSE),0)*'FL Characterization'!T$2)</f>
        <v>43.552915396887705</v>
      </c>
      <c r="U3" s="2">
        <f>('[1]Pc, Spring, S3'!U3*Main!$B$5)+(_xlfn.IFNA(VLOOKUP($A3,'FL Ratio'!$A$3:$B$10,2,FALSE),0)*'FL Characterization'!U$2)</f>
        <v>42.241686571599864</v>
      </c>
      <c r="V3" s="2">
        <f>('[1]Pc, Spring, S3'!V3*Main!$B$5)+(_xlfn.IFNA(VLOOKUP($A3,'FL Ratio'!$A$3:$B$10,2,FALSE),0)*'FL Characterization'!V$2)</f>
        <v>40.581973692308182</v>
      </c>
      <c r="W3" s="2">
        <f>('[1]Pc, Spring, S3'!W3*Main!$B$5)+(_xlfn.IFNA(VLOOKUP($A3,'FL Ratio'!$A$3:$B$10,2,FALSE),0)*'FL Characterization'!W$2)</f>
        <v>39.78714725571902</v>
      </c>
      <c r="X3" s="2">
        <f>('[1]Pc, Spring, S3'!X3*Main!$B$5)+(_xlfn.IFNA(VLOOKUP($A3,'FL Ratio'!$A$3:$B$10,2,FALSE),0)*'FL Characterization'!X$2)</f>
        <v>37.777533245608609</v>
      </c>
      <c r="Y3" s="2">
        <f>('[1]Pc, Spring, S3'!Y3*Main!$B$5)+(_xlfn.IFNA(VLOOKUP($A3,'FL Ratio'!$A$3:$B$10,2,FALSE),0)*'FL Characterization'!Y$2)</f>
        <v>35.390583494858767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43.655960511774182</v>
      </c>
      <c r="C4" s="2">
        <f>('[1]Pc, Spring, S3'!C4*Main!$B$5)+(_xlfn.IFNA(VLOOKUP($A4,'FL Ratio'!$A$3:$B$10,2,FALSE),0)*'FL Characterization'!C$2)</f>
        <v>38.316979456147926</v>
      </c>
      <c r="D4" s="2">
        <f>('[1]Pc, Spring, S3'!D4*Main!$B$5)+(_xlfn.IFNA(VLOOKUP($A4,'FL Ratio'!$A$3:$B$10,2,FALSE),0)*'FL Characterization'!D$2)</f>
        <v>38.416641659533447</v>
      </c>
      <c r="E4" s="2">
        <f>('[1]Pc, Spring, S3'!E4*Main!$B$5)+(_xlfn.IFNA(VLOOKUP($A4,'FL Ratio'!$A$3:$B$10,2,FALSE),0)*'FL Characterization'!E$2)</f>
        <v>35.416538247554584</v>
      </c>
      <c r="F4" s="2">
        <f>('[1]Pc, Spring, S3'!F4*Main!$B$5)+(_xlfn.IFNA(VLOOKUP($A4,'FL Ratio'!$A$3:$B$10,2,FALSE),0)*'FL Characterization'!F$2)</f>
        <v>37.374536308655337</v>
      </c>
      <c r="G4" s="2">
        <f>('[1]Pc, Spring, S3'!G4*Main!$B$5)+(_xlfn.IFNA(VLOOKUP($A4,'FL Ratio'!$A$3:$B$10,2,FALSE),0)*'FL Characterization'!G$2)</f>
        <v>36.654179569997254</v>
      </c>
      <c r="H4" s="2">
        <f>('[1]Pc, Spring, S3'!H4*Main!$B$5)+(_xlfn.IFNA(VLOOKUP($A4,'FL Ratio'!$A$3:$B$10,2,FALSE),0)*'FL Characterization'!H$2)</f>
        <v>42.911571970212997</v>
      </c>
      <c r="I4" s="2">
        <f>('[1]Pc, Spring, S3'!I4*Main!$B$5)+(_xlfn.IFNA(VLOOKUP($A4,'FL Ratio'!$A$3:$B$10,2,FALSE),0)*'FL Characterization'!I$2)</f>
        <v>46.333286657287651</v>
      </c>
      <c r="J4" s="2">
        <f>('[1]Pc, Spring, S3'!J4*Main!$B$5)+(_xlfn.IFNA(VLOOKUP($A4,'FL Ratio'!$A$3:$B$10,2,FALSE),0)*'FL Characterization'!J$2)</f>
        <v>53.533803464253509</v>
      </c>
      <c r="K4" s="2">
        <f>('[1]Pc, Spring, S3'!K4*Main!$B$5)+(_xlfn.IFNA(VLOOKUP($A4,'FL Ratio'!$A$3:$B$10,2,FALSE),0)*'FL Characterization'!K$2)</f>
        <v>55.022929473075898</v>
      </c>
      <c r="L4" s="2">
        <f>('[1]Pc, Spring, S3'!L4*Main!$B$5)+(_xlfn.IFNA(VLOOKUP($A4,'FL Ratio'!$A$3:$B$10,2,FALSE),0)*'FL Characterization'!L$2)</f>
        <v>56.860322995012787</v>
      </c>
      <c r="M4" s="2">
        <f>('[1]Pc, Spring, S3'!M4*Main!$B$5)+(_xlfn.IFNA(VLOOKUP($A4,'FL Ratio'!$A$3:$B$10,2,FALSE),0)*'FL Characterization'!M$2)</f>
        <v>60.006611277619747</v>
      </c>
      <c r="N4" s="2">
        <f>('[1]Pc, Spring, S3'!N4*Main!$B$5)+(_xlfn.IFNA(VLOOKUP($A4,'FL Ratio'!$A$3:$B$10,2,FALSE),0)*'FL Characterization'!N$2)</f>
        <v>60.534611836356262</v>
      </c>
      <c r="O4" s="2">
        <f>('[1]Pc, Spring, S3'!O4*Main!$B$5)+(_xlfn.IFNA(VLOOKUP($A4,'FL Ratio'!$A$3:$B$10,2,FALSE),0)*'FL Characterization'!O$2)</f>
        <v>60.389604444894402</v>
      </c>
      <c r="P4" s="2">
        <f>('[1]Pc, Spring, S3'!P4*Main!$B$5)+(_xlfn.IFNA(VLOOKUP($A4,'FL Ratio'!$A$3:$B$10,2,FALSE),0)*'FL Characterization'!P$2)</f>
        <v>57.099188430385269</v>
      </c>
      <c r="Q4" s="2">
        <f>('[1]Pc, Spring, S3'!Q4*Main!$B$5)+(_xlfn.IFNA(VLOOKUP($A4,'FL Ratio'!$A$3:$B$10,2,FALSE),0)*'FL Characterization'!Q$2)</f>
        <v>57.672749325998943</v>
      </c>
      <c r="R4" s="2">
        <f>('[1]Pc, Spring, S3'!R4*Main!$B$5)+(_xlfn.IFNA(VLOOKUP($A4,'FL Ratio'!$A$3:$B$10,2,FALSE),0)*'FL Characterization'!R$2)</f>
        <v>57.135172398952136</v>
      </c>
      <c r="S4" s="2">
        <f>('[1]Pc, Spring, S3'!S4*Main!$B$5)+(_xlfn.IFNA(VLOOKUP($A4,'FL Ratio'!$A$3:$B$10,2,FALSE),0)*'FL Characterization'!S$2)</f>
        <v>59.380660796449469</v>
      </c>
      <c r="T4" s="2">
        <f>('[1]Pc, Spring, S3'!T4*Main!$B$5)+(_xlfn.IFNA(VLOOKUP($A4,'FL Ratio'!$A$3:$B$10,2,FALSE),0)*'FL Characterization'!T$2)</f>
        <v>58.993925391905911</v>
      </c>
      <c r="U4" s="2">
        <f>('[1]Pc, Spring, S3'!U4*Main!$B$5)+(_xlfn.IFNA(VLOOKUP($A4,'FL Ratio'!$A$3:$B$10,2,FALSE),0)*'FL Characterization'!U$2)</f>
        <v>57.660088318366</v>
      </c>
      <c r="V4" s="2">
        <f>('[1]Pc, Spring, S3'!V4*Main!$B$5)+(_xlfn.IFNA(VLOOKUP($A4,'FL Ratio'!$A$3:$B$10,2,FALSE),0)*'FL Characterization'!V$2)</f>
        <v>56.491714969942535</v>
      </c>
      <c r="W4" s="2">
        <f>('[1]Pc, Spring, S3'!W4*Main!$B$5)+(_xlfn.IFNA(VLOOKUP($A4,'FL Ratio'!$A$3:$B$10,2,FALSE),0)*'FL Characterization'!W$2)</f>
        <v>58.97309409952004</v>
      </c>
      <c r="X4" s="2">
        <f>('[1]Pc, Spring, S3'!X4*Main!$B$5)+(_xlfn.IFNA(VLOOKUP($A4,'FL Ratio'!$A$3:$B$10,2,FALSE),0)*'FL Characterization'!X$2)</f>
        <v>55.351611358488327</v>
      </c>
      <c r="Y4" s="2">
        <f>('[1]Pc, Spring, S3'!Y4*Main!$B$5)+(_xlfn.IFNA(VLOOKUP($A4,'FL Ratio'!$A$3:$B$10,2,FALSE),0)*'FL Characterization'!Y$2)</f>
        <v>50.759482930501186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15FD7-DA4E-4F62-8BFF-59F914C0DD2D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31.00497963245892</v>
      </c>
      <c r="C2" s="2">
        <f>('[1]Pc, Spring, S3'!C2*Main!$B$5)+(_xlfn.IFNA(VLOOKUP($A2,'FL Ratio'!$A$3:$B$10,2,FALSE),0)*'FL Characterization'!C$2)</f>
        <v>27.718333354040983</v>
      </c>
      <c r="D2" s="2">
        <f>('[1]Pc, Spring, S3'!D2*Main!$B$5)+(_xlfn.IFNA(VLOOKUP($A2,'FL Ratio'!$A$3:$B$10,2,FALSE),0)*'FL Characterization'!D$2)</f>
        <v>26.435421936041976</v>
      </c>
      <c r="E2" s="2">
        <f>('[1]Pc, Spring, S3'!E2*Main!$B$5)+(_xlfn.IFNA(VLOOKUP($A2,'FL Ratio'!$A$3:$B$10,2,FALSE),0)*'FL Characterization'!E$2)</f>
        <v>26.374619716568336</v>
      </c>
      <c r="F2" s="2">
        <f>('[1]Pc, Spring, S3'!F2*Main!$B$5)+(_xlfn.IFNA(VLOOKUP($A2,'FL Ratio'!$A$3:$B$10,2,FALSE),0)*'FL Characterization'!F$2)</f>
        <v>26.048141206251746</v>
      </c>
      <c r="G2" s="2">
        <f>('[1]Pc, Spring, S3'!G2*Main!$B$5)+(_xlfn.IFNA(VLOOKUP($A2,'FL Ratio'!$A$3:$B$10,2,FALSE),0)*'FL Characterization'!G$2)</f>
        <v>27.220194302609009</v>
      </c>
      <c r="H2" s="2">
        <f>('[1]Pc, Spring, S3'!H2*Main!$B$5)+(_xlfn.IFNA(VLOOKUP($A2,'FL Ratio'!$A$3:$B$10,2,FALSE),0)*'FL Characterization'!H$2)</f>
        <v>30.616119843015774</v>
      </c>
      <c r="I2" s="2">
        <f>('[1]Pc, Spring, S3'!I2*Main!$B$5)+(_xlfn.IFNA(VLOOKUP($A2,'FL Ratio'!$A$3:$B$10,2,FALSE),0)*'FL Characterization'!I$2)</f>
        <v>38.212271013971389</v>
      </c>
      <c r="J2" s="2">
        <f>('[1]Pc, Spring, S3'!J2*Main!$B$5)+(_xlfn.IFNA(VLOOKUP($A2,'FL Ratio'!$A$3:$B$10,2,FALSE),0)*'FL Characterization'!J$2)</f>
        <v>40.95321493009542</v>
      </c>
      <c r="K2" s="2">
        <f>('[1]Pc, Spring, S3'!K2*Main!$B$5)+(_xlfn.IFNA(VLOOKUP($A2,'FL Ratio'!$A$3:$B$10,2,FALSE),0)*'FL Characterization'!K$2)</f>
        <v>42.911737056276358</v>
      </c>
      <c r="L2" s="2">
        <f>('[1]Pc, Spring, S3'!L2*Main!$B$5)+(_xlfn.IFNA(VLOOKUP($A2,'FL Ratio'!$A$3:$B$10,2,FALSE),0)*'FL Characterization'!L$2)</f>
        <v>44.33055641015833</v>
      </c>
      <c r="M2" s="2">
        <f>('[1]Pc, Spring, S3'!M2*Main!$B$5)+(_xlfn.IFNA(VLOOKUP($A2,'FL Ratio'!$A$3:$B$10,2,FALSE),0)*'FL Characterization'!M$2)</f>
        <v>43.160571328532804</v>
      </c>
      <c r="N2" s="2">
        <f>('[1]Pc, Spring, S3'!N2*Main!$B$5)+(_xlfn.IFNA(VLOOKUP($A2,'FL Ratio'!$A$3:$B$10,2,FALSE),0)*'FL Characterization'!N$2)</f>
        <v>43.842101343852889</v>
      </c>
      <c r="O2" s="2">
        <f>('[1]Pc, Spring, S3'!O2*Main!$B$5)+(_xlfn.IFNA(VLOOKUP($A2,'FL Ratio'!$A$3:$B$10,2,FALSE),0)*'FL Characterization'!O$2)</f>
        <v>44.724238415997092</v>
      </c>
      <c r="P2" s="2">
        <f>('[1]Pc, Spring, S3'!P2*Main!$B$5)+(_xlfn.IFNA(VLOOKUP($A2,'FL Ratio'!$A$3:$B$10,2,FALSE),0)*'FL Characterization'!P$2)</f>
        <v>41.069952900662074</v>
      </c>
      <c r="Q2" s="2">
        <f>('[1]Pc, Spring, S3'!Q2*Main!$B$5)+(_xlfn.IFNA(VLOOKUP($A2,'FL Ratio'!$A$3:$B$10,2,FALSE),0)*'FL Characterization'!Q$2)</f>
        <v>37.896591790741596</v>
      </c>
      <c r="R2" s="2">
        <f>('[1]Pc, Spring, S3'!R2*Main!$B$5)+(_xlfn.IFNA(VLOOKUP($A2,'FL Ratio'!$A$3:$B$10,2,FALSE),0)*'FL Characterization'!R$2)</f>
        <v>39.32903951855036</v>
      </c>
      <c r="S2" s="2">
        <f>('[1]Pc, Spring, S3'!S2*Main!$B$5)+(_xlfn.IFNA(VLOOKUP($A2,'FL Ratio'!$A$3:$B$10,2,FALSE),0)*'FL Characterization'!S$2)</f>
        <v>41.335220250210064</v>
      </c>
      <c r="T2" s="2">
        <f>('[1]Pc, Spring, S3'!T2*Main!$B$5)+(_xlfn.IFNA(VLOOKUP($A2,'FL Ratio'!$A$3:$B$10,2,FALSE),0)*'FL Characterization'!T$2)</f>
        <v>43.807757199836381</v>
      </c>
      <c r="U2" s="2">
        <f>('[1]Pc, Spring, S3'!U2*Main!$B$5)+(_xlfn.IFNA(VLOOKUP($A2,'FL Ratio'!$A$3:$B$10,2,FALSE),0)*'FL Characterization'!U$2)</f>
        <v>43.039571720628622</v>
      </c>
      <c r="V2" s="2">
        <f>('[1]Pc, Spring, S3'!V2*Main!$B$5)+(_xlfn.IFNA(VLOOKUP($A2,'FL Ratio'!$A$3:$B$10,2,FALSE),0)*'FL Characterization'!V$2)</f>
        <v>41.463583813703863</v>
      </c>
      <c r="W2" s="2">
        <f>('[1]Pc, Spring, S3'!W2*Main!$B$5)+(_xlfn.IFNA(VLOOKUP($A2,'FL Ratio'!$A$3:$B$10,2,FALSE),0)*'FL Characterization'!W$2)</f>
        <v>42.971765906162894</v>
      </c>
      <c r="X2" s="2">
        <f>('[1]Pc, Spring, S3'!X2*Main!$B$5)+(_xlfn.IFNA(VLOOKUP($A2,'FL Ratio'!$A$3:$B$10,2,FALSE),0)*'FL Characterization'!X$2)</f>
        <v>36.006836444532027</v>
      </c>
      <c r="Y2" s="2">
        <f>('[1]Pc, Spring, S3'!Y2*Main!$B$5)+(_xlfn.IFNA(VLOOKUP($A2,'FL Ratio'!$A$3:$B$10,2,FALSE),0)*'FL Characterization'!Y$2)</f>
        <v>36.155497756935695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31.939237132567314</v>
      </c>
      <c r="C3" s="2">
        <f>('[1]Pc, Spring, S3'!C3*Main!$B$5)+(_xlfn.IFNA(VLOOKUP($A3,'FL Ratio'!$A$3:$B$10,2,FALSE),0)*'FL Characterization'!C$2)</f>
        <v>30.978993205253932</v>
      </c>
      <c r="D3" s="2">
        <f>('[1]Pc, Spring, S3'!D3*Main!$B$5)+(_xlfn.IFNA(VLOOKUP($A3,'FL Ratio'!$A$3:$B$10,2,FALSE),0)*'FL Characterization'!D$2)</f>
        <v>27.818146666254293</v>
      </c>
      <c r="E3" s="2">
        <f>('[1]Pc, Spring, S3'!E3*Main!$B$5)+(_xlfn.IFNA(VLOOKUP($A3,'FL Ratio'!$A$3:$B$10,2,FALSE),0)*'FL Characterization'!E$2)</f>
        <v>28.69626903945241</v>
      </c>
      <c r="F3" s="2">
        <f>('[1]Pc, Spring, S3'!F3*Main!$B$5)+(_xlfn.IFNA(VLOOKUP($A3,'FL Ratio'!$A$3:$B$10,2,FALSE),0)*'FL Characterization'!F$2)</f>
        <v>27.480308682229072</v>
      </c>
      <c r="G3" s="2">
        <f>('[1]Pc, Spring, S3'!G3*Main!$B$5)+(_xlfn.IFNA(VLOOKUP($A3,'FL Ratio'!$A$3:$B$10,2,FALSE),0)*'FL Characterization'!G$2)</f>
        <v>30.125108898353393</v>
      </c>
      <c r="H3" s="2">
        <f>('[1]Pc, Spring, S3'!H3*Main!$B$5)+(_xlfn.IFNA(VLOOKUP($A3,'FL Ratio'!$A$3:$B$10,2,FALSE),0)*'FL Characterization'!H$2)</f>
        <v>39.169062266208165</v>
      </c>
      <c r="I3" s="2">
        <f>('[1]Pc, Spring, S3'!I3*Main!$B$5)+(_xlfn.IFNA(VLOOKUP($A3,'FL Ratio'!$A$3:$B$10,2,FALSE),0)*'FL Characterization'!I$2)</f>
        <v>44.739137166631934</v>
      </c>
      <c r="J3" s="2">
        <f>('[1]Pc, Spring, S3'!J3*Main!$B$5)+(_xlfn.IFNA(VLOOKUP($A3,'FL Ratio'!$A$3:$B$10,2,FALSE),0)*'FL Characterization'!J$2)</f>
        <v>48.562702806040093</v>
      </c>
      <c r="K3" s="2">
        <f>('[1]Pc, Spring, S3'!K3*Main!$B$5)+(_xlfn.IFNA(VLOOKUP($A3,'FL Ratio'!$A$3:$B$10,2,FALSE),0)*'FL Characterization'!K$2)</f>
        <v>47.294994200761479</v>
      </c>
      <c r="L3" s="2">
        <f>('[1]Pc, Spring, S3'!L3*Main!$B$5)+(_xlfn.IFNA(VLOOKUP($A3,'FL Ratio'!$A$3:$B$10,2,FALSE),0)*'FL Characterization'!L$2)</f>
        <v>44.538193119377361</v>
      </c>
      <c r="M3" s="2">
        <f>('[1]Pc, Spring, S3'!M3*Main!$B$5)+(_xlfn.IFNA(VLOOKUP($A3,'FL Ratio'!$A$3:$B$10,2,FALSE),0)*'FL Characterization'!M$2)</f>
        <v>48.605721198108348</v>
      </c>
      <c r="N3" s="2">
        <f>('[1]Pc, Spring, S3'!N3*Main!$B$5)+(_xlfn.IFNA(VLOOKUP($A3,'FL Ratio'!$A$3:$B$10,2,FALSE),0)*'FL Characterization'!N$2)</f>
        <v>46.902179568276452</v>
      </c>
      <c r="O3" s="2">
        <f>('[1]Pc, Spring, S3'!O3*Main!$B$5)+(_xlfn.IFNA(VLOOKUP($A3,'FL Ratio'!$A$3:$B$10,2,FALSE),0)*'FL Characterization'!O$2)</f>
        <v>45.30116577267907</v>
      </c>
      <c r="P3" s="2">
        <f>('[1]Pc, Spring, S3'!P3*Main!$B$5)+(_xlfn.IFNA(VLOOKUP($A3,'FL Ratio'!$A$3:$B$10,2,FALSE),0)*'FL Characterization'!P$2)</f>
        <v>44.681146450175675</v>
      </c>
      <c r="Q3" s="2">
        <f>('[1]Pc, Spring, S3'!Q3*Main!$B$5)+(_xlfn.IFNA(VLOOKUP($A3,'FL Ratio'!$A$3:$B$10,2,FALSE),0)*'FL Characterization'!Q$2)</f>
        <v>42.895216247051458</v>
      </c>
      <c r="R3" s="2">
        <f>('[1]Pc, Spring, S3'!R3*Main!$B$5)+(_xlfn.IFNA(VLOOKUP($A3,'FL Ratio'!$A$3:$B$10,2,FALSE),0)*'FL Characterization'!R$2)</f>
        <v>39.606437973602588</v>
      </c>
      <c r="S3" s="2">
        <f>('[1]Pc, Spring, S3'!S3*Main!$B$5)+(_xlfn.IFNA(VLOOKUP($A3,'FL Ratio'!$A$3:$B$10,2,FALSE),0)*'FL Characterization'!S$2)</f>
        <v>43.708246334032111</v>
      </c>
      <c r="T3" s="2">
        <f>('[1]Pc, Spring, S3'!T3*Main!$B$5)+(_xlfn.IFNA(VLOOKUP($A3,'FL Ratio'!$A$3:$B$10,2,FALSE),0)*'FL Characterization'!T$2)</f>
        <v>43.552915396887705</v>
      </c>
      <c r="U3" s="2">
        <f>('[1]Pc, Spring, S3'!U3*Main!$B$5)+(_xlfn.IFNA(VLOOKUP($A3,'FL Ratio'!$A$3:$B$10,2,FALSE),0)*'FL Characterization'!U$2)</f>
        <v>42.241686571599864</v>
      </c>
      <c r="V3" s="2">
        <f>('[1]Pc, Spring, S3'!V3*Main!$B$5)+(_xlfn.IFNA(VLOOKUP($A3,'FL Ratio'!$A$3:$B$10,2,FALSE),0)*'FL Characterization'!V$2)</f>
        <v>40.581973692308182</v>
      </c>
      <c r="W3" s="2">
        <f>('[1]Pc, Spring, S3'!W3*Main!$B$5)+(_xlfn.IFNA(VLOOKUP($A3,'FL Ratio'!$A$3:$B$10,2,FALSE),0)*'FL Characterization'!W$2)</f>
        <v>39.78714725571902</v>
      </c>
      <c r="X3" s="2">
        <f>('[1]Pc, Spring, S3'!X3*Main!$B$5)+(_xlfn.IFNA(VLOOKUP($A3,'FL Ratio'!$A$3:$B$10,2,FALSE),0)*'FL Characterization'!X$2)</f>
        <v>37.777533245608609</v>
      </c>
      <c r="Y3" s="2">
        <f>('[1]Pc, Spring, S3'!Y3*Main!$B$5)+(_xlfn.IFNA(VLOOKUP($A3,'FL Ratio'!$A$3:$B$10,2,FALSE),0)*'FL Characterization'!Y$2)</f>
        <v>35.390583494858767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43.655960511774182</v>
      </c>
      <c r="C4" s="2">
        <f>('[1]Pc, Spring, S3'!C4*Main!$B$5)+(_xlfn.IFNA(VLOOKUP($A4,'FL Ratio'!$A$3:$B$10,2,FALSE),0)*'FL Characterization'!C$2)</f>
        <v>38.316979456147926</v>
      </c>
      <c r="D4" s="2">
        <f>('[1]Pc, Spring, S3'!D4*Main!$B$5)+(_xlfn.IFNA(VLOOKUP($A4,'FL Ratio'!$A$3:$B$10,2,FALSE),0)*'FL Characterization'!D$2)</f>
        <v>38.416641659533447</v>
      </c>
      <c r="E4" s="2">
        <f>('[1]Pc, Spring, S3'!E4*Main!$B$5)+(_xlfn.IFNA(VLOOKUP($A4,'FL Ratio'!$A$3:$B$10,2,FALSE),0)*'FL Characterization'!E$2)</f>
        <v>35.416538247554584</v>
      </c>
      <c r="F4" s="2">
        <f>('[1]Pc, Spring, S3'!F4*Main!$B$5)+(_xlfn.IFNA(VLOOKUP($A4,'FL Ratio'!$A$3:$B$10,2,FALSE),0)*'FL Characterization'!F$2)</f>
        <v>37.374536308655337</v>
      </c>
      <c r="G4" s="2">
        <f>('[1]Pc, Spring, S3'!G4*Main!$B$5)+(_xlfn.IFNA(VLOOKUP($A4,'FL Ratio'!$A$3:$B$10,2,FALSE),0)*'FL Characterization'!G$2)</f>
        <v>36.654179569997254</v>
      </c>
      <c r="H4" s="2">
        <f>('[1]Pc, Spring, S3'!H4*Main!$B$5)+(_xlfn.IFNA(VLOOKUP($A4,'FL Ratio'!$A$3:$B$10,2,FALSE),0)*'FL Characterization'!H$2)</f>
        <v>42.911571970212997</v>
      </c>
      <c r="I4" s="2">
        <f>('[1]Pc, Spring, S3'!I4*Main!$B$5)+(_xlfn.IFNA(VLOOKUP($A4,'FL Ratio'!$A$3:$B$10,2,FALSE),0)*'FL Characterization'!I$2)</f>
        <v>46.333286657287651</v>
      </c>
      <c r="J4" s="2">
        <f>('[1]Pc, Spring, S3'!J4*Main!$B$5)+(_xlfn.IFNA(VLOOKUP($A4,'FL Ratio'!$A$3:$B$10,2,FALSE),0)*'FL Characterization'!J$2)</f>
        <v>53.533803464253509</v>
      </c>
      <c r="K4" s="2">
        <f>('[1]Pc, Spring, S3'!K4*Main!$B$5)+(_xlfn.IFNA(VLOOKUP($A4,'FL Ratio'!$A$3:$B$10,2,FALSE),0)*'FL Characterization'!K$2)</f>
        <v>55.022929473075898</v>
      </c>
      <c r="L4" s="2">
        <f>('[1]Pc, Spring, S3'!L4*Main!$B$5)+(_xlfn.IFNA(VLOOKUP($A4,'FL Ratio'!$A$3:$B$10,2,FALSE),0)*'FL Characterization'!L$2)</f>
        <v>56.860322995012787</v>
      </c>
      <c r="M4" s="2">
        <f>('[1]Pc, Spring, S3'!M4*Main!$B$5)+(_xlfn.IFNA(VLOOKUP($A4,'FL Ratio'!$A$3:$B$10,2,FALSE),0)*'FL Characterization'!M$2)</f>
        <v>60.006611277619747</v>
      </c>
      <c r="N4" s="2">
        <f>('[1]Pc, Spring, S3'!N4*Main!$B$5)+(_xlfn.IFNA(VLOOKUP($A4,'FL Ratio'!$A$3:$B$10,2,FALSE),0)*'FL Characterization'!N$2)</f>
        <v>60.534611836356262</v>
      </c>
      <c r="O4" s="2">
        <f>('[1]Pc, Spring, S3'!O4*Main!$B$5)+(_xlfn.IFNA(VLOOKUP($A4,'FL Ratio'!$A$3:$B$10,2,FALSE),0)*'FL Characterization'!O$2)</f>
        <v>60.389604444894402</v>
      </c>
      <c r="P4" s="2">
        <f>('[1]Pc, Spring, S3'!P4*Main!$B$5)+(_xlfn.IFNA(VLOOKUP($A4,'FL Ratio'!$A$3:$B$10,2,FALSE),0)*'FL Characterization'!P$2)</f>
        <v>57.099188430385269</v>
      </c>
      <c r="Q4" s="2">
        <f>('[1]Pc, Spring, S3'!Q4*Main!$B$5)+(_xlfn.IFNA(VLOOKUP($A4,'FL Ratio'!$A$3:$B$10,2,FALSE),0)*'FL Characterization'!Q$2)</f>
        <v>57.672749325998943</v>
      </c>
      <c r="R4" s="2">
        <f>('[1]Pc, Spring, S3'!R4*Main!$B$5)+(_xlfn.IFNA(VLOOKUP($A4,'FL Ratio'!$A$3:$B$10,2,FALSE),0)*'FL Characterization'!R$2)</f>
        <v>57.135172398952136</v>
      </c>
      <c r="S4" s="2">
        <f>('[1]Pc, Spring, S3'!S4*Main!$B$5)+(_xlfn.IFNA(VLOOKUP($A4,'FL Ratio'!$A$3:$B$10,2,FALSE),0)*'FL Characterization'!S$2)</f>
        <v>59.380660796449469</v>
      </c>
      <c r="T4" s="2">
        <f>('[1]Pc, Spring, S3'!T4*Main!$B$5)+(_xlfn.IFNA(VLOOKUP($A4,'FL Ratio'!$A$3:$B$10,2,FALSE),0)*'FL Characterization'!T$2)</f>
        <v>58.993925391905911</v>
      </c>
      <c r="U4" s="2">
        <f>('[1]Pc, Spring, S3'!U4*Main!$B$5)+(_xlfn.IFNA(VLOOKUP($A4,'FL Ratio'!$A$3:$B$10,2,FALSE),0)*'FL Characterization'!U$2)</f>
        <v>57.660088318366</v>
      </c>
      <c r="V4" s="2">
        <f>('[1]Pc, Spring, S3'!V4*Main!$B$5)+(_xlfn.IFNA(VLOOKUP($A4,'FL Ratio'!$A$3:$B$10,2,FALSE),0)*'FL Characterization'!V$2)</f>
        <v>56.491714969942535</v>
      </c>
      <c r="W4" s="2">
        <f>('[1]Pc, Spring, S3'!W4*Main!$B$5)+(_xlfn.IFNA(VLOOKUP($A4,'FL Ratio'!$A$3:$B$10,2,FALSE),0)*'FL Characterization'!W$2)</f>
        <v>58.97309409952004</v>
      </c>
      <c r="X4" s="2">
        <f>('[1]Pc, Spring, S3'!X4*Main!$B$5)+(_xlfn.IFNA(VLOOKUP($A4,'FL Ratio'!$A$3:$B$10,2,FALSE),0)*'FL Characterization'!X$2)</f>
        <v>55.351611358488327</v>
      </c>
      <c r="Y4" s="2">
        <f>('[1]Pc, Spring, S3'!Y4*Main!$B$5)+(_xlfn.IFNA(VLOOKUP($A4,'FL Ratio'!$A$3:$B$10,2,FALSE),0)*'FL Characterization'!Y$2)</f>
        <v>50.759482930501186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5064D-398A-4E65-BE27-04F7B80F51C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-11.771029151260995</v>
      </c>
      <c r="C2" s="2">
        <f>('[1]Qc, Spring, S1'!C2*Main!$B$5)</f>
        <v>-13.869103673687329</v>
      </c>
      <c r="D2" s="2">
        <f>('[1]Qc, Spring, S1'!D2*Main!$B$5)</f>
        <v>-15.588342734823923</v>
      </c>
      <c r="E2" s="2">
        <f>('[1]Qc, Spring, S1'!E2*Main!$B$5)</f>
        <v>-14.681192128930521</v>
      </c>
      <c r="F2" s="2">
        <f>('[1]Qc, Spring, S1'!F2*Main!$B$5)</f>
        <v>-14.828798898735464</v>
      </c>
      <c r="G2" s="2">
        <f>('[1]Qc, Spring, S1'!G2*Main!$B$5)</f>
        <v>-14.578746932596701</v>
      </c>
      <c r="H2" s="2">
        <f>('[1]Qc, Spring, S1'!H2*Main!$B$5)</f>
        <v>-12.127171773311016</v>
      </c>
      <c r="I2" s="2">
        <f>('[1]Qc, Spring, S1'!I2*Main!$B$5)</f>
        <v>-2.9056835072979039</v>
      </c>
      <c r="J2" s="2">
        <f>('[1]Qc, Spring, S1'!J2*Main!$B$5)</f>
        <v>3.2561693637888069</v>
      </c>
      <c r="K2" s="2">
        <f>('[1]Qc, Spring, S1'!K2*Main!$B$5)</f>
        <v>5.9445117595682806</v>
      </c>
      <c r="L2" s="2">
        <f>('[1]Qc, Spring, S1'!L2*Main!$B$5)</f>
        <v>3.8959043041357777</v>
      </c>
      <c r="M2" s="2">
        <f>('[1]Qc, Spring, S1'!M2*Main!$B$5)</f>
        <v>5.3547433734114929</v>
      </c>
      <c r="N2" s="2">
        <f>('[1]Qc, Spring, S1'!N2*Main!$B$5)</f>
        <v>4.6944168213873754</v>
      </c>
      <c r="O2" s="2">
        <f>('[1]Qc, Spring, S1'!O2*Main!$B$5)</f>
        <v>4.693263269476013</v>
      </c>
      <c r="P2" s="2">
        <f>('[1]Qc, Spring, S1'!P2*Main!$B$5)</f>
        <v>1.0786056828125208</v>
      </c>
      <c r="Q2" s="2">
        <f>('[1]Qc, Spring, S1'!Q2*Main!$B$5)</f>
        <v>-1.9528638703976253</v>
      </c>
      <c r="R2" s="2">
        <f>('[1]Qc, Spring, S1'!R2*Main!$B$5)</f>
        <v>-0.84347744275423508</v>
      </c>
      <c r="S2" s="2">
        <f>('[1]Qc, Spring, S1'!S2*Main!$B$5)</f>
        <v>1.2076376416312848</v>
      </c>
      <c r="T2" s="2">
        <f>('[1]Qc, Spring, S1'!T2*Main!$B$5)</f>
        <v>7.2947183968969098E-2</v>
      </c>
      <c r="U2" s="2">
        <f>('[1]Qc, Spring, S1'!U2*Main!$B$5)</f>
        <v>-1.5623482059896794</v>
      </c>
      <c r="V2" s="2">
        <f>('[1]Qc, Spring, S1'!V2*Main!$B$5)</f>
        <v>-3.1709755257887093</v>
      </c>
      <c r="W2" s="2">
        <f>('[1]Qc, Spring, S1'!W2*Main!$B$5)</f>
        <v>-3.4959559666834807</v>
      </c>
      <c r="X2" s="2">
        <f>('[1]Qc, Spring, S1'!X2*Main!$B$5)</f>
        <v>-6.6961504328066326</v>
      </c>
      <c r="Y2" s="2">
        <f>('[1]Qc, Spring, S1'!Y2*Main!$B$5)</f>
        <v>-8.4377249959007301</v>
      </c>
    </row>
    <row r="3" spans="1:25" x14ac:dyDescent="0.3">
      <c r="A3">
        <v>2</v>
      </c>
      <c r="B3" s="2">
        <f>('[1]Qc, Spring, S1'!B3*Main!$B$5)</f>
        <v>-2.1672517682133199</v>
      </c>
      <c r="C3" s="2">
        <f>('[1]Qc, Spring, S1'!C3*Main!$B$5)</f>
        <v>-0.66397153818837995</v>
      </c>
      <c r="D3" s="2">
        <f>('[1]Qc, Spring, S1'!D3*Main!$B$5)</f>
        <v>-2.7805394202900535</v>
      </c>
      <c r="E3" s="2">
        <f>('[1]Qc, Spring, S1'!E3*Main!$B$5)</f>
        <v>-4.0496993745428149</v>
      </c>
      <c r="F3" s="2">
        <f>('[1]Qc, Spring, S1'!F3*Main!$B$5)</f>
        <v>-2.9722564216828009</v>
      </c>
      <c r="G3" s="2">
        <f>('[1]Qc, Spring, S1'!G3*Main!$B$5)</f>
        <v>-4.5435731253924185</v>
      </c>
      <c r="H3" s="2">
        <f>('[1]Qc, Spring, S1'!H3*Main!$B$5)</f>
        <v>-1.5560262636895863</v>
      </c>
      <c r="I3" s="2">
        <f>('[1]Qc, Spring, S1'!I3*Main!$B$5)</f>
        <v>1.2359420214092733</v>
      </c>
      <c r="J3" s="2">
        <f>('[1]Qc, Spring, S1'!J3*Main!$B$5)</f>
        <v>0.70795007110219577</v>
      </c>
      <c r="K3" s="2">
        <f>('[1]Qc, Spring, S1'!K3*Main!$B$5)</f>
        <v>0.85102034293742768</v>
      </c>
      <c r="L3" s="2">
        <f>('[1]Qc, Spring, S1'!L3*Main!$B$5)</f>
        <v>2.2694309365190732</v>
      </c>
      <c r="M3" s="2">
        <f>('[1]Qc, Spring, S1'!M3*Main!$B$5)</f>
        <v>1.3680097194977769</v>
      </c>
      <c r="N3" s="2">
        <f>('[1]Qc, Spring, S1'!N3*Main!$B$5)</f>
        <v>2.5061962824826658</v>
      </c>
      <c r="O3" s="2">
        <f>('[1]Qc, Spring, S1'!O3*Main!$B$5)</f>
        <v>3.5486873419396523</v>
      </c>
      <c r="P3" s="2">
        <f>('[1]Qc, Spring, S1'!P3*Main!$B$5)</f>
        <v>2.5521533638572786</v>
      </c>
      <c r="Q3" s="2">
        <f>('[1]Qc, Spring, S1'!Q3*Main!$B$5)</f>
        <v>3.4737115123922444</v>
      </c>
      <c r="R3" s="2">
        <f>('[1]Qc, Spring, S1'!R3*Main!$B$5)</f>
        <v>1.3096618972304288</v>
      </c>
      <c r="S3" s="2">
        <f>('[1]Qc, Spring, S1'!S3*Main!$B$5)</f>
        <v>1.2230553415656469</v>
      </c>
      <c r="T3" s="2">
        <f>('[1]Qc, Spring, S1'!T3*Main!$B$5)</f>
        <v>1.3096618972304288</v>
      </c>
      <c r="U3" s="2">
        <f>('[1]Qc, Spring, S1'!U3*Main!$B$5)</f>
        <v>1.2067903866585603</v>
      </c>
      <c r="V3" s="2">
        <f>('[1]Qc, Spring, S1'!V3*Main!$B$5)</f>
        <v>-0.62389773402496629</v>
      </c>
      <c r="W3" s="2">
        <f>('[1]Qc, Spring, S1'!W3*Main!$B$5)</f>
        <v>0.56300692501327287</v>
      </c>
      <c r="X3" s="2">
        <f>('[1]Qc, Spring, S1'!X3*Main!$B$5)</f>
        <v>-3.1204110273654111</v>
      </c>
      <c r="Y3" s="2">
        <f>('[1]Qc, Spring, S1'!Y3*Main!$B$5)</f>
        <v>-2.8144032609734855</v>
      </c>
    </row>
    <row r="4" spans="1:25" x14ac:dyDescent="0.3">
      <c r="A4">
        <v>3</v>
      </c>
      <c r="B4" s="2">
        <f>('[1]Qc, Spring, S1'!B4*Main!$B$5)</f>
        <v>10.020027433723428</v>
      </c>
      <c r="C4" s="2">
        <f>('[1]Qc, Spring, S1'!C4*Main!$B$5)</f>
        <v>7.9578501018426628</v>
      </c>
      <c r="D4" s="2">
        <f>('[1]Qc, Spring, S1'!D4*Main!$B$5)</f>
        <v>7.3879581833749164</v>
      </c>
      <c r="E4" s="2">
        <f>('[1]Qc, Spring, S1'!E4*Main!$B$5)</f>
        <v>6.8243918158616976</v>
      </c>
      <c r="F4" s="2">
        <f>('[1]Qc, Spring, S1'!F4*Main!$B$5)</f>
        <v>7.2820026326835974</v>
      </c>
      <c r="G4" s="2">
        <f>('[1]Qc, Spring, S1'!G4*Main!$B$5)</f>
        <v>5.6376872913859959</v>
      </c>
      <c r="H4" s="2">
        <f>('[1]Qc, Spring, S1'!H4*Main!$B$5)</f>
        <v>9.6443860055176565</v>
      </c>
      <c r="I4" s="2">
        <f>('[1]Qc, Spring, S1'!I4*Main!$B$5)</f>
        <v>13.897615680251558</v>
      </c>
      <c r="J4" s="2">
        <f>('[1]Qc, Spring, S1'!J4*Main!$B$5)</f>
        <v>18.807821828773548</v>
      </c>
      <c r="K4" s="2">
        <f>('[1]Qc, Spring, S1'!K4*Main!$B$5)</f>
        <v>22.130863970929774</v>
      </c>
      <c r="L4" s="2">
        <f>('[1]Qc, Spring, S1'!L4*Main!$B$5)</f>
        <v>22.499176192475527</v>
      </c>
      <c r="M4" s="2">
        <f>('[1]Qc, Spring, S1'!M4*Main!$B$5)</f>
        <v>22.83446157765529</v>
      </c>
      <c r="N4" s="2">
        <f>('[1]Qc, Spring, S1'!N4*Main!$B$5)</f>
        <v>24.521290203967187</v>
      </c>
      <c r="O4" s="2">
        <f>('[1]Qc, Spring, S1'!O4*Main!$B$5)</f>
        <v>23.61340144328463</v>
      </c>
      <c r="P4" s="2">
        <f>('[1]Qc, Spring, S1'!P4*Main!$B$5)</f>
        <v>21.931503094828273</v>
      </c>
      <c r="Q4" s="2">
        <f>('[1]Qc, Spring, S1'!Q4*Main!$B$5)</f>
        <v>21.764299309449353</v>
      </c>
      <c r="R4" s="2">
        <f>('[1]Qc, Spring, S1'!R4*Main!$B$5)</f>
        <v>21.128201666922607</v>
      </c>
      <c r="S4" s="2">
        <f>('[1]Qc, Spring, S1'!S4*Main!$B$5)</f>
        <v>22.216806329619519</v>
      </c>
      <c r="T4" s="2">
        <f>('[1]Qc, Spring, S1'!T4*Main!$B$5)</f>
        <v>22.062510827173949</v>
      </c>
      <c r="U4" s="2">
        <f>('[1]Qc, Spring, S1'!U4*Main!$B$5)</f>
        <v>21.803381624876302</v>
      </c>
      <c r="V4" s="2">
        <f>('[1]Qc, Spring, S1'!V4*Main!$B$5)</f>
        <v>18.760740545820276</v>
      </c>
      <c r="W4" s="2">
        <f>('[1]Qc, Spring, S1'!W4*Main!$B$5)</f>
        <v>20.355375979972173</v>
      </c>
      <c r="X4" s="2">
        <f>('[1]Qc, Spring, S1'!X4*Main!$B$5)</f>
        <v>17.185019191327342</v>
      </c>
      <c r="Y4" s="2">
        <f>('[1]Qc, Spring, S1'!Y4*Main!$B$5)</f>
        <v>14.276646476619804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594AD-079E-420B-872E-C5172D7B66A6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-11.771029151260995</v>
      </c>
      <c r="C2" s="2">
        <f>('[1]Qc, Spring, S1'!C2*Main!$B$5)</f>
        <v>-13.869103673687329</v>
      </c>
      <c r="D2" s="2">
        <f>('[1]Qc, Spring, S1'!D2*Main!$B$5)</f>
        <v>-15.588342734823923</v>
      </c>
      <c r="E2" s="2">
        <f>('[1]Qc, Spring, S1'!E2*Main!$B$5)</f>
        <v>-14.681192128930521</v>
      </c>
      <c r="F2" s="2">
        <f>('[1]Qc, Spring, S1'!F2*Main!$B$5)</f>
        <v>-14.828798898735464</v>
      </c>
      <c r="G2" s="2">
        <f>('[1]Qc, Spring, S1'!G2*Main!$B$5)</f>
        <v>-14.578746932596701</v>
      </c>
      <c r="H2" s="2">
        <f>('[1]Qc, Spring, S1'!H2*Main!$B$5)</f>
        <v>-12.127171773311016</v>
      </c>
      <c r="I2" s="2">
        <f>('[1]Qc, Spring, S1'!I2*Main!$B$5)</f>
        <v>-2.9056835072979039</v>
      </c>
      <c r="J2" s="2">
        <f>('[1]Qc, Spring, S1'!J2*Main!$B$5)</f>
        <v>3.2561693637888069</v>
      </c>
      <c r="K2" s="2">
        <f>('[1]Qc, Spring, S1'!K2*Main!$B$5)</f>
        <v>5.9445117595682806</v>
      </c>
      <c r="L2" s="2">
        <f>('[1]Qc, Spring, S1'!L2*Main!$B$5)</f>
        <v>3.8959043041357777</v>
      </c>
      <c r="M2" s="2">
        <f>('[1]Qc, Spring, S1'!M2*Main!$B$5)</f>
        <v>5.3547433734114929</v>
      </c>
      <c r="N2" s="2">
        <f>('[1]Qc, Spring, S1'!N2*Main!$B$5)</f>
        <v>4.6944168213873754</v>
      </c>
      <c r="O2" s="2">
        <f>('[1]Qc, Spring, S1'!O2*Main!$B$5)</f>
        <v>4.693263269476013</v>
      </c>
      <c r="P2" s="2">
        <f>('[1]Qc, Spring, S1'!P2*Main!$B$5)</f>
        <v>1.0786056828125208</v>
      </c>
      <c r="Q2" s="2">
        <f>('[1]Qc, Spring, S1'!Q2*Main!$B$5)</f>
        <v>-1.9528638703976253</v>
      </c>
      <c r="R2" s="2">
        <f>('[1]Qc, Spring, S1'!R2*Main!$B$5)</f>
        <v>-0.84347744275423508</v>
      </c>
      <c r="S2" s="2">
        <f>('[1]Qc, Spring, S1'!S2*Main!$B$5)</f>
        <v>1.2076376416312848</v>
      </c>
      <c r="T2" s="2">
        <f>('[1]Qc, Spring, S1'!T2*Main!$B$5)</f>
        <v>7.2947183968969098E-2</v>
      </c>
      <c r="U2" s="2">
        <f>('[1]Qc, Spring, S1'!U2*Main!$B$5)</f>
        <v>-1.5623482059896794</v>
      </c>
      <c r="V2" s="2">
        <f>('[1]Qc, Spring, S1'!V2*Main!$B$5)</f>
        <v>-3.1709755257887093</v>
      </c>
      <c r="W2" s="2">
        <f>('[1]Qc, Spring, S1'!W2*Main!$B$5)</f>
        <v>-3.4959559666834807</v>
      </c>
      <c r="X2" s="2">
        <f>('[1]Qc, Spring, S1'!X2*Main!$B$5)</f>
        <v>-6.6961504328066326</v>
      </c>
      <c r="Y2" s="2">
        <f>('[1]Qc, Spring, S1'!Y2*Main!$B$5)</f>
        <v>-8.4377249959007301</v>
      </c>
    </row>
    <row r="3" spans="1:25" x14ac:dyDescent="0.3">
      <c r="A3">
        <v>2</v>
      </c>
      <c r="B3" s="2">
        <f>('[1]Qc, Spring, S1'!B3*Main!$B$5)</f>
        <v>-2.1672517682133199</v>
      </c>
      <c r="C3" s="2">
        <f>('[1]Qc, Spring, S1'!C3*Main!$B$5)</f>
        <v>-0.66397153818837995</v>
      </c>
      <c r="D3" s="2">
        <f>('[1]Qc, Spring, S1'!D3*Main!$B$5)</f>
        <v>-2.7805394202900535</v>
      </c>
      <c r="E3" s="2">
        <f>('[1]Qc, Spring, S1'!E3*Main!$B$5)</f>
        <v>-4.0496993745428149</v>
      </c>
      <c r="F3" s="2">
        <f>('[1]Qc, Spring, S1'!F3*Main!$B$5)</f>
        <v>-2.9722564216828009</v>
      </c>
      <c r="G3" s="2">
        <f>('[1]Qc, Spring, S1'!G3*Main!$B$5)</f>
        <v>-4.5435731253924185</v>
      </c>
      <c r="H3" s="2">
        <f>('[1]Qc, Spring, S1'!H3*Main!$B$5)</f>
        <v>-1.5560262636895863</v>
      </c>
      <c r="I3" s="2">
        <f>('[1]Qc, Spring, S1'!I3*Main!$B$5)</f>
        <v>1.2359420214092733</v>
      </c>
      <c r="J3" s="2">
        <f>('[1]Qc, Spring, S1'!J3*Main!$B$5)</f>
        <v>0.70795007110219577</v>
      </c>
      <c r="K3" s="2">
        <f>('[1]Qc, Spring, S1'!K3*Main!$B$5)</f>
        <v>0.85102034293742768</v>
      </c>
      <c r="L3" s="2">
        <f>('[1]Qc, Spring, S1'!L3*Main!$B$5)</f>
        <v>2.2694309365190732</v>
      </c>
      <c r="M3" s="2">
        <f>('[1]Qc, Spring, S1'!M3*Main!$B$5)</f>
        <v>1.3680097194977769</v>
      </c>
      <c r="N3" s="2">
        <f>('[1]Qc, Spring, S1'!N3*Main!$B$5)</f>
        <v>2.5061962824826658</v>
      </c>
      <c r="O3" s="2">
        <f>('[1]Qc, Spring, S1'!O3*Main!$B$5)</f>
        <v>3.5486873419396523</v>
      </c>
      <c r="P3" s="2">
        <f>('[1]Qc, Spring, S1'!P3*Main!$B$5)</f>
        <v>2.5521533638572786</v>
      </c>
      <c r="Q3" s="2">
        <f>('[1]Qc, Spring, S1'!Q3*Main!$B$5)</f>
        <v>3.4737115123922444</v>
      </c>
      <c r="R3" s="2">
        <f>('[1]Qc, Spring, S1'!R3*Main!$B$5)</f>
        <v>1.3096618972304288</v>
      </c>
      <c r="S3" s="2">
        <f>('[1]Qc, Spring, S1'!S3*Main!$B$5)</f>
        <v>1.2230553415656469</v>
      </c>
      <c r="T3" s="2">
        <f>('[1]Qc, Spring, S1'!T3*Main!$B$5)</f>
        <v>1.3096618972304288</v>
      </c>
      <c r="U3" s="2">
        <f>('[1]Qc, Spring, S1'!U3*Main!$B$5)</f>
        <v>1.2067903866585603</v>
      </c>
      <c r="V3" s="2">
        <f>('[1]Qc, Spring, S1'!V3*Main!$B$5)</f>
        <v>-0.62389773402496629</v>
      </c>
      <c r="W3" s="2">
        <f>('[1]Qc, Spring, S1'!W3*Main!$B$5)</f>
        <v>0.56300692501327287</v>
      </c>
      <c r="X3" s="2">
        <f>('[1]Qc, Spring, S1'!X3*Main!$B$5)</f>
        <v>-3.1204110273654111</v>
      </c>
      <c r="Y3" s="2">
        <f>('[1]Qc, Spring, S1'!Y3*Main!$B$5)</f>
        <v>-2.8144032609734855</v>
      </c>
    </row>
    <row r="4" spans="1:25" x14ac:dyDescent="0.3">
      <c r="A4">
        <v>3</v>
      </c>
      <c r="B4" s="2">
        <f>('[1]Qc, Spring, S1'!B4*Main!$B$5)</f>
        <v>10.020027433723428</v>
      </c>
      <c r="C4" s="2">
        <f>('[1]Qc, Spring, S1'!C4*Main!$B$5)</f>
        <v>7.9578501018426628</v>
      </c>
      <c r="D4" s="2">
        <f>('[1]Qc, Spring, S1'!D4*Main!$B$5)</f>
        <v>7.3879581833749164</v>
      </c>
      <c r="E4" s="2">
        <f>('[1]Qc, Spring, S1'!E4*Main!$B$5)</f>
        <v>6.8243918158616976</v>
      </c>
      <c r="F4" s="2">
        <f>('[1]Qc, Spring, S1'!F4*Main!$B$5)</f>
        <v>7.2820026326835974</v>
      </c>
      <c r="G4" s="2">
        <f>('[1]Qc, Spring, S1'!G4*Main!$B$5)</f>
        <v>5.6376872913859959</v>
      </c>
      <c r="H4" s="2">
        <f>('[1]Qc, Spring, S1'!H4*Main!$B$5)</f>
        <v>9.6443860055176565</v>
      </c>
      <c r="I4" s="2">
        <f>('[1]Qc, Spring, S1'!I4*Main!$B$5)</f>
        <v>13.897615680251558</v>
      </c>
      <c r="J4" s="2">
        <f>('[1]Qc, Spring, S1'!J4*Main!$B$5)</f>
        <v>18.807821828773548</v>
      </c>
      <c r="K4" s="2">
        <f>('[1]Qc, Spring, S1'!K4*Main!$B$5)</f>
        <v>22.130863970929774</v>
      </c>
      <c r="L4" s="2">
        <f>('[1]Qc, Spring, S1'!L4*Main!$B$5)</f>
        <v>22.499176192475527</v>
      </c>
      <c r="M4" s="2">
        <f>('[1]Qc, Spring, S1'!M4*Main!$B$5)</f>
        <v>22.83446157765529</v>
      </c>
      <c r="N4" s="2">
        <f>('[1]Qc, Spring, S1'!N4*Main!$B$5)</f>
        <v>24.521290203967187</v>
      </c>
      <c r="O4" s="2">
        <f>('[1]Qc, Spring, S1'!O4*Main!$B$5)</f>
        <v>23.61340144328463</v>
      </c>
      <c r="P4" s="2">
        <f>('[1]Qc, Spring, S1'!P4*Main!$B$5)</f>
        <v>21.931503094828273</v>
      </c>
      <c r="Q4" s="2">
        <f>('[1]Qc, Spring, S1'!Q4*Main!$B$5)</f>
        <v>21.764299309449353</v>
      </c>
      <c r="R4" s="2">
        <f>('[1]Qc, Spring, S1'!R4*Main!$B$5)</f>
        <v>21.128201666922607</v>
      </c>
      <c r="S4" s="2">
        <f>('[1]Qc, Spring, S1'!S4*Main!$B$5)</f>
        <v>22.216806329619519</v>
      </c>
      <c r="T4" s="2">
        <f>('[1]Qc, Spring, S1'!T4*Main!$B$5)</f>
        <v>22.062510827173949</v>
      </c>
      <c r="U4" s="2">
        <f>('[1]Qc, Spring, S1'!U4*Main!$B$5)</f>
        <v>21.803381624876302</v>
      </c>
      <c r="V4" s="2">
        <f>('[1]Qc, Spring, S1'!V4*Main!$B$5)</f>
        <v>18.760740545820276</v>
      </c>
      <c r="W4" s="2">
        <f>('[1]Qc, Spring, S1'!W4*Main!$B$5)</f>
        <v>20.355375979972173</v>
      </c>
      <c r="X4" s="2">
        <f>('[1]Qc, Spring, S1'!X4*Main!$B$5)</f>
        <v>17.185019191327342</v>
      </c>
      <c r="Y4" s="2">
        <f>('[1]Qc, Spring, S1'!Y4*Main!$B$5)</f>
        <v>14.276646476619804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EA5EA-0B6A-47A3-A1C6-41E65EF57CD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-11.771029151260995</v>
      </c>
      <c r="C2" s="2">
        <f>('[1]Qc, Spring, S1'!C2*Main!$B$5)</f>
        <v>-13.869103673687329</v>
      </c>
      <c r="D2" s="2">
        <f>('[1]Qc, Spring, S1'!D2*Main!$B$5)</f>
        <v>-15.588342734823923</v>
      </c>
      <c r="E2" s="2">
        <f>('[1]Qc, Spring, S1'!E2*Main!$B$5)</f>
        <v>-14.681192128930521</v>
      </c>
      <c r="F2" s="2">
        <f>('[1]Qc, Spring, S1'!F2*Main!$B$5)</f>
        <v>-14.828798898735464</v>
      </c>
      <c r="G2" s="2">
        <f>('[1]Qc, Spring, S1'!G2*Main!$B$5)</f>
        <v>-14.578746932596701</v>
      </c>
      <c r="H2" s="2">
        <f>('[1]Qc, Spring, S1'!H2*Main!$B$5)</f>
        <v>-12.127171773311016</v>
      </c>
      <c r="I2" s="2">
        <f>('[1]Qc, Spring, S1'!I2*Main!$B$5)</f>
        <v>-2.9056835072979039</v>
      </c>
      <c r="J2" s="2">
        <f>('[1]Qc, Spring, S1'!J2*Main!$B$5)</f>
        <v>3.2561693637888069</v>
      </c>
      <c r="K2" s="2">
        <f>('[1]Qc, Spring, S1'!K2*Main!$B$5)</f>
        <v>5.9445117595682806</v>
      </c>
      <c r="L2" s="2">
        <f>('[1]Qc, Spring, S1'!L2*Main!$B$5)</f>
        <v>3.8959043041357777</v>
      </c>
      <c r="M2" s="2">
        <f>('[1]Qc, Spring, S1'!M2*Main!$B$5)</f>
        <v>5.3547433734114929</v>
      </c>
      <c r="N2" s="2">
        <f>('[1]Qc, Spring, S1'!N2*Main!$B$5)</f>
        <v>4.6944168213873754</v>
      </c>
      <c r="O2" s="2">
        <f>('[1]Qc, Spring, S1'!O2*Main!$B$5)</f>
        <v>4.693263269476013</v>
      </c>
      <c r="P2" s="2">
        <f>('[1]Qc, Spring, S1'!P2*Main!$B$5)</f>
        <v>1.0786056828125208</v>
      </c>
      <c r="Q2" s="2">
        <f>('[1]Qc, Spring, S1'!Q2*Main!$B$5)</f>
        <v>-1.9528638703976253</v>
      </c>
      <c r="R2" s="2">
        <f>('[1]Qc, Spring, S1'!R2*Main!$B$5)</f>
        <v>-0.84347744275423508</v>
      </c>
      <c r="S2" s="2">
        <f>('[1]Qc, Spring, S1'!S2*Main!$B$5)</f>
        <v>1.2076376416312848</v>
      </c>
      <c r="T2" s="2">
        <f>('[1]Qc, Spring, S1'!T2*Main!$B$5)</f>
        <v>7.2947183968969098E-2</v>
      </c>
      <c r="U2" s="2">
        <f>('[1]Qc, Spring, S1'!U2*Main!$B$5)</f>
        <v>-1.5623482059896794</v>
      </c>
      <c r="V2" s="2">
        <f>('[1]Qc, Spring, S1'!V2*Main!$B$5)</f>
        <v>-3.1709755257887093</v>
      </c>
      <c r="W2" s="2">
        <f>('[1]Qc, Spring, S1'!W2*Main!$B$5)</f>
        <v>-3.4959559666834807</v>
      </c>
      <c r="X2" s="2">
        <f>('[1]Qc, Spring, S1'!X2*Main!$B$5)</f>
        <v>-6.6961504328066326</v>
      </c>
      <c r="Y2" s="2">
        <f>('[1]Qc, Spring, S1'!Y2*Main!$B$5)</f>
        <v>-8.4377249959007301</v>
      </c>
    </row>
    <row r="3" spans="1:25" x14ac:dyDescent="0.3">
      <c r="A3">
        <v>2</v>
      </c>
      <c r="B3" s="2">
        <f>('[1]Qc, Spring, S1'!B3*Main!$B$5)</f>
        <v>-2.1672517682133199</v>
      </c>
      <c r="C3" s="2">
        <f>('[1]Qc, Spring, S1'!C3*Main!$B$5)</f>
        <v>-0.66397153818837995</v>
      </c>
      <c r="D3" s="2">
        <f>('[1]Qc, Spring, S1'!D3*Main!$B$5)</f>
        <v>-2.7805394202900535</v>
      </c>
      <c r="E3" s="2">
        <f>('[1]Qc, Spring, S1'!E3*Main!$B$5)</f>
        <v>-4.0496993745428149</v>
      </c>
      <c r="F3" s="2">
        <f>('[1]Qc, Spring, S1'!F3*Main!$B$5)</f>
        <v>-2.9722564216828009</v>
      </c>
      <c r="G3" s="2">
        <f>('[1]Qc, Spring, S1'!G3*Main!$B$5)</f>
        <v>-4.5435731253924185</v>
      </c>
      <c r="H3" s="2">
        <f>('[1]Qc, Spring, S1'!H3*Main!$B$5)</f>
        <v>-1.5560262636895863</v>
      </c>
      <c r="I3" s="2">
        <f>('[1]Qc, Spring, S1'!I3*Main!$B$5)</f>
        <v>1.2359420214092733</v>
      </c>
      <c r="J3" s="2">
        <f>('[1]Qc, Spring, S1'!J3*Main!$B$5)</f>
        <v>0.70795007110219577</v>
      </c>
      <c r="K3" s="2">
        <f>('[1]Qc, Spring, S1'!K3*Main!$B$5)</f>
        <v>0.85102034293742768</v>
      </c>
      <c r="L3" s="2">
        <f>('[1]Qc, Spring, S1'!L3*Main!$B$5)</f>
        <v>2.2694309365190732</v>
      </c>
      <c r="M3" s="2">
        <f>('[1]Qc, Spring, S1'!M3*Main!$B$5)</f>
        <v>1.3680097194977769</v>
      </c>
      <c r="N3" s="2">
        <f>('[1]Qc, Spring, S1'!N3*Main!$B$5)</f>
        <v>2.5061962824826658</v>
      </c>
      <c r="O3" s="2">
        <f>('[1]Qc, Spring, S1'!O3*Main!$B$5)</f>
        <v>3.5486873419396523</v>
      </c>
      <c r="P3" s="2">
        <f>('[1]Qc, Spring, S1'!P3*Main!$B$5)</f>
        <v>2.5521533638572786</v>
      </c>
      <c r="Q3" s="2">
        <f>('[1]Qc, Spring, S1'!Q3*Main!$B$5)</f>
        <v>3.4737115123922444</v>
      </c>
      <c r="R3" s="2">
        <f>('[1]Qc, Spring, S1'!R3*Main!$B$5)</f>
        <v>1.3096618972304288</v>
      </c>
      <c r="S3" s="2">
        <f>('[1]Qc, Spring, S1'!S3*Main!$B$5)</f>
        <v>1.2230553415656469</v>
      </c>
      <c r="T3" s="2">
        <f>('[1]Qc, Spring, S1'!T3*Main!$B$5)</f>
        <v>1.3096618972304288</v>
      </c>
      <c r="U3" s="2">
        <f>('[1]Qc, Spring, S1'!U3*Main!$B$5)</f>
        <v>1.2067903866585603</v>
      </c>
      <c r="V3" s="2">
        <f>('[1]Qc, Spring, S1'!V3*Main!$B$5)</f>
        <v>-0.62389773402496629</v>
      </c>
      <c r="W3" s="2">
        <f>('[1]Qc, Spring, S1'!W3*Main!$B$5)</f>
        <v>0.56300692501327287</v>
      </c>
      <c r="X3" s="2">
        <f>('[1]Qc, Spring, S1'!X3*Main!$B$5)</f>
        <v>-3.1204110273654111</v>
      </c>
      <c r="Y3" s="2">
        <f>('[1]Qc, Spring, S1'!Y3*Main!$B$5)</f>
        <v>-2.8144032609734855</v>
      </c>
    </row>
    <row r="4" spans="1:25" x14ac:dyDescent="0.3">
      <c r="A4">
        <v>3</v>
      </c>
      <c r="B4" s="2">
        <f>('[1]Qc, Spring, S1'!B4*Main!$B$5)</f>
        <v>10.020027433723428</v>
      </c>
      <c r="C4" s="2">
        <f>('[1]Qc, Spring, S1'!C4*Main!$B$5)</f>
        <v>7.9578501018426628</v>
      </c>
      <c r="D4" s="2">
        <f>('[1]Qc, Spring, S1'!D4*Main!$B$5)</f>
        <v>7.3879581833749164</v>
      </c>
      <c r="E4" s="2">
        <f>('[1]Qc, Spring, S1'!E4*Main!$B$5)</f>
        <v>6.8243918158616976</v>
      </c>
      <c r="F4" s="2">
        <f>('[1]Qc, Spring, S1'!F4*Main!$B$5)</f>
        <v>7.2820026326835974</v>
      </c>
      <c r="G4" s="2">
        <f>('[1]Qc, Spring, S1'!G4*Main!$B$5)</f>
        <v>5.6376872913859959</v>
      </c>
      <c r="H4" s="2">
        <f>('[1]Qc, Spring, S1'!H4*Main!$B$5)</f>
        <v>9.6443860055176565</v>
      </c>
      <c r="I4" s="2">
        <f>('[1]Qc, Spring, S1'!I4*Main!$B$5)</f>
        <v>13.897615680251558</v>
      </c>
      <c r="J4" s="2">
        <f>('[1]Qc, Spring, S1'!J4*Main!$B$5)</f>
        <v>18.807821828773548</v>
      </c>
      <c r="K4" s="2">
        <f>('[1]Qc, Spring, S1'!K4*Main!$B$5)</f>
        <v>22.130863970929774</v>
      </c>
      <c r="L4" s="2">
        <f>('[1]Qc, Spring, S1'!L4*Main!$B$5)</f>
        <v>22.499176192475527</v>
      </c>
      <c r="M4" s="2">
        <f>('[1]Qc, Spring, S1'!M4*Main!$B$5)</f>
        <v>22.83446157765529</v>
      </c>
      <c r="N4" s="2">
        <f>('[1]Qc, Spring, S1'!N4*Main!$B$5)</f>
        <v>24.521290203967187</v>
      </c>
      <c r="O4" s="2">
        <f>('[1]Qc, Spring, S1'!O4*Main!$B$5)</f>
        <v>23.61340144328463</v>
      </c>
      <c r="P4" s="2">
        <f>('[1]Qc, Spring, S1'!P4*Main!$B$5)</f>
        <v>21.931503094828273</v>
      </c>
      <c r="Q4" s="2">
        <f>('[1]Qc, Spring, S1'!Q4*Main!$B$5)</f>
        <v>21.764299309449353</v>
      </c>
      <c r="R4" s="2">
        <f>('[1]Qc, Spring, S1'!R4*Main!$B$5)</f>
        <v>21.128201666922607</v>
      </c>
      <c r="S4" s="2">
        <f>('[1]Qc, Spring, S1'!S4*Main!$B$5)</f>
        <v>22.216806329619519</v>
      </c>
      <c r="T4" s="2">
        <f>('[1]Qc, Spring, S1'!T4*Main!$B$5)</f>
        <v>22.062510827173949</v>
      </c>
      <c r="U4" s="2">
        <f>('[1]Qc, Spring, S1'!U4*Main!$B$5)</f>
        <v>21.803381624876302</v>
      </c>
      <c r="V4" s="2">
        <f>('[1]Qc, Spring, S1'!V4*Main!$B$5)</f>
        <v>18.760740545820276</v>
      </c>
      <c r="W4" s="2">
        <f>('[1]Qc, Spring, S1'!W4*Main!$B$5)</f>
        <v>20.355375979972173</v>
      </c>
      <c r="X4" s="2">
        <f>('[1]Qc, Spring, S1'!X4*Main!$B$5)</f>
        <v>17.185019191327342</v>
      </c>
      <c r="Y4" s="2">
        <f>('[1]Qc, Spring, S1'!Y4*Main!$B$5)</f>
        <v>14.276646476619804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54F07-C1AD-4D86-B5D4-DA6C81A87E64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-12.124160025798824</v>
      </c>
      <c r="C2" s="2">
        <f>('[1]Qc, Spring, S2'!C2*Main!$B$5)</f>
        <v>-14.285176783897947</v>
      </c>
      <c r="D2" s="2">
        <f>('[1]Qc, Spring, S2'!D2*Main!$B$5)</f>
        <v>-16.055993016868641</v>
      </c>
      <c r="E2" s="2">
        <f>('[1]Qc, Spring, S2'!E2*Main!$B$5)</f>
        <v>-15.121627892798438</v>
      </c>
      <c r="F2" s="2">
        <f>('[1]Qc, Spring, S2'!F2*Main!$B$5)</f>
        <v>-15.273662865697528</v>
      </c>
      <c r="G2" s="2">
        <f>('[1]Qc, Spring, S2'!G2*Main!$B$5)</f>
        <v>-15.016109340574603</v>
      </c>
      <c r="H2" s="2">
        <f>('[1]Qc, Spring, S2'!H2*Main!$B$5)</f>
        <v>-12.490986926510347</v>
      </c>
      <c r="I2" s="2">
        <f>('[1]Qc, Spring, S2'!I2*Main!$B$5)</f>
        <v>-2.9928540125168412</v>
      </c>
      <c r="J2" s="2">
        <f>('[1]Qc, Spring, S2'!J2*Main!$B$5)</f>
        <v>3.3538544447024714</v>
      </c>
      <c r="K2" s="2">
        <f>('[1]Qc, Spring, S2'!K2*Main!$B$5)</f>
        <v>6.1228471123553287</v>
      </c>
      <c r="L2" s="2">
        <f>('[1]Qc, Spring, S2'!L2*Main!$B$5)</f>
        <v>4.0127814332598515</v>
      </c>
      <c r="M2" s="2">
        <f>('[1]Qc, Spring, S2'!M2*Main!$B$5)</f>
        <v>5.5153856746138388</v>
      </c>
      <c r="N2" s="2">
        <f>('[1]Qc, Spring, S2'!N2*Main!$B$5)</f>
        <v>4.8352493260289968</v>
      </c>
      <c r="O2" s="2">
        <f>('[1]Qc, Spring, S2'!O2*Main!$B$5)</f>
        <v>4.8340611675602947</v>
      </c>
      <c r="P2" s="2">
        <f>('[1]Qc, Spring, S2'!P2*Main!$B$5)</f>
        <v>1.1109638532968966</v>
      </c>
      <c r="Q2" s="2">
        <f>('[1]Qc, Spring, S2'!Q2*Main!$B$5)</f>
        <v>-2.0114497865095542</v>
      </c>
      <c r="R2" s="2">
        <f>('[1]Qc, Spring, S2'!R2*Main!$B$5)</f>
        <v>-0.86878176603686219</v>
      </c>
      <c r="S2" s="2">
        <f>('[1]Qc, Spring, S2'!S2*Main!$B$5)</f>
        <v>1.2438667708802233</v>
      </c>
      <c r="T2" s="2">
        <f>('[1]Qc, Spring, S2'!T2*Main!$B$5)</f>
        <v>7.5135599488038177E-2</v>
      </c>
      <c r="U2" s="2">
        <f>('[1]Qc, Spring, S2'!U2*Main!$B$5)</f>
        <v>-1.6092186521693697</v>
      </c>
      <c r="V2" s="2">
        <f>('[1]Qc, Spring, S2'!V2*Main!$B$5)</f>
        <v>-3.2661047915623707</v>
      </c>
      <c r="W2" s="2">
        <f>('[1]Qc, Spring, S2'!W2*Main!$B$5)</f>
        <v>-3.6008346456839848</v>
      </c>
      <c r="X2" s="2">
        <f>('[1]Qc, Spring, S2'!X2*Main!$B$5)</f>
        <v>-6.897034945790832</v>
      </c>
      <c r="Y2" s="2">
        <f>('[1]Qc, Spring, S2'!Y2*Main!$B$5)</f>
        <v>-8.6908567457777526</v>
      </c>
    </row>
    <row r="3" spans="1:25" x14ac:dyDescent="0.3">
      <c r="A3">
        <v>2</v>
      </c>
      <c r="B3" s="2">
        <f>('[1]Qc, Spring, S2'!B3*Main!$B$5)</f>
        <v>-2.2322693212597193</v>
      </c>
      <c r="C3" s="2">
        <f>('[1]Qc, Spring, S2'!C3*Main!$B$5)</f>
        <v>-0.68389068433403155</v>
      </c>
      <c r="D3" s="2">
        <f>('[1]Qc, Spring, S2'!D3*Main!$B$5)</f>
        <v>-2.8639556028987547</v>
      </c>
      <c r="E3" s="2">
        <f>('[1]Qc, Spring, S2'!E3*Main!$B$5)</f>
        <v>-4.1711903557790997</v>
      </c>
      <c r="F3" s="2">
        <f>('[1]Qc, Spring, S2'!F3*Main!$B$5)</f>
        <v>-3.0614241143332848</v>
      </c>
      <c r="G3" s="2">
        <f>('[1]Qc, Spring, S2'!G3*Main!$B$5)</f>
        <v>-4.6798803191541918</v>
      </c>
      <c r="H3" s="2">
        <f>('[1]Qc, Spring, S2'!H3*Main!$B$5)</f>
        <v>-1.6027070516002737</v>
      </c>
      <c r="I3" s="2">
        <f>('[1]Qc, Spring, S2'!I3*Main!$B$5)</f>
        <v>1.2730202820515517</v>
      </c>
      <c r="J3" s="2">
        <f>('[1]Qc, Spring, S2'!J3*Main!$B$5)</f>
        <v>0.72918857323526154</v>
      </c>
      <c r="K3" s="2">
        <f>('[1]Qc, Spring, S2'!K3*Main!$B$5)</f>
        <v>0.87655095322555054</v>
      </c>
      <c r="L3" s="2">
        <f>('[1]Qc, Spring, S2'!L3*Main!$B$5)</f>
        <v>2.3375138646146452</v>
      </c>
      <c r="M3" s="2">
        <f>('[1]Qc, Spring, S2'!M3*Main!$B$5)</f>
        <v>1.4090500110827102</v>
      </c>
      <c r="N3" s="2">
        <f>('[1]Qc, Spring, S2'!N3*Main!$B$5)</f>
        <v>2.5813821709571463</v>
      </c>
      <c r="O3" s="2">
        <f>('[1]Qc, Spring, S2'!O3*Main!$B$5)</f>
        <v>3.6551479621978413</v>
      </c>
      <c r="P3" s="2">
        <f>('[1]Qc, Spring, S2'!P3*Main!$B$5)</f>
        <v>2.6287179647729975</v>
      </c>
      <c r="Q3" s="2">
        <f>('[1]Qc, Spring, S2'!Q3*Main!$B$5)</f>
        <v>3.5779228577640119</v>
      </c>
      <c r="R3" s="2">
        <f>('[1]Qc, Spring, S2'!R3*Main!$B$5)</f>
        <v>1.3489517541473415</v>
      </c>
      <c r="S3" s="2">
        <f>('[1]Qc, Spring, S2'!S3*Main!$B$5)</f>
        <v>1.2597470018126162</v>
      </c>
      <c r="T3" s="2">
        <f>('[1]Qc, Spring, S2'!T3*Main!$B$5)</f>
        <v>1.3489517541473415</v>
      </c>
      <c r="U3" s="2">
        <f>('[1]Qc, Spring, S2'!U3*Main!$B$5)</f>
        <v>1.2429940982583172</v>
      </c>
      <c r="V3" s="2">
        <f>('[1]Qc, Spring, S2'!V3*Main!$B$5)</f>
        <v>-0.64261466604571527</v>
      </c>
      <c r="W3" s="2">
        <f>('[1]Qc, Spring, S2'!W3*Main!$B$5)</f>
        <v>0.57989713276367105</v>
      </c>
      <c r="X3" s="2">
        <f>('[1]Qc, Spring, S2'!X3*Main!$B$5)</f>
        <v>-3.2140233581863735</v>
      </c>
      <c r="Y3" s="2">
        <f>('[1]Qc, Spring, S2'!Y3*Main!$B$5)</f>
        <v>-2.8988353588026898</v>
      </c>
    </row>
    <row r="4" spans="1:25" x14ac:dyDescent="0.3">
      <c r="A4">
        <v>3</v>
      </c>
      <c r="B4" s="2">
        <f>('[1]Qc, Spring, S2'!B4*Main!$B$5)</f>
        <v>10.320628256735128</v>
      </c>
      <c r="C4" s="2">
        <f>('[1]Qc, Spring, S2'!C4*Main!$B$5)</f>
        <v>8.196585604897944</v>
      </c>
      <c r="D4" s="2">
        <f>('[1]Qc, Spring, S2'!D4*Main!$B$5)</f>
        <v>7.6095969288761633</v>
      </c>
      <c r="E4" s="2">
        <f>('[1]Qc, Spring, S2'!E4*Main!$B$5)</f>
        <v>7.029123570337549</v>
      </c>
      <c r="F4" s="2">
        <f>('[1]Qc, Spring, S2'!F4*Main!$B$5)</f>
        <v>7.5004627116641052</v>
      </c>
      <c r="G4" s="2">
        <f>('[1]Qc, Spring, S2'!G4*Main!$B$5)</f>
        <v>5.8068179101275765</v>
      </c>
      <c r="H4" s="2">
        <f>('[1]Qc, Spring, S2'!H4*Main!$B$5)</f>
        <v>9.933717585683187</v>
      </c>
      <c r="I4" s="2">
        <f>('[1]Qc, Spring, S2'!I4*Main!$B$5)</f>
        <v>14.314544150659104</v>
      </c>
      <c r="J4" s="2">
        <f>('[1]Qc, Spring, S2'!J4*Main!$B$5)</f>
        <v>19.372056483636758</v>
      </c>
      <c r="K4" s="2">
        <f>('[1]Qc, Spring, S2'!K4*Main!$B$5)</f>
        <v>22.794789890057668</v>
      </c>
      <c r="L4" s="2">
        <f>('[1]Qc, Spring, S2'!L4*Main!$B$5)</f>
        <v>23.174151478249794</v>
      </c>
      <c r="M4" s="2">
        <f>('[1]Qc, Spring, S2'!M4*Main!$B$5)</f>
        <v>23.519495424984949</v>
      </c>
      <c r="N4" s="2">
        <f>('[1]Qc, Spring, S2'!N4*Main!$B$5)</f>
        <v>25.256928910086206</v>
      </c>
      <c r="O4" s="2">
        <f>('[1]Qc, Spring, S2'!O4*Main!$B$5)</f>
        <v>24.321803486583168</v>
      </c>
      <c r="P4" s="2">
        <f>('[1]Qc, Spring, S2'!P4*Main!$B$5)</f>
        <v>22.589448187673117</v>
      </c>
      <c r="Q4" s="2">
        <f>('[1]Qc, Spring, S2'!Q4*Main!$B$5)</f>
        <v>22.417228288732833</v>
      </c>
      <c r="R4" s="2">
        <f>('[1]Qc, Spring, S2'!R4*Main!$B$5)</f>
        <v>21.762047716930283</v>
      </c>
      <c r="S4" s="2">
        <f>('[1]Qc, Spring, S2'!S4*Main!$B$5)</f>
        <v>22.883310519508104</v>
      </c>
      <c r="T4" s="2">
        <f>('[1]Qc, Spring, S2'!T4*Main!$B$5)</f>
        <v>22.724386151989172</v>
      </c>
      <c r="U4" s="2">
        <f>('[1]Qc, Spring, S2'!U4*Main!$B$5)</f>
        <v>22.457483073622587</v>
      </c>
      <c r="V4" s="2">
        <f>('[1]Qc, Spring, S2'!V4*Main!$B$5)</f>
        <v>19.323562762194882</v>
      </c>
      <c r="W4" s="2">
        <f>('[1]Qc, Spring, S2'!W4*Main!$B$5)</f>
        <v>20.966037259371337</v>
      </c>
      <c r="X4" s="2">
        <f>('[1]Qc, Spring, S2'!X4*Main!$B$5)</f>
        <v>17.700569767067158</v>
      </c>
      <c r="Y4" s="2">
        <f>('[1]Qc, Spring, S2'!Y4*Main!$B$5)</f>
        <v>14.704945870918399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A6530-5877-4027-8363-AD7F85A7384A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-12.124160025798824</v>
      </c>
      <c r="C2" s="2">
        <f>('[1]Qc, Spring, S2'!C2*Main!$B$5)</f>
        <v>-14.285176783897947</v>
      </c>
      <c r="D2" s="2">
        <f>('[1]Qc, Spring, S2'!D2*Main!$B$5)</f>
        <v>-16.055993016868641</v>
      </c>
      <c r="E2" s="2">
        <f>('[1]Qc, Spring, S2'!E2*Main!$B$5)</f>
        <v>-15.121627892798438</v>
      </c>
      <c r="F2" s="2">
        <f>('[1]Qc, Spring, S2'!F2*Main!$B$5)</f>
        <v>-15.273662865697528</v>
      </c>
      <c r="G2" s="2">
        <f>('[1]Qc, Spring, S2'!G2*Main!$B$5)</f>
        <v>-15.016109340574603</v>
      </c>
      <c r="H2" s="2">
        <f>('[1]Qc, Spring, S2'!H2*Main!$B$5)</f>
        <v>-12.490986926510347</v>
      </c>
      <c r="I2" s="2">
        <f>('[1]Qc, Spring, S2'!I2*Main!$B$5)</f>
        <v>-2.9928540125168412</v>
      </c>
      <c r="J2" s="2">
        <f>('[1]Qc, Spring, S2'!J2*Main!$B$5)</f>
        <v>3.3538544447024714</v>
      </c>
      <c r="K2" s="2">
        <f>('[1]Qc, Spring, S2'!K2*Main!$B$5)</f>
        <v>6.1228471123553287</v>
      </c>
      <c r="L2" s="2">
        <f>('[1]Qc, Spring, S2'!L2*Main!$B$5)</f>
        <v>4.0127814332598515</v>
      </c>
      <c r="M2" s="2">
        <f>('[1]Qc, Spring, S2'!M2*Main!$B$5)</f>
        <v>5.5153856746138388</v>
      </c>
      <c r="N2" s="2">
        <f>('[1]Qc, Spring, S2'!N2*Main!$B$5)</f>
        <v>4.8352493260289968</v>
      </c>
      <c r="O2" s="2">
        <f>('[1]Qc, Spring, S2'!O2*Main!$B$5)</f>
        <v>4.8340611675602947</v>
      </c>
      <c r="P2" s="2">
        <f>('[1]Qc, Spring, S2'!P2*Main!$B$5)</f>
        <v>1.1109638532968966</v>
      </c>
      <c r="Q2" s="2">
        <f>('[1]Qc, Spring, S2'!Q2*Main!$B$5)</f>
        <v>-2.0114497865095542</v>
      </c>
      <c r="R2" s="2">
        <f>('[1]Qc, Spring, S2'!R2*Main!$B$5)</f>
        <v>-0.86878176603686219</v>
      </c>
      <c r="S2" s="2">
        <f>('[1]Qc, Spring, S2'!S2*Main!$B$5)</f>
        <v>1.2438667708802233</v>
      </c>
      <c r="T2" s="2">
        <f>('[1]Qc, Spring, S2'!T2*Main!$B$5)</f>
        <v>7.5135599488038177E-2</v>
      </c>
      <c r="U2" s="2">
        <f>('[1]Qc, Spring, S2'!U2*Main!$B$5)</f>
        <v>-1.6092186521693697</v>
      </c>
      <c r="V2" s="2">
        <f>('[1]Qc, Spring, S2'!V2*Main!$B$5)</f>
        <v>-3.2661047915623707</v>
      </c>
      <c r="W2" s="2">
        <f>('[1]Qc, Spring, S2'!W2*Main!$B$5)</f>
        <v>-3.6008346456839848</v>
      </c>
      <c r="X2" s="2">
        <f>('[1]Qc, Spring, S2'!X2*Main!$B$5)</f>
        <v>-6.897034945790832</v>
      </c>
      <c r="Y2" s="2">
        <f>('[1]Qc, Spring, S2'!Y2*Main!$B$5)</f>
        <v>-8.6908567457777526</v>
      </c>
    </row>
    <row r="3" spans="1:25" x14ac:dyDescent="0.3">
      <c r="A3">
        <v>2</v>
      </c>
      <c r="B3" s="2">
        <f>('[1]Qc, Spring, S2'!B3*Main!$B$5)</f>
        <v>-2.2322693212597193</v>
      </c>
      <c r="C3" s="2">
        <f>('[1]Qc, Spring, S2'!C3*Main!$B$5)</f>
        <v>-0.68389068433403155</v>
      </c>
      <c r="D3" s="2">
        <f>('[1]Qc, Spring, S2'!D3*Main!$B$5)</f>
        <v>-2.8639556028987547</v>
      </c>
      <c r="E3" s="2">
        <f>('[1]Qc, Spring, S2'!E3*Main!$B$5)</f>
        <v>-4.1711903557790997</v>
      </c>
      <c r="F3" s="2">
        <f>('[1]Qc, Spring, S2'!F3*Main!$B$5)</f>
        <v>-3.0614241143332848</v>
      </c>
      <c r="G3" s="2">
        <f>('[1]Qc, Spring, S2'!G3*Main!$B$5)</f>
        <v>-4.6798803191541918</v>
      </c>
      <c r="H3" s="2">
        <f>('[1]Qc, Spring, S2'!H3*Main!$B$5)</f>
        <v>-1.6027070516002737</v>
      </c>
      <c r="I3" s="2">
        <f>('[1]Qc, Spring, S2'!I3*Main!$B$5)</f>
        <v>1.2730202820515517</v>
      </c>
      <c r="J3" s="2">
        <f>('[1]Qc, Spring, S2'!J3*Main!$B$5)</f>
        <v>0.72918857323526154</v>
      </c>
      <c r="K3" s="2">
        <f>('[1]Qc, Spring, S2'!K3*Main!$B$5)</f>
        <v>0.87655095322555054</v>
      </c>
      <c r="L3" s="2">
        <f>('[1]Qc, Spring, S2'!L3*Main!$B$5)</f>
        <v>2.3375138646146452</v>
      </c>
      <c r="M3" s="2">
        <f>('[1]Qc, Spring, S2'!M3*Main!$B$5)</f>
        <v>1.4090500110827102</v>
      </c>
      <c r="N3" s="2">
        <f>('[1]Qc, Spring, S2'!N3*Main!$B$5)</f>
        <v>2.5813821709571463</v>
      </c>
      <c r="O3" s="2">
        <f>('[1]Qc, Spring, S2'!O3*Main!$B$5)</f>
        <v>3.6551479621978413</v>
      </c>
      <c r="P3" s="2">
        <f>('[1]Qc, Spring, S2'!P3*Main!$B$5)</f>
        <v>2.6287179647729975</v>
      </c>
      <c r="Q3" s="2">
        <f>('[1]Qc, Spring, S2'!Q3*Main!$B$5)</f>
        <v>3.5779228577640119</v>
      </c>
      <c r="R3" s="2">
        <f>('[1]Qc, Spring, S2'!R3*Main!$B$5)</f>
        <v>1.3489517541473415</v>
      </c>
      <c r="S3" s="2">
        <f>('[1]Qc, Spring, S2'!S3*Main!$B$5)</f>
        <v>1.2597470018126162</v>
      </c>
      <c r="T3" s="2">
        <f>('[1]Qc, Spring, S2'!T3*Main!$B$5)</f>
        <v>1.3489517541473415</v>
      </c>
      <c r="U3" s="2">
        <f>('[1]Qc, Spring, S2'!U3*Main!$B$5)</f>
        <v>1.2429940982583172</v>
      </c>
      <c r="V3" s="2">
        <f>('[1]Qc, Spring, S2'!V3*Main!$B$5)</f>
        <v>-0.64261466604571527</v>
      </c>
      <c r="W3" s="2">
        <f>('[1]Qc, Spring, S2'!W3*Main!$B$5)</f>
        <v>0.57989713276367105</v>
      </c>
      <c r="X3" s="2">
        <f>('[1]Qc, Spring, S2'!X3*Main!$B$5)</f>
        <v>-3.2140233581863735</v>
      </c>
      <c r="Y3" s="2">
        <f>('[1]Qc, Spring, S2'!Y3*Main!$B$5)</f>
        <v>-2.8988353588026898</v>
      </c>
    </row>
    <row r="4" spans="1:25" x14ac:dyDescent="0.3">
      <c r="A4">
        <v>3</v>
      </c>
      <c r="B4" s="2">
        <f>('[1]Qc, Spring, S2'!B4*Main!$B$5)</f>
        <v>10.320628256735128</v>
      </c>
      <c r="C4" s="2">
        <f>('[1]Qc, Spring, S2'!C4*Main!$B$5)</f>
        <v>8.196585604897944</v>
      </c>
      <c r="D4" s="2">
        <f>('[1]Qc, Spring, S2'!D4*Main!$B$5)</f>
        <v>7.6095969288761633</v>
      </c>
      <c r="E4" s="2">
        <f>('[1]Qc, Spring, S2'!E4*Main!$B$5)</f>
        <v>7.029123570337549</v>
      </c>
      <c r="F4" s="2">
        <f>('[1]Qc, Spring, S2'!F4*Main!$B$5)</f>
        <v>7.5004627116641052</v>
      </c>
      <c r="G4" s="2">
        <f>('[1]Qc, Spring, S2'!G4*Main!$B$5)</f>
        <v>5.8068179101275765</v>
      </c>
      <c r="H4" s="2">
        <f>('[1]Qc, Spring, S2'!H4*Main!$B$5)</f>
        <v>9.933717585683187</v>
      </c>
      <c r="I4" s="2">
        <f>('[1]Qc, Spring, S2'!I4*Main!$B$5)</f>
        <v>14.314544150659104</v>
      </c>
      <c r="J4" s="2">
        <f>('[1]Qc, Spring, S2'!J4*Main!$B$5)</f>
        <v>19.372056483636758</v>
      </c>
      <c r="K4" s="2">
        <f>('[1]Qc, Spring, S2'!K4*Main!$B$5)</f>
        <v>22.794789890057668</v>
      </c>
      <c r="L4" s="2">
        <f>('[1]Qc, Spring, S2'!L4*Main!$B$5)</f>
        <v>23.174151478249794</v>
      </c>
      <c r="M4" s="2">
        <f>('[1]Qc, Spring, S2'!M4*Main!$B$5)</f>
        <v>23.519495424984949</v>
      </c>
      <c r="N4" s="2">
        <f>('[1]Qc, Spring, S2'!N4*Main!$B$5)</f>
        <v>25.256928910086206</v>
      </c>
      <c r="O4" s="2">
        <f>('[1]Qc, Spring, S2'!O4*Main!$B$5)</f>
        <v>24.321803486583168</v>
      </c>
      <c r="P4" s="2">
        <f>('[1]Qc, Spring, S2'!P4*Main!$B$5)</f>
        <v>22.589448187673117</v>
      </c>
      <c r="Q4" s="2">
        <f>('[1]Qc, Spring, S2'!Q4*Main!$B$5)</f>
        <v>22.417228288732833</v>
      </c>
      <c r="R4" s="2">
        <f>('[1]Qc, Spring, S2'!R4*Main!$B$5)</f>
        <v>21.762047716930283</v>
      </c>
      <c r="S4" s="2">
        <f>('[1]Qc, Spring, S2'!S4*Main!$B$5)</f>
        <v>22.883310519508104</v>
      </c>
      <c r="T4" s="2">
        <f>('[1]Qc, Spring, S2'!T4*Main!$B$5)</f>
        <v>22.724386151989172</v>
      </c>
      <c r="U4" s="2">
        <f>('[1]Qc, Spring, S2'!U4*Main!$B$5)</f>
        <v>22.457483073622587</v>
      </c>
      <c r="V4" s="2">
        <f>('[1]Qc, Spring, S2'!V4*Main!$B$5)</f>
        <v>19.323562762194882</v>
      </c>
      <c r="W4" s="2">
        <f>('[1]Qc, Spring, S2'!W4*Main!$B$5)</f>
        <v>20.966037259371337</v>
      </c>
      <c r="X4" s="2">
        <f>('[1]Qc, Spring, S2'!X4*Main!$B$5)</f>
        <v>17.700569767067158</v>
      </c>
      <c r="Y4" s="2">
        <f>('[1]Qc, Spring, S2'!Y4*Main!$B$5)</f>
        <v>14.704945870918399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449A7-1C83-42B0-A3E1-8713694E41CD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-12.124160025798824</v>
      </c>
      <c r="C2" s="2">
        <f>('[1]Qc, Spring, S2'!C2*Main!$B$5)</f>
        <v>-14.285176783897947</v>
      </c>
      <c r="D2" s="2">
        <f>('[1]Qc, Spring, S2'!D2*Main!$B$5)</f>
        <v>-16.055993016868641</v>
      </c>
      <c r="E2" s="2">
        <f>('[1]Qc, Spring, S2'!E2*Main!$B$5)</f>
        <v>-15.121627892798438</v>
      </c>
      <c r="F2" s="2">
        <f>('[1]Qc, Spring, S2'!F2*Main!$B$5)</f>
        <v>-15.273662865697528</v>
      </c>
      <c r="G2" s="2">
        <f>('[1]Qc, Spring, S2'!G2*Main!$B$5)</f>
        <v>-15.016109340574603</v>
      </c>
      <c r="H2" s="2">
        <f>('[1]Qc, Spring, S2'!H2*Main!$B$5)</f>
        <v>-12.490986926510347</v>
      </c>
      <c r="I2" s="2">
        <f>('[1]Qc, Spring, S2'!I2*Main!$B$5)</f>
        <v>-2.9928540125168412</v>
      </c>
      <c r="J2" s="2">
        <f>('[1]Qc, Spring, S2'!J2*Main!$B$5)</f>
        <v>3.3538544447024714</v>
      </c>
      <c r="K2" s="2">
        <f>('[1]Qc, Spring, S2'!K2*Main!$B$5)</f>
        <v>6.1228471123553287</v>
      </c>
      <c r="L2" s="2">
        <f>('[1]Qc, Spring, S2'!L2*Main!$B$5)</f>
        <v>4.0127814332598515</v>
      </c>
      <c r="M2" s="2">
        <f>('[1]Qc, Spring, S2'!M2*Main!$B$5)</f>
        <v>5.5153856746138388</v>
      </c>
      <c r="N2" s="2">
        <f>('[1]Qc, Spring, S2'!N2*Main!$B$5)</f>
        <v>4.8352493260289968</v>
      </c>
      <c r="O2" s="2">
        <f>('[1]Qc, Spring, S2'!O2*Main!$B$5)</f>
        <v>4.8340611675602947</v>
      </c>
      <c r="P2" s="2">
        <f>('[1]Qc, Spring, S2'!P2*Main!$B$5)</f>
        <v>1.1109638532968966</v>
      </c>
      <c r="Q2" s="2">
        <f>('[1]Qc, Spring, S2'!Q2*Main!$B$5)</f>
        <v>-2.0114497865095542</v>
      </c>
      <c r="R2" s="2">
        <f>('[1]Qc, Spring, S2'!R2*Main!$B$5)</f>
        <v>-0.86878176603686219</v>
      </c>
      <c r="S2" s="2">
        <f>('[1]Qc, Spring, S2'!S2*Main!$B$5)</f>
        <v>1.2438667708802233</v>
      </c>
      <c r="T2" s="2">
        <f>('[1]Qc, Spring, S2'!T2*Main!$B$5)</f>
        <v>7.5135599488038177E-2</v>
      </c>
      <c r="U2" s="2">
        <f>('[1]Qc, Spring, S2'!U2*Main!$B$5)</f>
        <v>-1.6092186521693697</v>
      </c>
      <c r="V2" s="2">
        <f>('[1]Qc, Spring, S2'!V2*Main!$B$5)</f>
        <v>-3.2661047915623707</v>
      </c>
      <c r="W2" s="2">
        <f>('[1]Qc, Spring, S2'!W2*Main!$B$5)</f>
        <v>-3.6008346456839848</v>
      </c>
      <c r="X2" s="2">
        <f>('[1]Qc, Spring, S2'!X2*Main!$B$5)</f>
        <v>-6.897034945790832</v>
      </c>
      <c r="Y2" s="2">
        <f>('[1]Qc, Spring, S2'!Y2*Main!$B$5)</f>
        <v>-8.6908567457777526</v>
      </c>
    </row>
    <row r="3" spans="1:25" x14ac:dyDescent="0.3">
      <c r="A3">
        <v>2</v>
      </c>
      <c r="B3" s="2">
        <f>('[1]Qc, Spring, S2'!B3*Main!$B$5)</f>
        <v>-2.2322693212597193</v>
      </c>
      <c r="C3" s="2">
        <f>('[1]Qc, Spring, S2'!C3*Main!$B$5)</f>
        <v>-0.68389068433403155</v>
      </c>
      <c r="D3" s="2">
        <f>('[1]Qc, Spring, S2'!D3*Main!$B$5)</f>
        <v>-2.8639556028987547</v>
      </c>
      <c r="E3" s="2">
        <f>('[1]Qc, Spring, S2'!E3*Main!$B$5)</f>
        <v>-4.1711903557790997</v>
      </c>
      <c r="F3" s="2">
        <f>('[1]Qc, Spring, S2'!F3*Main!$B$5)</f>
        <v>-3.0614241143332848</v>
      </c>
      <c r="G3" s="2">
        <f>('[1]Qc, Spring, S2'!G3*Main!$B$5)</f>
        <v>-4.6798803191541918</v>
      </c>
      <c r="H3" s="2">
        <f>('[1]Qc, Spring, S2'!H3*Main!$B$5)</f>
        <v>-1.6027070516002737</v>
      </c>
      <c r="I3" s="2">
        <f>('[1]Qc, Spring, S2'!I3*Main!$B$5)</f>
        <v>1.2730202820515517</v>
      </c>
      <c r="J3" s="2">
        <f>('[1]Qc, Spring, S2'!J3*Main!$B$5)</f>
        <v>0.72918857323526154</v>
      </c>
      <c r="K3" s="2">
        <f>('[1]Qc, Spring, S2'!K3*Main!$B$5)</f>
        <v>0.87655095322555054</v>
      </c>
      <c r="L3" s="2">
        <f>('[1]Qc, Spring, S2'!L3*Main!$B$5)</f>
        <v>2.3375138646146452</v>
      </c>
      <c r="M3" s="2">
        <f>('[1]Qc, Spring, S2'!M3*Main!$B$5)</f>
        <v>1.4090500110827102</v>
      </c>
      <c r="N3" s="2">
        <f>('[1]Qc, Spring, S2'!N3*Main!$B$5)</f>
        <v>2.5813821709571463</v>
      </c>
      <c r="O3" s="2">
        <f>('[1]Qc, Spring, S2'!O3*Main!$B$5)</f>
        <v>3.6551479621978413</v>
      </c>
      <c r="P3" s="2">
        <f>('[1]Qc, Spring, S2'!P3*Main!$B$5)</f>
        <v>2.6287179647729975</v>
      </c>
      <c r="Q3" s="2">
        <f>('[1]Qc, Spring, S2'!Q3*Main!$B$5)</f>
        <v>3.5779228577640119</v>
      </c>
      <c r="R3" s="2">
        <f>('[1]Qc, Spring, S2'!R3*Main!$B$5)</f>
        <v>1.3489517541473415</v>
      </c>
      <c r="S3" s="2">
        <f>('[1]Qc, Spring, S2'!S3*Main!$B$5)</f>
        <v>1.2597470018126162</v>
      </c>
      <c r="T3" s="2">
        <f>('[1]Qc, Spring, S2'!T3*Main!$B$5)</f>
        <v>1.3489517541473415</v>
      </c>
      <c r="U3" s="2">
        <f>('[1]Qc, Spring, S2'!U3*Main!$B$5)</f>
        <v>1.2429940982583172</v>
      </c>
      <c r="V3" s="2">
        <f>('[1]Qc, Spring, S2'!V3*Main!$B$5)</f>
        <v>-0.64261466604571527</v>
      </c>
      <c r="W3" s="2">
        <f>('[1]Qc, Spring, S2'!W3*Main!$B$5)</f>
        <v>0.57989713276367105</v>
      </c>
      <c r="X3" s="2">
        <f>('[1]Qc, Spring, S2'!X3*Main!$B$5)</f>
        <v>-3.2140233581863735</v>
      </c>
      <c r="Y3" s="2">
        <f>('[1]Qc, Spring, S2'!Y3*Main!$B$5)</f>
        <v>-2.8988353588026898</v>
      </c>
    </row>
    <row r="4" spans="1:25" x14ac:dyDescent="0.3">
      <c r="A4">
        <v>3</v>
      </c>
      <c r="B4" s="2">
        <f>('[1]Qc, Spring, S2'!B4*Main!$B$5)</f>
        <v>10.320628256735128</v>
      </c>
      <c r="C4" s="2">
        <f>('[1]Qc, Spring, S2'!C4*Main!$B$5)</f>
        <v>8.196585604897944</v>
      </c>
      <c r="D4" s="2">
        <f>('[1]Qc, Spring, S2'!D4*Main!$B$5)</f>
        <v>7.6095969288761633</v>
      </c>
      <c r="E4" s="2">
        <f>('[1]Qc, Spring, S2'!E4*Main!$B$5)</f>
        <v>7.029123570337549</v>
      </c>
      <c r="F4" s="2">
        <f>('[1]Qc, Spring, S2'!F4*Main!$B$5)</f>
        <v>7.5004627116641052</v>
      </c>
      <c r="G4" s="2">
        <f>('[1]Qc, Spring, S2'!G4*Main!$B$5)</f>
        <v>5.8068179101275765</v>
      </c>
      <c r="H4" s="2">
        <f>('[1]Qc, Spring, S2'!H4*Main!$B$5)</f>
        <v>9.933717585683187</v>
      </c>
      <c r="I4" s="2">
        <f>('[1]Qc, Spring, S2'!I4*Main!$B$5)</f>
        <v>14.314544150659104</v>
      </c>
      <c r="J4" s="2">
        <f>('[1]Qc, Spring, S2'!J4*Main!$B$5)</f>
        <v>19.372056483636758</v>
      </c>
      <c r="K4" s="2">
        <f>('[1]Qc, Spring, S2'!K4*Main!$B$5)</f>
        <v>22.794789890057668</v>
      </c>
      <c r="L4" s="2">
        <f>('[1]Qc, Spring, S2'!L4*Main!$B$5)</f>
        <v>23.174151478249794</v>
      </c>
      <c r="M4" s="2">
        <f>('[1]Qc, Spring, S2'!M4*Main!$B$5)</f>
        <v>23.519495424984949</v>
      </c>
      <c r="N4" s="2">
        <f>('[1]Qc, Spring, S2'!N4*Main!$B$5)</f>
        <v>25.256928910086206</v>
      </c>
      <c r="O4" s="2">
        <f>('[1]Qc, Spring, S2'!O4*Main!$B$5)</f>
        <v>24.321803486583168</v>
      </c>
      <c r="P4" s="2">
        <f>('[1]Qc, Spring, S2'!P4*Main!$B$5)</f>
        <v>22.589448187673117</v>
      </c>
      <c r="Q4" s="2">
        <f>('[1]Qc, Spring, S2'!Q4*Main!$B$5)</f>
        <v>22.417228288732833</v>
      </c>
      <c r="R4" s="2">
        <f>('[1]Qc, Spring, S2'!R4*Main!$B$5)</f>
        <v>21.762047716930283</v>
      </c>
      <c r="S4" s="2">
        <f>('[1]Qc, Spring, S2'!S4*Main!$B$5)</f>
        <v>22.883310519508104</v>
      </c>
      <c r="T4" s="2">
        <f>('[1]Qc, Spring, S2'!T4*Main!$B$5)</f>
        <v>22.724386151989172</v>
      </c>
      <c r="U4" s="2">
        <f>('[1]Qc, Spring, S2'!U4*Main!$B$5)</f>
        <v>22.457483073622587</v>
      </c>
      <c r="V4" s="2">
        <f>('[1]Qc, Spring, S2'!V4*Main!$B$5)</f>
        <v>19.323562762194882</v>
      </c>
      <c r="W4" s="2">
        <f>('[1]Qc, Spring, S2'!W4*Main!$B$5)</f>
        <v>20.966037259371337</v>
      </c>
      <c r="X4" s="2">
        <f>('[1]Qc, Spring, S2'!X4*Main!$B$5)</f>
        <v>17.700569767067158</v>
      </c>
      <c r="Y4" s="2">
        <f>('[1]Qc, Spring, S2'!Y4*Main!$B$5)</f>
        <v>14.704945870918399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270E4-9B43-4938-B307-FF5A33680FEB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-11.535608568235775</v>
      </c>
      <c r="C2" s="2">
        <f>('[1]Qc, Spring, S3'!C2*Main!$B$5)</f>
        <v>-13.591721600213582</v>
      </c>
      <c r="D2" s="2">
        <f>('[1]Qc, Spring, S3'!D2*Main!$B$5)</f>
        <v>-15.276575880127444</v>
      </c>
      <c r="E2" s="2">
        <f>('[1]Qc, Spring, S3'!E2*Main!$B$5)</f>
        <v>-14.387568286351909</v>
      </c>
      <c r="F2" s="2">
        <f>('[1]Qc, Spring, S3'!F2*Main!$B$5)</f>
        <v>-14.532222920760756</v>
      </c>
      <c r="G2" s="2">
        <f>('[1]Qc, Spring, S3'!G2*Main!$B$5)</f>
        <v>-14.287171993944767</v>
      </c>
      <c r="H2" s="2">
        <f>('[1]Qc, Spring, S3'!H2*Main!$B$5)</f>
        <v>-11.884628337844795</v>
      </c>
      <c r="I2" s="2">
        <f>('[1]Qc, Spring, S3'!I2*Main!$B$5)</f>
        <v>-2.847569837151946</v>
      </c>
      <c r="J2" s="2">
        <f>('[1]Qc, Spring, S3'!J2*Main!$B$5)</f>
        <v>3.1910459765130308</v>
      </c>
      <c r="K2" s="2">
        <f>('[1]Qc, Spring, S3'!K2*Main!$B$5)</f>
        <v>5.8256215243769152</v>
      </c>
      <c r="L2" s="2">
        <f>('[1]Qc, Spring, S3'!L2*Main!$B$5)</f>
        <v>3.8179862180530622</v>
      </c>
      <c r="M2" s="2">
        <f>('[1]Qc, Spring, S3'!M2*Main!$B$5)</f>
        <v>5.2476485059432623</v>
      </c>
      <c r="N2" s="2">
        <f>('[1]Qc, Spring, S3'!N2*Main!$B$5)</f>
        <v>4.6005284849596269</v>
      </c>
      <c r="O2" s="2">
        <f>('[1]Qc, Spring, S3'!O2*Main!$B$5)</f>
        <v>4.5993980040864937</v>
      </c>
      <c r="P2" s="2">
        <f>('[1]Qc, Spring, S3'!P2*Main!$B$5)</f>
        <v>1.0570335691562704</v>
      </c>
      <c r="Q2" s="2">
        <f>('[1]Qc, Spring, S3'!Q2*Main!$B$5)</f>
        <v>-1.9138065929896728</v>
      </c>
      <c r="R2" s="2">
        <f>('[1]Qc, Spring, S3'!R2*Main!$B$5)</f>
        <v>-0.82660789389915035</v>
      </c>
      <c r="S2" s="2">
        <f>('[1]Qc, Spring, S3'!S2*Main!$B$5)</f>
        <v>1.1834848887986591</v>
      </c>
      <c r="T2" s="2">
        <f>('[1]Qc, Spring, S3'!T2*Main!$B$5)</f>
        <v>7.1488240289589722E-2</v>
      </c>
      <c r="U2" s="2">
        <f>('[1]Qc, Spring, S3'!U2*Main!$B$5)</f>
        <v>-1.5311012418698857</v>
      </c>
      <c r="V2" s="2">
        <f>('[1]Qc, Spring, S3'!V2*Main!$B$5)</f>
        <v>-3.1075560152729347</v>
      </c>
      <c r="W2" s="2">
        <f>('[1]Qc, Spring, S3'!W2*Main!$B$5)</f>
        <v>-3.4260368473498111</v>
      </c>
      <c r="X2" s="2">
        <f>('[1]Qc, Spring, S3'!X2*Main!$B$5)</f>
        <v>-6.5622274241505005</v>
      </c>
      <c r="Y2" s="2">
        <f>('[1]Qc, Spring, S3'!Y2*Main!$B$5)</f>
        <v>-8.2689704959827157</v>
      </c>
    </row>
    <row r="3" spans="1:25" x14ac:dyDescent="0.3">
      <c r="A3">
        <v>2</v>
      </c>
      <c r="B3" s="2">
        <f>('[1]Qc, Spring, S3'!B3*Main!$B$5)</f>
        <v>-2.1239067328490533</v>
      </c>
      <c r="C3" s="2">
        <f>('[1]Qc, Spring, S3'!C3*Main!$B$5)</f>
        <v>-0.65069210742461236</v>
      </c>
      <c r="D3" s="2">
        <f>('[1]Qc, Spring, S3'!D3*Main!$B$5)</f>
        <v>-2.7249286318842518</v>
      </c>
      <c r="E3" s="2">
        <f>('[1]Qc, Spring, S3'!E3*Main!$B$5)</f>
        <v>-3.9687053870519584</v>
      </c>
      <c r="F3" s="2">
        <f>('[1]Qc, Spring, S3'!F3*Main!$B$5)</f>
        <v>-2.9128112932491446</v>
      </c>
      <c r="G3" s="2">
        <f>('[1]Qc, Spring, S3'!G3*Main!$B$5)</f>
        <v>-4.4527016628845706</v>
      </c>
      <c r="H3" s="2">
        <f>('[1]Qc, Spring, S3'!H3*Main!$B$5)</f>
        <v>-1.5249057384157945</v>
      </c>
      <c r="I3" s="2">
        <f>('[1]Qc, Spring, S3'!I3*Main!$B$5)</f>
        <v>1.2112231809810881</v>
      </c>
      <c r="J3" s="2">
        <f>('[1]Qc, Spring, S3'!J3*Main!$B$5)</f>
        <v>0.69379106968015181</v>
      </c>
      <c r="K3" s="2">
        <f>('[1]Qc, Spring, S3'!K3*Main!$B$5)</f>
        <v>0.83399993607867906</v>
      </c>
      <c r="L3" s="2">
        <f>('[1]Qc, Spring, S3'!L3*Main!$B$5)</f>
        <v>2.2240423177886921</v>
      </c>
      <c r="M3" s="2">
        <f>('[1]Qc, Spring, S3'!M3*Main!$B$5)</f>
        <v>1.3406495251078212</v>
      </c>
      <c r="N3" s="2">
        <f>('[1]Qc, Spring, S3'!N3*Main!$B$5)</f>
        <v>2.4560723568330127</v>
      </c>
      <c r="O3" s="2">
        <f>('[1]Qc, Spring, S3'!O3*Main!$B$5)</f>
        <v>3.4777135951008593</v>
      </c>
      <c r="P3" s="2">
        <f>('[1]Qc, Spring, S3'!P3*Main!$B$5)</f>
        <v>2.5011102965801331</v>
      </c>
      <c r="Q3" s="2">
        <f>('[1]Qc, Spring, S3'!Q3*Main!$B$5)</f>
        <v>3.4042372821443987</v>
      </c>
      <c r="R3" s="2">
        <f>('[1]Qc, Spring, S3'!R3*Main!$B$5)</f>
        <v>1.2834686592858202</v>
      </c>
      <c r="S3" s="2">
        <f>('[1]Qc, Spring, S3'!S3*Main!$B$5)</f>
        <v>1.1985942347343341</v>
      </c>
      <c r="T3" s="2">
        <f>('[1]Qc, Spring, S3'!T3*Main!$B$5)</f>
        <v>1.2834686592858202</v>
      </c>
      <c r="U3" s="2">
        <f>('[1]Qc, Spring, S3'!U3*Main!$B$5)</f>
        <v>1.1826545789253891</v>
      </c>
      <c r="V3" s="2">
        <f>('[1]Qc, Spring, S3'!V3*Main!$B$5)</f>
        <v>-0.6114197793444669</v>
      </c>
      <c r="W3" s="2">
        <f>('[1]Qc, Spring, S3'!W3*Main!$B$5)</f>
        <v>0.55174678651300735</v>
      </c>
      <c r="X3" s="2">
        <f>('[1]Qc, Spring, S3'!X3*Main!$B$5)</f>
        <v>-3.0580028068181027</v>
      </c>
      <c r="Y3" s="2">
        <f>('[1]Qc, Spring, S3'!Y3*Main!$B$5)</f>
        <v>-2.7581151957540158</v>
      </c>
    </row>
    <row r="4" spans="1:25" x14ac:dyDescent="0.3">
      <c r="A4">
        <v>3</v>
      </c>
      <c r="B4" s="2">
        <f>('[1]Qc, Spring, S3'!B4*Main!$B$5)</f>
        <v>9.8196268850489563</v>
      </c>
      <c r="C4" s="2">
        <f>('[1]Qc, Spring, S3'!C4*Main!$B$5)</f>
        <v>7.7986930998058099</v>
      </c>
      <c r="D4" s="2">
        <f>('[1]Qc, Spring, S3'!D4*Main!$B$5)</f>
        <v>7.2401990197074175</v>
      </c>
      <c r="E4" s="2">
        <f>('[1]Qc, Spring, S3'!E4*Main!$B$5)</f>
        <v>6.6879039795444637</v>
      </c>
      <c r="F4" s="2">
        <f>('[1]Qc, Spring, S3'!F4*Main!$B$5)</f>
        <v>7.1363625800299255</v>
      </c>
      <c r="G4" s="2">
        <f>('[1]Qc, Spring, S3'!G4*Main!$B$5)</f>
        <v>5.5249335455582766</v>
      </c>
      <c r="H4" s="2">
        <f>('[1]Qc, Spring, S3'!H4*Main!$B$5)</f>
        <v>9.4514982854073057</v>
      </c>
      <c r="I4" s="2">
        <f>('[1]Qc, Spring, S3'!I4*Main!$B$5)</f>
        <v>13.619663366646529</v>
      </c>
      <c r="J4" s="2">
        <f>('[1]Qc, Spring, S3'!J4*Main!$B$5)</f>
        <v>18.431665392198077</v>
      </c>
      <c r="K4" s="2">
        <f>('[1]Qc, Spring, S3'!K4*Main!$B$5)</f>
        <v>21.688246691511178</v>
      </c>
      <c r="L4" s="2">
        <f>('[1]Qc, Spring, S3'!L4*Main!$B$5)</f>
        <v>22.049192668626016</v>
      </c>
      <c r="M4" s="2">
        <f>('[1]Qc, Spring, S3'!M4*Main!$B$5)</f>
        <v>22.377772346102187</v>
      </c>
      <c r="N4" s="2">
        <f>('[1]Qc, Spring, S3'!N4*Main!$B$5)</f>
        <v>24.030864399887843</v>
      </c>
      <c r="O4" s="2">
        <f>('[1]Qc, Spring, S3'!O4*Main!$B$5)</f>
        <v>23.141133414418938</v>
      </c>
      <c r="P4" s="2">
        <f>('[1]Qc, Spring, S3'!P4*Main!$B$5)</f>
        <v>21.492873032931701</v>
      </c>
      <c r="Q4" s="2">
        <f>('[1]Qc, Spring, S3'!Q4*Main!$B$5)</f>
        <v>21.329013323260366</v>
      </c>
      <c r="R4" s="2">
        <f>('[1]Qc, Spring, S3'!R4*Main!$B$5)</f>
        <v>20.705637633584153</v>
      </c>
      <c r="S4" s="2">
        <f>('[1]Qc, Spring, S3'!S4*Main!$B$5)</f>
        <v>21.77247020302713</v>
      </c>
      <c r="T4" s="2">
        <f>('[1]Qc, Spring, S3'!T4*Main!$B$5)</f>
        <v>21.621260610630468</v>
      </c>
      <c r="U4" s="2">
        <f>('[1]Qc, Spring, S3'!U4*Main!$B$5)</f>
        <v>21.367313992378772</v>
      </c>
      <c r="V4" s="2">
        <f>('[1]Qc, Spring, S3'!V4*Main!$B$5)</f>
        <v>18.385525734903872</v>
      </c>
      <c r="W4" s="2">
        <f>('[1]Qc, Spring, S3'!W4*Main!$B$5)</f>
        <v>19.948268460372731</v>
      </c>
      <c r="X4" s="2">
        <f>('[1]Qc, Spring, S3'!X4*Main!$B$5)</f>
        <v>16.841318807500791</v>
      </c>
      <c r="Y4" s="2">
        <f>('[1]Qc, Spring, S3'!Y4*Main!$B$5)</f>
        <v>13.991113547087407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855EC-B3D7-4687-8F9B-F40946549B6E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-11.535608568235775</v>
      </c>
      <c r="C2" s="2">
        <f>('[1]Qc, Spring, S3'!C2*Main!$B$5)</f>
        <v>-13.591721600213582</v>
      </c>
      <c r="D2" s="2">
        <f>('[1]Qc, Spring, S3'!D2*Main!$B$5)</f>
        <v>-15.276575880127444</v>
      </c>
      <c r="E2" s="2">
        <f>('[1]Qc, Spring, S3'!E2*Main!$B$5)</f>
        <v>-14.387568286351909</v>
      </c>
      <c r="F2" s="2">
        <f>('[1]Qc, Spring, S3'!F2*Main!$B$5)</f>
        <v>-14.532222920760756</v>
      </c>
      <c r="G2" s="2">
        <f>('[1]Qc, Spring, S3'!G2*Main!$B$5)</f>
        <v>-14.287171993944767</v>
      </c>
      <c r="H2" s="2">
        <f>('[1]Qc, Spring, S3'!H2*Main!$B$5)</f>
        <v>-11.884628337844795</v>
      </c>
      <c r="I2" s="2">
        <f>('[1]Qc, Spring, S3'!I2*Main!$B$5)</f>
        <v>-2.847569837151946</v>
      </c>
      <c r="J2" s="2">
        <f>('[1]Qc, Spring, S3'!J2*Main!$B$5)</f>
        <v>3.1910459765130308</v>
      </c>
      <c r="K2" s="2">
        <f>('[1]Qc, Spring, S3'!K2*Main!$B$5)</f>
        <v>5.8256215243769152</v>
      </c>
      <c r="L2" s="2">
        <f>('[1]Qc, Spring, S3'!L2*Main!$B$5)</f>
        <v>3.8179862180530622</v>
      </c>
      <c r="M2" s="2">
        <f>('[1]Qc, Spring, S3'!M2*Main!$B$5)</f>
        <v>5.2476485059432623</v>
      </c>
      <c r="N2" s="2">
        <f>('[1]Qc, Spring, S3'!N2*Main!$B$5)</f>
        <v>4.6005284849596269</v>
      </c>
      <c r="O2" s="2">
        <f>('[1]Qc, Spring, S3'!O2*Main!$B$5)</f>
        <v>4.5993980040864937</v>
      </c>
      <c r="P2" s="2">
        <f>('[1]Qc, Spring, S3'!P2*Main!$B$5)</f>
        <v>1.0570335691562704</v>
      </c>
      <c r="Q2" s="2">
        <f>('[1]Qc, Spring, S3'!Q2*Main!$B$5)</f>
        <v>-1.9138065929896728</v>
      </c>
      <c r="R2" s="2">
        <f>('[1]Qc, Spring, S3'!R2*Main!$B$5)</f>
        <v>-0.82660789389915035</v>
      </c>
      <c r="S2" s="2">
        <f>('[1]Qc, Spring, S3'!S2*Main!$B$5)</f>
        <v>1.1834848887986591</v>
      </c>
      <c r="T2" s="2">
        <f>('[1]Qc, Spring, S3'!T2*Main!$B$5)</f>
        <v>7.1488240289589722E-2</v>
      </c>
      <c r="U2" s="2">
        <f>('[1]Qc, Spring, S3'!U2*Main!$B$5)</f>
        <v>-1.5311012418698857</v>
      </c>
      <c r="V2" s="2">
        <f>('[1]Qc, Spring, S3'!V2*Main!$B$5)</f>
        <v>-3.1075560152729347</v>
      </c>
      <c r="W2" s="2">
        <f>('[1]Qc, Spring, S3'!W2*Main!$B$5)</f>
        <v>-3.4260368473498111</v>
      </c>
      <c r="X2" s="2">
        <f>('[1]Qc, Spring, S3'!X2*Main!$B$5)</f>
        <v>-6.5622274241505005</v>
      </c>
      <c r="Y2" s="2">
        <f>('[1]Qc, Spring, S3'!Y2*Main!$B$5)</f>
        <v>-8.2689704959827157</v>
      </c>
    </row>
    <row r="3" spans="1:25" x14ac:dyDescent="0.3">
      <c r="A3">
        <v>2</v>
      </c>
      <c r="B3" s="2">
        <f>('[1]Qc, Spring, S3'!B3*Main!$B$5)</f>
        <v>-2.1239067328490533</v>
      </c>
      <c r="C3" s="2">
        <f>('[1]Qc, Spring, S3'!C3*Main!$B$5)</f>
        <v>-0.65069210742461236</v>
      </c>
      <c r="D3" s="2">
        <f>('[1]Qc, Spring, S3'!D3*Main!$B$5)</f>
        <v>-2.7249286318842518</v>
      </c>
      <c r="E3" s="2">
        <f>('[1]Qc, Spring, S3'!E3*Main!$B$5)</f>
        <v>-3.9687053870519584</v>
      </c>
      <c r="F3" s="2">
        <f>('[1]Qc, Spring, S3'!F3*Main!$B$5)</f>
        <v>-2.9128112932491446</v>
      </c>
      <c r="G3" s="2">
        <f>('[1]Qc, Spring, S3'!G3*Main!$B$5)</f>
        <v>-4.4527016628845706</v>
      </c>
      <c r="H3" s="2">
        <f>('[1]Qc, Spring, S3'!H3*Main!$B$5)</f>
        <v>-1.5249057384157945</v>
      </c>
      <c r="I3" s="2">
        <f>('[1]Qc, Spring, S3'!I3*Main!$B$5)</f>
        <v>1.2112231809810881</v>
      </c>
      <c r="J3" s="2">
        <f>('[1]Qc, Spring, S3'!J3*Main!$B$5)</f>
        <v>0.69379106968015181</v>
      </c>
      <c r="K3" s="2">
        <f>('[1]Qc, Spring, S3'!K3*Main!$B$5)</f>
        <v>0.83399993607867906</v>
      </c>
      <c r="L3" s="2">
        <f>('[1]Qc, Spring, S3'!L3*Main!$B$5)</f>
        <v>2.2240423177886921</v>
      </c>
      <c r="M3" s="2">
        <f>('[1]Qc, Spring, S3'!M3*Main!$B$5)</f>
        <v>1.3406495251078212</v>
      </c>
      <c r="N3" s="2">
        <f>('[1]Qc, Spring, S3'!N3*Main!$B$5)</f>
        <v>2.4560723568330127</v>
      </c>
      <c r="O3" s="2">
        <f>('[1]Qc, Spring, S3'!O3*Main!$B$5)</f>
        <v>3.4777135951008593</v>
      </c>
      <c r="P3" s="2">
        <f>('[1]Qc, Spring, S3'!P3*Main!$B$5)</f>
        <v>2.5011102965801331</v>
      </c>
      <c r="Q3" s="2">
        <f>('[1]Qc, Spring, S3'!Q3*Main!$B$5)</f>
        <v>3.4042372821443987</v>
      </c>
      <c r="R3" s="2">
        <f>('[1]Qc, Spring, S3'!R3*Main!$B$5)</f>
        <v>1.2834686592858202</v>
      </c>
      <c r="S3" s="2">
        <f>('[1]Qc, Spring, S3'!S3*Main!$B$5)</f>
        <v>1.1985942347343341</v>
      </c>
      <c r="T3" s="2">
        <f>('[1]Qc, Spring, S3'!T3*Main!$B$5)</f>
        <v>1.2834686592858202</v>
      </c>
      <c r="U3" s="2">
        <f>('[1]Qc, Spring, S3'!U3*Main!$B$5)</f>
        <v>1.1826545789253891</v>
      </c>
      <c r="V3" s="2">
        <f>('[1]Qc, Spring, S3'!V3*Main!$B$5)</f>
        <v>-0.6114197793444669</v>
      </c>
      <c r="W3" s="2">
        <f>('[1]Qc, Spring, S3'!W3*Main!$B$5)</f>
        <v>0.55174678651300735</v>
      </c>
      <c r="X3" s="2">
        <f>('[1]Qc, Spring, S3'!X3*Main!$B$5)</f>
        <v>-3.0580028068181027</v>
      </c>
      <c r="Y3" s="2">
        <f>('[1]Qc, Spring, S3'!Y3*Main!$B$5)</f>
        <v>-2.7581151957540158</v>
      </c>
    </row>
    <row r="4" spans="1:25" x14ac:dyDescent="0.3">
      <c r="A4">
        <v>3</v>
      </c>
      <c r="B4" s="2">
        <f>('[1]Qc, Spring, S3'!B4*Main!$B$5)</f>
        <v>9.8196268850489563</v>
      </c>
      <c r="C4" s="2">
        <f>('[1]Qc, Spring, S3'!C4*Main!$B$5)</f>
        <v>7.7986930998058099</v>
      </c>
      <c r="D4" s="2">
        <f>('[1]Qc, Spring, S3'!D4*Main!$B$5)</f>
        <v>7.2401990197074175</v>
      </c>
      <c r="E4" s="2">
        <f>('[1]Qc, Spring, S3'!E4*Main!$B$5)</f>
        <v>6.6879039795444637</v>
      </c>
      <c r="F4" s="2">
        <f>('[1]Qc, Spring, S3'!F4*Main!$B$5)</f>
        <v>7.1363625800299255</v>
      </c>
      <c r="G4" s="2">
        <f>('[1]Qc, Spring, S3'!G4*Main!$B$5)</f>
        <v>5.5249335455582766</v>
      </c>
      <c r="H4" s="2">
        <f>('[1]Qc, Spring, S3'!H4*Main!$B$5)</f>
        <v>9.4514982854073057</v>
      </c>
      <c r="I4" s="2">
        <f>('[1]Qc, Spring, S3'!I4*Main!$B$5)</f>
        <v>13.619663366646529</v>
      </c>
      <c r="J4" s="2">
        <f>('[1]Qc, Spring, S3'!J4*Main!$B$5)</f>
        <v>18.431665392198077</v>
      </c>
      <c r="K4" s="2">
        <f>('[1]Qc, Spring, S3'!K4*Main!$B$5)</f>
        <v>21.688246691511178</v>
      </c>
      <c r="L4" s="2">
        <f>('[1]Qc, Spring, S3'!L4*Main!$B$5)</f>
        <v>22.049192668626016</v>
      </c>
      <c r="M4" s="2">
        <f>('[1]Qc, Spring, S3'!M4*Main!$B$5)</f>
        <v>22.377772346102187</v>
      </c>
      <c r="N4" s="2">
        <f>('[1]Qc, Spring, S3'!N4*Main!$B$5)</f>
        <v>24.030864399887843</v>
      </c>
      <c r="O4" s="2">
        <f>('[1]Qc, Spring, S3'!O4*Main!$B$5)</f>
        <v>23.141133414418938</v>
      </c>
      <c r="P4" s="2">
        <f>('[1]Qc, Spring, S3'!P4*Main!$B$5)</f>
        <v>21.492873032931701</v>
      </c>
      <c r="Q4" s="2">
        <f>('[1]Qc, Spring, S3'!Q4*Main!$B$5)</f>
        <v>21.329013323260366</v>
      </c>
      <c r="R4" s="2">
        <f>('[1]Qc, Spring, S3'!R4*Main!$B$5)</f>
        <v>20.705637633584153</v>
      </c>
      <c r="S4" s="2">
        <f>('[1]Qc, Spring, S3'!S4*Main!$B$5)</f>
        <v>21.77247020302713</v>
      </c>
      <c r="T4" s="2">
        <f>('[1]Qc, Spring, S3'!T4*Main!$B$5)</f>
        <v>21.621260610630468</v>
      </c>
      <c r="U4" s="2">
        <f>('[1]Qc, Spring, S3'!U4*Main!$B$5)</f>
        <v>21.367313992378772</v>
      </c>
      <c r="V4" s="2">
        <f>('[1]Qc, Spring, S3'!V4*Main!$B$5)</f>
        <v>18.385525734903872</v>
      </c>
      <c r="W4" s="2">
        <f>('[1]Qc, Spring, S3'!W4*Main!$B$5)</f>
        <v>19.948268460372731</v>
      </c>
      <c r="X4" s="2">
        <f>('[1]Qc, Spring, S3'!X4*Main!$B$5)</f>
        <v>16.841318807500791</v>
      </c>
      <c r="Y4" s="2">
        <f>('[1]Qc, Spring, S3'!Y4*Main!$B$5)</f>
        <v>13.991113547087407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D014-69BC-498C-8ED1-58EA159F995E}">
  <dimension ref="A1:Y10"/>
  <sheetViews>
    <sheetView workbookViewId="0">
      <selection activeCell="T53" sqref="T5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-11.535608568235775</v>
      </c>
      <c r="C2" s="2">
        <f>('[1]Qc, Spring, S3'!C2*Main!$B$5)</f>
        <v>-13.591721600213582</v>
      </c>
      <c r="D2" s="2">
        <f>('[1]Qc, Spring, S3'!D2*Main!$B$5)</f>
        <v>-15.276575880127444</v>
      </c>
      <c r="E2" s="2">
        <f>('[1]Qc, Spring, S3'!E2*Main!$B$5)</f>
        <v>-14.387568286351909</v>
      </c>
      <c r="F2" s="2">
        <f>('[1]Qc, Spring, S3'!F2*Main!$B$5)</f>
        <v>-14.532222920760756</v>
      </c>
      <c r="G2" s="2">
        <f>('[1]Qc, Spring, S3'!G2*Main!$B$5)</f>
        <v>-14.287171993944767</v>
      </c>
      <c r="H2" s="2">
        <f>('[1]Qc, Spring, S3'!H2*Main!$B$5)</f>
        <v>-11.884628337844795</v>
      </c>
      <c r="I2" s="2">
        <f>('[1]Qc, Spring, S3'!I2*Main!$B$5)</f>
        <v>-2.847569837151946</v>
      </c>
      <c r="J2" s="2">
        <f>('[1]Qc, Spring, S3'!J2*Main!$B$5)</f>
        <v>3.1910459765130308</v>
      </c>
      <c r="K2" s="2">
        <f>('[1]Qc, Spring, S3'!K2*Main!$B$5)</f>
        <v>5.8256215243769152</v>
      </c>
      <c r="L2" s="2">
        <f>('[1]Qc, Spring, S3'!L2*Main!$B$5)</f>
        <v>3.8179862180530622</v>
      </c>
      <c r="M2" s="2">
        <f>('[1]Qc, Spring, S3'!M2*Main!$B$5)</f>
        <v>5.2476485059432623</v>
      </c>
      <c r="N2" s="2">
        <f>('[1]Qc, Spring, S3'!N2*Main!$B$5)</f>
        <v>4.6005284849596269</v>
      </c>
      <c r="O2" s="2">
        <f>('[1]Qc, Spring, S3'!O2*Main!$B$5)</f>
        <v>4.5993980040864937</v>
      </c>
      <c r="P2" s="2">
        <f>('[1]Qc, Spring, S3'!P2*Main!$B$5)</f>
        <v>1.0570335691562704</v>
      </c>
      <c r="Q2" s="2">
        <f>('[1]Qc, Spring, S3'!Q2*Main!$B$5)</f>
        <v>-1.9138065929896728</v>
      </c>
      <c r="R2" s="2">
        <f>('[1]Qc, Spring, S3'!R2*Main!$B$5)</f>
        <v>-0.82660789389915035</v>
      </c>
      <c r="S2" s="2">
        <f>('[1]Qc, Spring, S3'!S2*Main!$B$5)</f>
        <v>1.1834848887986591</v>
      </c>
      <c r="T2" s="2">
        <f>('[1]Qc, Spring, S3'!T2*Main!$B$5)</f>
        <v>7.1488240289589722E-2</v>
      </c>
      <c r="U2" s="2">
        <f>('[1]Qc, Spring, S3'!U2*Main!$B$5)</f>
        <v>-1.5311012418698857</v>
      </c>
      <c r="V2" s="2">
        <f>('[1]Qc, Spring, S3'!V2*Main!$B$5)</f>
        <v>-3.1075560152729347</v>
      </c>
      <c r="W2" s="2">
        <f>('[1]Qc, Spring, S3'!W2*Main!$B$5)</f>
        <v>-3.4260368473498111</v>
      </c>
      <c r="X2" s="2">
        <f>('[1]Qc, Spring, S3'!X2*Main!$B$5)</f>
        <v>-6.5622274241505005</v>
      </c>
      <c r="Y2" s="2">
        <f>('[1]Qc, Spring, S3'!Y2*Main!$B$5)</f>
        <v>-8.2689704959827157</v>
      </c>
    </row>
    <row r="3" spans="1:25" x14ac:dyDescent="0.3">
      <c r="A3">
        <v>2</v>
      </c>
      <c r="B3" s="2">
        <f>('[1]Qc, Spring, S3'!B3*Main!$B$5)</f>
        <v>-2.1239067328490533</v>
      </c>
      <c r="C3" s="2">
        <f>('[1]Qc, Spring, S3'!C3*Main!$B$5)</f>
        <v>-0.65069210742461236</v>
      </c>
      <c r="D3" s="2">
        <f>('[1]Qc, Spring, S3'!D3*Main!$B$5)</f>
        <v>-2.7249286318842518</v>
      </c>
      <c r="E3" s="2">
        <f>('[1]Qc, Spring, S3'!E3*Main!$B$5)</f>
        <v>-3.9687053870519584</v>
      </c>
      <c r="F3" s="2">
        <f>('[1]Qc, Spring, S3'!F3*Main!$B$5)</f>
        <v>-2.9128112932491446</v>
      </c>
      <c r="G3" s="2">
        <f>('[1]Qc, Spring, S3'!G3*Main!$B$5)</f>
        <v>-4.4527016628845706</v>
      </c>
      <c r="H3" s="2">
        <f>('[1]Qc, Spring, S3'!H3*Main!$B$5)</f>
        <v>-1.5249057384157945</v>
      </c>
      <c r="I3" s="2">
        <f>('[1]Qc, Spring, S3'!I3*Main!$B$5)</f>
        <v>1.2112231809810881</v>
      </c>
      <c r="J3" s="2">
        <f>('[1]Qc, Spring, S3'!J3*Main!$B$5)</f>
        <v>0.69379106968015181</v>
      </c>
      <c r="K3" s="2">
        <f>('[1]Qc, Spring, S3'!K3*Main!$B$5)</f>
        <v>0.83399993607867906</v>
      </c>
      <c r="L3" s="2">
        <f>('[1]Qc, Spring, S3'!L3*Main!$B$5)</f>
        <v>2.2240423177886921</v>
      </c>
      <c r="M3" s="2">
        <f>('[1]Qc, Spring, S3'!M3*Main!$B$5)</f>
        <v>1.3406495251078212</v>
      </c>
      <c r="N3" s="2">
        <f>('[1]Qc, Spring, S3'!N3*Main!$B$5)</f>
        <v>2.4560723568330127</v>
      </c>
      <c r="O3" s="2">
        <f>('[1]Qc, Spring, S3'!O3*Main!$B$5)</f>
        <v>3.4777135951008593</v>
      </c>
      <c r="P3" s="2">
        <f>('[1]Qc, Spring, S3'!P3*Main!$B$5)</f>
        <v>2.5011102965801331</v>
      </c>
      <c r="Q3" s="2">
        <f>('[1]Qc, Spring, S3'!Q3*Main!$B$5)</f>
        <v>3.4042372821443987</v>
      </c>
      <c r="R3" s="2">
        <f>('[1]Qc, Spring, S3'!R3*Main!$B$5)</f>
        <v>1.2834686592858202</v>
      </c>
      <c r="S3" s="2">
        <f>('[1]Qc, Spring, S3'!S3*Main!$B$5)</f>
        <v>1.1985942347343341</v>
      </c>
      <c r="T3" s="2">
        <f>('[1]Qc, Spring, S3'!T3*Main!$B$5)</f>
        <v>1.2834686592858202</v>
      </c>
      <c r="U3" s="2">
        <f>('[1]Qc, Spring, S3'!U3*Main!$B$5)</f>
        <v>1.1826545789253891</v>
      </c>
      <c r="V3" s="2">
        <f>('[1]Qc, Spring, S3'!V3*Main!$B$5)</f>
        <v>-0.6114197793444669</v>
      </c>
      <c r="W3" s="2">
        <f>('[1]Qc, Spring, S3'!W3*Main!$B$5)</f>
        <v>0.55174678651300735</v>
      </c>
      <c r="X3" s="2">
        <f>('[1]Qc, Spring, S3'!X3*Main!$B$5)</f>
        <v>-3.0580028068181027</v>
      </c>
      <c r="Y3" s="2">
        <f>('[1]Qc, Spring, S3'!Y3*Main!$B$5)</f>
        <v>-2.7581151957540158</v>
      </c>
    </row>
    <row r="4" spans="1:25" x14ac:dyDescent="0.3">
      <c r="A4">
        <v>3</v>
      </c>
      <c r="B4" s="2">
        <f>('[1]Qc, Spring, S3'!B4*Main!$B$5)</f>
        <v>9.8196268850489563</v>
      </c>
      <c r="C4" s="2">
        <f>('[1]Qc, Spring, S3'!C4*Main!$B$5)</f>
        <v>7.7986930998058099</v>
      </c>
      <c r="D4" s="2">
        <f>('[1]Qc, Spring, S3'!D4*Main!$B$5)</f>
        <v>7.2401990197074175</v>
      </c>
      <c r="E4" s="2">
        <f>('[1]Qc, Spring, S3'!E4*Main!$B$5)</f>
        <v>6.6879039795444637</v>
      </c>
      <c r="F4" s="2">
        <f>('[1]Qc, Spring, S3'!F4*Main!$B$5)</f>
        <v>7.1363625800299255</v>
      </c>
      <c r="G4" s="2">
        <f>('[1]Qc, Spring, S3'!G4*Main!$B$5)</f>
        <v>5.5249335455582766</v>
      </c>
      <c r="H4" s="2">
        <f>('[1]Qc, Spring, S3'!H4*Main!$B$5)</f>
        <v>9.4514982854073057</v>
      </c>
      <c r="I4" s="2">
        <f>('[1]Qc, Spring, S3'!I4*Main!$B$5)</f>
        <v>13.619663366646529</v>
      </c>
      <c r="J4" s="2">
        <f>('[1]Qc, Spring, S3'!J4*Main!$B$5)</f>
        <v>18.431665392198077</v>
      </c>
      <c r="K4" s="2">
        <f>('[1]Qc, Spring, S3'!K4*Main!$B$5)</f>
        <v>21.688246691511178</v>
      </c>
      <c r="L4" s="2">
        <f>('[1]Qc, Spring, S3'!L4*Main!$B$5)</f>
        <v>22.049192668626016</v>
      </c>
      <c r="M4" s="2">
        <f>('[1]Qc, Spring, S3'!M4*Main!$B$5)</f>
        <v>22.377772346102187</v>
      </c>
      <c r="N4" s="2">
        <f>('[1]Qc, Spring, S3'!N4*Main!$B$5)</f>
        <v>24.030864399887843</v>
      </c>
      <c r="O4" s="2">
        <f>('[1]Qc, Spring, S3'!O4*Main!$B$5)</f>
        <v>23.141133414418938</v>
      </c>
      <c r="P4" s="2">
        <f>('[1]Qc, Spring, S3'!P4*Main!$B$5)</f>
        <v>21.492873032931701</v>
      </c>
      <c r="Q4" s="2">
        <f>('[1]Qc, Spring, S3'!Q4*Main!$B$5)</f>
        <v>21.329013323260366</v>
      </c>
      <c r="R4" s="2">
        <f>('[1]Qc, Spring, S3'!R4*Main!$B$5)</f>
        <v>20.705637633584153</v>
      </c>
      <c r="S4" s="2">
        <f>('[1]Qc, Spring, S3'!S4*Main!$B$5)</f>
        <v>21.77247020302713</v>
      </c>
      <c r="T4" s="2">
        <f>('[1]Qc, Spring, S3'!T4*Main!$B$5)</f>
        <v>21.621260610630468</v>
      </c>
      <c r="U4" s="2">
        <f>('[1]Qc, Spring, S3'!U4*Main!$B$5)</f>
        <v>21.367313992378772</v>
      </c>
      <c r="V4" s="2">
        <f>('[1]Qc, Spring, S3'!V4*Main!$B$5)</f>
        <v>18.385525734903872</v>
      </c>
      <c r="W4" s="2">
        <f>('[1]Qc, Spring, S3'!W4*Main!$B$5)</f>
        <v>19.948268460372731</v>
      </c>
      <c r="X4" s="2">
        <f>('[1]Qc, Spring, S3'!X4*Main!$B$5)</f>
        <v>16.841318807500791</v>
      </c>
      <c r="Y4" s="2">
        <f>('[1]Qc, Spring, S3'!Y4*Main!$B$5)</f>
        <v>13.991113547087407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73252-224E-42D0-AEF3-875AB7F1DC39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2.2332448093209263</v>
      </c>
      <c r="C2" s="2">
        <f>('FL Characterization'!C$4-'FL Characterization'!C$2)*VLOOKUP($A2,'FL Ratio'!$A$2:$B$21,2,FALSE)</f>
        <v>2.4585191214535076</v>
      </c>
      <c r="D2" s="2">
        <f>('FL Characterization'!D$4-'FL Characterization'!D$2)*VLOOKUP($A2,'FL Ratio'!$A$2:$B$21,2,FALSE)</f>
        <v>3.1999961679010114</v>
      </c>
      <c r="E2" s="2">
        <f>('FL Characterization'!E$4-'FL Characterization'!E$2)*VLOOKUP($A2,'FL Ratio'!$A$2:$B$21,2,FALSE)</f>
        <v>3.668666934648114</v>
      </c>
      <c r="F2" s="2">
        <f>('FL Characterization'!F$4-'FL Characterization'!F$2)*VLOOKUP($A2,'FL Ratio'!$A$2:$B$21,2,FALSE)</f>
        <v>4.3135183254901186</v>
      </c>
      <c r="G2" s="2">
        <f>('FL Characterization'!G$4-'FL Characterization'!G$2)*VLOOKUP($A2,'FL Ratio'!$A$2:$B$21,2,FALSE)</f>
        <v>5.0421923566005518</v>
      </c>
      <c r="H2" s="2">
        <f>('FL Characterization'!H$4-'FL Characterization'!H$2)*VLOOKUP($A2,'FL Ratio'!$A$2:$B$21,2,FALSE)</f>
        <v>4.4946624374149717</v>
      </c>
      <c r="I2" s="2">
        <f>('FL Characterization'!I$4-'FL Characterization'!I$2)*VLOOKUP($A2,'FL Ratio'!$A$2:$B$21,2,FALSE)</f>
        <v>6.4256138290550719</v>
      </c>
      <c r="J2" s="2">
        <f>('FL Characterization'!J$4-'FL Characterization'!J$2)*VLOOKUP($A2,'FL Ratio'!$A$2:$B$21,2,FALSE)</f>
        <v>5.8947834950917581</v>
      </c>
      <c r="K2" s="2">
        <f>('FL Characterization'!K$4-'FL Characterization'!K$2)*VLOOKUP($A2,'FL Ratio'!$A$2:$B$21,2,FALSE)</f>
        <v>6.6578153765391122</v>
      </c>
      <c r="L2" s="2">
        <f>('FL Characterization'!L$4-'FL Characterization'!L$2)*VLOOKUP($A2,'FL Ratio'!$A$2:$B$21,2,FALSE)</f>
        <v>6.8424540312975139</v>
      </c>
      <c r="M2" s="2">
        <f>('FL Characterization'!M$4-'FL Characterization'!M$2)*VLOOKUP($A2,'FL Ratio'!$A$2:$B$21,2,FALSE)</f>
        <v>6.3469402275635094</v>
      </c>
      <c r="N2" s="2">
        <f>('FL Characterization'!N$4-'FL Characterization'!N$2)*VLOOKUP($A2,'FL Ratio'!$A$2:$B$21,2,FALSE)</f>
        <v>5.9874198053386047</v>
      </c>
      <c r="O2" s="2">
        <f>('FL Characterization'!O$4-'FL Characterization'!O$2)*VLOOKUP($A2,'FL Ratio'!$A$2:$B$21,2,FALSE)</f>
        <v>5.512285680607329</v>
      </c>
      <c r="P2" s="2">
        <f>('FL Characterization'!P$4-'FL Characterization'!P$2)*VLOOKUP($A2,'FL Ratio'!$A$2:$B$21,2,FALSE)</f>
        <v>5.0774161113564045</v>
      </c>
      <c r="Q2" s="2">
        <f>('FL Characterization'!Q$4-'FL Characterization'!Q$2)*VLOOKUP($A2,'FL Ratio'!$A$2:$B$21,2,FALSE)</f>
        <v>4.5696095573893443</v>
      </c>
      <c r="R2" s="2">
        <f>('FL Characterization'!R$4-'FL Characterization'!R$2)*VLOOKUP($A2,'FL Ratio'!$A$2:$B$21,2,FALSE)</f>
        <v>4.522046664663705</v>
      </c>
      <c r="S2" s="2">
        <f>('FL Characterization'!S$4-'FL Characterization'!S$2)*VLOOKUP($A2,'FL Ratio'!$A$2:$B$21,2,FALSE)</f>
        <v>3.5828650842792689</v>
      </c>
      <c r="T2" s="2">
        <f>('FL Characterization'!T$4-'FL Characterization'!T$2)*VLOOKUP($A2,'FL Ratio'!$A$2:$B$21,2,FALSE)</f>
        <v>2.9643928530568804</v>
      </c>
      <c r="U2" s="2">
        <f>('FL Characterization'!U$4-'FL Characterization'!U$2)*VLOOKUP($A2,'FL Ratio'!$A$2:$B$21,2,FALSE)</f>
        <v>3.5176439264389772</v>
      </c>
      <c r="V2" s="2">
        <f>('FL Characterization'!V$4-'FL Characterization'!V$2)*VLOOKUP($A2,'FL Ratio'!$A$2:$B$21,2,FALSE)</f>
        <v>3.584133015749849</v>
      </c>
      <c r="W2" s="2">
        <f>('FL Characterization'!W$4-'FL Characterization'!W$2)*VLOOKUP($A2,'FL Ratio'!$A$2:$B$21,2,FALSE)</f>
        <v>4.0959443776544706</v>
      </c>
      <c r="X2" s="2">
        <f>('FL Characterization'!X$4-'FL Characterization'!X$2)*VLOOKUP($A2,'FL Ratio'!$A$2:$B$21,2,FALSE)</f>
        <v>1.9887968993405585</v>
      </c>
      <c r="Y2" s="2">
        <f>('FL Characterization'!Y$4-'FL Characterization'!Y$2)*VLOOKUP($A2,'FL Ratio'!$A$2:$B$21,2,FALSE)</f>
        <v>1.9094738695347975</v>
      </c>
    </row>
    <row r="3" spans="1:25" x14ac:dyDescent="0.3">
      <c r="A3">
        <v>2</v>
      </c>
      <c r="B3" s="2">
        <f>('FL Characterization'!B$4-'FL Characterization'!B$2)*VLOOKUP($A3,'FL Ratio'!$A$2:$B$21,2,FALSE)</f>
        <v>2.2332448093209263</v>
      </c>
      <c r="C3" s="2">
        <f>('FL Characterization'!C$4-'FL Characterization'!C$2)*VLOOKUP($A3,'FL Ratio'!$A$2:$B$21,2,FALSE)</f>
        <v>2.4585191214535076</v>
      </c>
      <c r="D3" s="2">
        <f>('FL Characterization'!D$4-'FL Characterization'!D$2)*VLOOKUP($A3,'FL Ratio'!$A$2:$B$21,2,FALSE)</f>
        <v>3.1999961679010114</v>
      </c>
      <c r="E3" s="2">
        <f>('FL Characterization'!E$4-'FL Characterization'!E$2)*VLOOKUP($A3,'FL Ratio'!$A$2:$B$21,2,FALSE)</f>
        <v>3.668666934648114</v>
      </c>
      <c r="F3" s="2">
        <f>('FL Characterization'!F$4-'FL Characterization'!F$2)*VLOOKUP($A3,'FL Ratio'!$A$2:$B$21,2,FALSE)</f>
        <v>4.3135183254901186</v>
      </c>
      <c r="G3" s="2">
        <f>('FL Characterization'!G$4-'FL Characterization'!G$2)*VLOOKUP($A3,'FL Ratio'!$A$2:$B$21,2,FALSE)</f>
        <v>5.0421923566005518</v>
      </c>
      <c r="H3" s="2">
        <f>('FL Characterization'!H$4-'FL Characterization'!H$2)*VLOOKUP($A3,'FL Ratio'!$A$2:$B$21,2,FALSE)</f>
        <v>4.4946624374149717</v>
      </c>
      <c r="I3" s="2">
        <f>('FL Characterization'!I$4-'FL Characterization'!I$2)*VLOOKUP($A3,'FL Ratio'!$A$2:$B$21,2,FALSE)</f>
        <v>6.4256138290550719</v>
      </c>
      <c r="J3" s="2">
        <f>('FL Characterization'!J$4-'FL Characterization'!J$2)*VLOOKUP($A3,'FL Ratio'!$A$2:$B$21,2,FALSE)</f>
        <v>5.8947834950917581</v>
      </c>
      <c r="K3" s="2">
        <f>('FL Characterization'!K$4-'FL Characterization'!K$2)*VLOOKUP($A3,'FL Ratio'!$A$2:$B$21,2,FALSE)</f>
        <v>6.6578153765391122</v>
      </c>
      <c r="L3" s="2">
        <f>('FL Characterization'!L$4-'FL Characterization'!L$2)*VLOOKUP($A3,'FL Ratio'!$A$2:$B$21,2,FALSE)</f>
        <v>6.8424540312975139</v>
      </c>
      <c r="M3" s="2">
        <f>('FL Characterization'!M$4-'FL Characterization'!M$2)*VLOOKUP($A3,'FL Ratio'!$A$2:$B$21,2,FALSE)</f>
        <v>6.3469402275635094</v>
      </c>
      <c r="N3" s="2">
        <f>('FL Characterization'!N$4-'FL Characterization'!N$2)*VLOOKUP($A3,'FL Ratio'!$A$2:$B$21,2,FALSE)</f>
        <v>5.9874198053386047</v>
      </c>
      <c r="O3" s="2">
        <f>('FL Characterization'!O$4-'FL Characterization'!O$2)*VLOOKUP($A3,'FL Ratio'!$A$2:$B$21,2,FALSE)</f>
        <v>5.512285680607329</v>
      </c>
      <c r="P3" s="2">
        <f>('FL Characterization'!P$4-'FL Characterization'!P$2)*VLOOKUP($A3,'FL Ratio'!$A$2:$B$21,2,FALSE)</f>
        <v>5.0774161113564045</v>
      </c>
      <c r="Q3" s="2">
        <f>('FL Characterization'!Q$4-'FL Characterization'!Q$2)*VLOOKUP($A3,'FL Ratio'!$A$2:$B$21,2,FALSE)</f>
        <v>4.5696095573893443</v>
      </c>
      <c r="R3" s="2">
        <f>('FL Characterization'!R$4-'FL Characterization'!R$2)*VLOOKUP($A3,'FL Ratio'!$A$2:$B$21,2,FALSE)</f>
        <v>4.522046664663705</v>
      </c>
      <c r="S3" s="2">
        <f>('FL Characterization'!S$4-'FL Characterization'!S$2)*VLOOKUP($A3,'FL Ratio'!$A$2:$B$21,2,FALSE)</f>
        <v>3.5828650842792689</v>
      </c>
      <c r="T3" s="2">
        <f>('FL Characterization'!T$4-'FL Characterization'!T$2)*VLOOKUP($A3,'FL Ratio'!$A$2:$B$21,2,FALSE)</f>
        <v>2.9643928530568804</v>
      </c>
      <c r="U3" s="2">
        <f>('FL Characterization'!U$4-'FL Characterization'!U$2)*VLOOKUP($A3,'FL Ratio'!$A$2:$B$21,2,FALSE)</f>
        <v>3.5176439264389772</v>
      </c>
      <c r="V3" s="2">
        <f>('FL Characterization'!V$4-'FL Characterization'!V$2)*VLOOKUP($A3,'FL Ratio'!$A$2:$B$21,2,FALSE)</f>
        <v>3.584133015749849</v>
      </c>
      <c r="W3" s="2">
        <f>('FL Characterization'!W$4-'FL Characterization'!W$2)*VLOOKUP($A3,'FL Ratio'!$A$2:$B$21,2,FALSE)</f>
        <v>4.0959443776544706</v>
      </c>
      <c r="X3" s="2">
        <f>('FL Characterization'!X$4-'FL Characterization'!X$2)*VLOOKUP($A3,'FL Ratio'!$A$2:$B$21,2,FALSE)</f>
        <v>1.9887968993405585</v>
      </c>
      <c r="Y3" s="2">
        <f>('FL Characterization'!Y$4-'FL Characterization'!Y$2)*VLOOKUP($A3,'FL Ratio'!$A$2:$B$21,2,FALSE)</f>
        <v>1.9094738695347975</v>
      </c>
    </row>
    <row r="4" spans="1:25" x14ac:dyDescent="0.3">
      <c r="A4">
        <v>3</v>
      </c>
      <c r="B4" s="2">
        <f>('FL Characterization'!B$4-'FL Characterization'!B$2)*VLOOKUP($A4,'FL Ratio'!$A$2:$B$21,2,FALSE)</f>
        <v>2.2332448093209263</v>
      </c>
      <c r="C4" s="2">
        <f>('FL Characterization'!C$4-'FL Characterization'!C$2)*VLOOKUP($A4,'FL Ratio'!$A$2:$B$21,2,FALSE)</f>
        <v>2.4585191214535076</v>
      </c>
      <c r="D4" s="2">
        <f>('FL Characterization'!D$4-'FL Characterization'!D$2)*VLOOKUP($A4,'FL Ratio'!$A$2:$B$21,2,FALSE)</f>
        <v>3.1999961679010114</v>
      </c>
      <c r="E4" s="2">
        <f>('FL Characterization'!E$4-'FL Characterization'!E$2)*VLOOKUP($A4,'FL Ratio'!$A$2:$B$21,2,FALSE)</f>
        <v>3.668666934648114</v>
      </c>
      <c r="F4" s="2">
        <f>('FL Characterization'!F$4-'FL Characterization'!F$2)*VLOOKUP($A4,'FL Ratio'!$A$2:$B$21,2,FALSE)</f>
        <v>4.3135183254901186</v>
      </c>
      <c r="G4" s="2">
        <f>('FL Characterization'!G$4-'FL Characterization'!G$2)*VLOOKUP($A4,'FL Ratio'!$A$2:$B$21,2,FALSE)</f>
        <v>5.0421923566005518</v>
      </c>
      <c r="H4" s="2">
        <f>('FL Characterization'!H$4-'FL Characterization'!H$2)*VLOOKUP($A4,'FL Ratio'!$A$2:$B$21,2,FALSE)</f>
        <v>4.4946624374149717</v>
      </c>
      <c r="I4" s="2">
        <f>('FL Characterization'!I$4-'FL Characterization'!I$2)*VLOOKUP($A4,'FL Ratio'!$A$2:$B$21,2,FALSE)</f>
        <v>6.4256138290550719</v>
      </c>
      <c r="J4" s="2">
        <f>('FL Characterization'!J$4-'FL Characterization'!J$2)*VLOOKUP($A4,'FL Ratio'!$A$2:$B$21,2,FALSE)</f>
        <v>5.8947834950917581</v>
      </c>
      <c r="K4" s="2">
        <f>('FL Characterization'!K$4-'FL Characterization'!K$2)*VLOOKUP($A4,'FL Ratio'!$A$2:$B$21,2,FALSE)</f>
        <v>6.6578153765391122</v>
      </c>
      <c r="L4" s="2">
        <f>('FL Characterization'!L$4-'FL Characterization'!L$2)*VLOOKUP($A4,'FL Ratio'!$A$2:$B$21,2,FALSE)</f>
        <v>6.8424540312975139</v>
      </c>
      <c r="M4" s="2">
        <f>('FL Characterization'!M$4-'FL Characterization'!M$2)*VLOOKUP($A4,'FL Ratio'!$A$2:$B$21,2,FALSE)</f>
        <v>6.3469402275635094</v>
      </c>
      <c r="N4" s="2">
        <f>('FL Characterization'!N$4-'FL Characterization'!N$2)*VLOOKUP($A4,'FL Ratio'!$A$2:$B$21,2,FALSE)</f>
        <v>5.9874198053386047</v>
      </c>
      <c r="O4" s="2">
        <f>('FL Characterization'!O$4-'FL Characterization'!O$2)*VLOOKUP($A4,'FL Ratio'!$A$2:$B$21,2,FALSE)</f>
        <v>5.512285680607329</v>
      </c>
      <c r="P4" s="2">
        <f>('FL Characterization'!P$4-'FL Characterization'!P$2)*VLOOKUP($A4,'FL Ratio'!$A$2:$B$21,2,FALSE)</f>
        <v>5.0774161113564045</v>
      </c>
      <c r="Q4" s="2">
        <f>('FL Characterization'!Q$4-'FL Characterization'!Q$2)*VLOOKUP($A4,'FL Ratio'!$A$2:$B$21,2,FALSE)</f>
        <v>4.5696095573893443</v>
      </c>
      <c r="R4" s="2">
        <f>('FL Characterization'!R$4-'FL Characterization'!R$2)*VLOOKUP($A4,'FL Ratio'!$A$2:$B$21,2,FALSE)</f>
        <v>4.522046664663705</v>
      </c>
      <c r="S4" s="2">
        <f>('FL Characterization'!S$4-'FL Characterization'!S$2)*VLOOKUP($A4,'FL Ratio'!$A$2:$B$21,2,FALSE)</f>
        <v>3.5828650842792689</v>
      </c>
      <c r="T4" s="2">
        <f>('FL Characterization'!T$4-'FL Characterization'!T$2)*VLOOKUP($A4,'FL Ratio'!$A$2:$B$21,2,FALSE)</f>
        <v>2.9643928530568804</v>
      </c>
      <c r="U4" s="2">
        <f>('FL Characterization'!U$4-'FL Characterization'!U$2)*VLOOKUP($A4,'FL Ratio'!$A$2:$B$21,2,FALSE)</f>
        <v>3.5176439264389772</v>
      </c>
      <c r="V4" s="2">
        <f>('FL Characterization'!V$4-'FL Characterization'!V$2)*VLOOKUP($A4,'FL Ratio'!$A$2:$B$21,2,FALSE)</f>
        <v>3.584133015749849</v>
      </c>
      <c r="W4" s="2">
        <f>('FL Characterization'!W$4-'FL Characterization'!W$2)*VLOOKUP($A4,'FL Ratio'!$A$2:$B$21,2,FALSE)</f>
        <v>4.0959443776544706</v>
      </c>
      <c r="X4" s="2">
        <f>('FL Characterization'!X$4-'FL Characterization'!X$2)*VLOOKUP($A4,'FL Ratio'!$A$2:$B$21,2,FALSE)</f>
        <v>1.9887968993405585</v>
      </c>
      <c r="Y4" s="2">
        <f>('FL Characterization'!Y$4-'FL Characterization'!Y$2)*VLOOKUP($A4,'FL Ratio'!$A$2:$B$21,2,FALSE)</f>
        <v>1.9094738695347975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FC90F-E5D8-4B0C-962A-1D3E48794422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6.1913712211549781</v>
      </c>
      <c r="C2" s="2">
        <f>('FL Characterization'!C$2-'FL Characterization'!C$3)*VLOOKUP($A2,'FL Ratio'!$A$2:$B$21,2,FALSE)</f>
        <v>6.55226781290283</v>
      </c>
      <c r="D2" s="2">
        <f>('FL Characterization'!D$2-'FL Characterization'!D$3)*VLOOKUP($A2,'FL Ratio'!$A$2:$B$21,2,FALSE)</f>
        <v>6.9190401846362928</v>
      </c>
      <c r="E2" s="2">
        <f>('FL Characterization'!E$2-'FL Characterization'!E$3)*VLOOKUP($A2,'FL Ratio'!$A$2:$B$21,2,FALSE)</f>
        <v>7.2335490396556281</v>
      </c>
      <c r="F2" s="2">
        <f>('FL Characterization'!F$2-'FL Characterization'!F$3)*VLOOKUP($A2,'FL Ratio'!$A$2:$B$21,2,FALSE)</f>
        <v>7.3156553336651005</v>
      </c>
      <c r="G2" s="2">
        <f>('FL Characterization'!G$2-'FL Characterization'!G$3)*VLOOKUP($A2,'FL Ratio'!$A$2:$B$21,2,FALSE)</f>
        <v>7.6525849281032183</v>
      </c>
      <c r="H2" s="2">
        <f>('FL Characterization'!H$2-'FL Characterization'!H$3)*VLOOKUP($A2,'FL Ratio'!$A$2:$B$21,2,FALSE)</f>
        <v>7.6134646034621714</v>
      </c>
      <c r="I2" s="2">
        <f>('FL Characterization'!I$2-'FL Characterization'!I$3)*VLOOKUP($A2,'FL Ratio'!$A$2:$B$21,2,FALSE)</f>
        <v>7.1965007005884534</v>
      </c>
      <c r="J2" s="2">
        <f>('FL Characterization'!J$2-'FL Characterization'!J$3)*VLOOKUP($A2,'FL Ratio'!$A$2:$B$21,2,FALSE)</f>
        <v>6.5203221248757917</v>
      </c>
      <c r="K2" s="2">
        <f>('FL Characterization'!K$2-'FL Characterization'!K$3)*VLOOKUP($A2,'FL Ratio'!$A$2:$B$21,2,FALSE)</f>
        <v>9.574908200711814</v>
      </c>
      <c r="L2" s="2">
        <f>('FL Characterization'!L$2-'FL Characterization'!L$3)*VLOOKUP($A2,'FL Ratio'!$A$2:$B$21,2,FALSE)</f>
        <v>9.3502833168934334</v>
      </c>
      <c r="M2" s="2">
        <f>('FL Characterization'!M$2-'FL Characterization'!M$3)*VLOOKUP($A2,'FL Ratio'!$A$2:$B$21,2,FALSE)</f>
        <v>8.6099350387063254</v>
      </c>
      <c r="N2" s="2">
        <f>('FL Characterization'!N$2-'FL Characterization'!N$3)*VLOOKUP($A2,'FL Ratio'!$A$2:$B$21,2,FALSE)</f>
        <v>8.4007263460607184</v>
      </c>
      <c r="O2" s="2">
        <f>('FL Characterization'!O$2-'FL Characterization'!O$3)*VLOOKUP($A2,'FL Ratio'!$A$2:$B$21,2,FALSE)</f>
        <v>8.4352542847656444</v>
      </c>
      <c r="P2" s="2">
        <f>('FL Characterization'!P$2-'FL Characterization'!P$3)*VLOOKUP($A2,'FL Ratio'!$A$2:$B$21,2,FALSE)</f>
        <v>8.0356239328494823</v>
      </c>
      <c r="Q2" s="2">
        <f>('FL Characterization'!Q$2-'FL Characterization'!Q$3)*VLOOKUP($A2,'FL Ratio'!$A$2:$B$21,2,FALSE)</f>
        <v>7.3658468648053557</v>
      </c>
      <c r="R2" s="2">
        <f>('FL Characterization'!R$2-'FL Characterization'!R$3)*VLOOKUP($A2,'FL Ratio'!$A$2:$B$21,2,FALSE)</f>
        <v>6.6199011330530055</v>
      </c>
      <c r="S2" s="2">
        <f>('FL Characterization'!S$2-'FL Characterization'!S$3)*VLOOKUP($A2,'FL Ratio'!$A$2:$B$21,2,FALSE)</f>
        <v>6.3824268461608238</v>
      </c>
      <c r="T2" s="2">
        <f>('FL Characterization'!T$2-'FL Characterization'!T$3)*VLOOKUP($A2,'FL Ratio'!$A$2:$B$21,2,FALSE)</f>
        <v>4.011967111596948</v>
      </c>
      <c r="U2" s="2">
        <f>('FL Characterization'!U$2-'FL Characterization'!U$3)*VLOOKUP($A2,'FL Ratio'!$A$2:$B$21,2,FALSE)</f>
        <v>4.290432695178227</v>
      </c>
      <c r="V2" s="2">
        <f>('FL Characterization'!V$2-'FL Characterization'!V$3)*VLOOKUP($A2,'FL Ratio'!$A$2:$B$21,2,FALSE)</f>
        <v>4.6908207134609547</v>
      </c>
      <c r="W2" s="2">
        <f>('FL Characterization'!W$2-'FL Characterization'!W$3)*VLOOKUP($A2,'FL Ratio'!$A$2:$B$21,2,FALSE)</f>
        <v>4.8027543221868632</v>
      </c>
      <c r="X2" s="2">
        <f>('FL Characterization'!X$2-'FL Characterization'!X$3)*VLOOKUP($A2,'FL Ratio'!$A$2:$B$21,2,FALSE)</f>
        <v>5.0089478119451147</v>
      </c>
      <c r="Y2" s="2">
        <f>('FL Characterization'!Y$2-'FL Characterization'!Y$3)*VLOOKUP($A2,'FL Ratio'!$A$2:$B$21,2,FALSE)</f>
        <v>5.5289543406717749</v>
      </c>
    </row>
    <row r="3" spans="1:25" x14ac:dyDescent="0.3">
      <c r="A3">
        <v>2</v>
      </c>
      <c r="B3" s="2">
        <f>('FL Characterization'!B$2-'FL Characterization'!B$3)*VLOOKUP($A3,'FL Ratio'!$A$2:$B$21,2,FALSE)</f>
        <v>6.1913712211549781</v>
      </c>
      <c r="C3" s="2">
        <f>('FL Characterization'!C$2-'FL Characterization'!C$3)*VLOOKUP($A3,'FL Ratio'!$A$2:$B$21,2,FALSE)</f>
        <v>6.55226781290283</v>
      </c>
      <c r="D3" s="2">
        <f>('FL Characterization'!D$2-'FL Characterization'!D$3)*VLOOKUP($A3,'FL Ratio'!$A$2:$B$21,2,FALSE)</f>
        <v>6.9190401846362928</v>
      </c>
      <c r="E3" s="2">
        <f>('FL Characterization'!E$2-'FL Characterization'!E$3)*VLOOKUP($A3,'FL Ratio'!$A$2:$B$21,2,FALSE)</f>
        <v>7.2335490396556281</v>
      </c>
      <c r="F3" s="2">
        <f>('FL Characterization'!F$2-'FL Characterization'!F$3)*VLOOKUP($A3,'FL Ratio'!$A$2:$B$21,2,FALSE)</f>
        <v>7.3156553336651005</v>
      </c>
      <c r="G3" s="2">
        <f>('FL Characterization'!G$2-'FL Characterization'!G$3)*VLOOKUP($A3,'FL Ratio'!$A$2:$B$21,2,FALSE)</f>
        <v>7.6525849281032183</v>
      </c>
      <c r="H3" s="2">
        <f>('FL Characterization'!H$2-'FL Characterization'!H$3)*VLOOKUP($A3,'FL Ratio'!$A$2:$B$21,2,FALSE)</f>
        <v>7.6134646034621714</v>
      </c>
      <c r="I3" s="2">
        <f>('FL Characterization'!I$2-'FL Characterization'!I$3)*VLOOKUP($A3,'FL Ratio'!$A$2:$B$21,2,FALSE)</f>
        <v>7.1965007005884534</v>
      </c>
      <c r="J3" s="2">
        <f>('FL Characterization'!J$2-'FL Characterization'!J$3)*VLOOKUP($A3,'FL Ratio'!$A$2:$B$21,2,FALSE)</f>
        <v>6.5203221248757917</v>
      </c>
      <c r="K3" s="2">
        <f>('FL Characterization'!K$2-'FL Characterization'!K$3)*VLOOKUP($A3,'FL Ratio'!$A$2:$B$21,2,FALSE)</f>
        <v>9.574908200711814</v>
      </c>
      <c r="L3" s="2">
        <f>('FL Characterization'!L$2-'FL Characterization'!L$3)*VLOOKUP($A3,'FL Ratio'!$A$2:$B$21,2,FALSE)</f>
        <v>9.3502833168934334</v>
      </c>
      <c r="M3" s="2">
        <f>('FL Characterization'!M$2-'FL Characterization'!M$3)*VLOOKUP($A3,'FL Ratio'!$A$2:$B$21,2,FALSE)</f>
        <v>8.6099350387063254</v>
      </c>
      <c r="N3" s="2">
        <f>('FL Characterization'!N$2-'FL Characterization'!N$3)*VLOOKUP($A3,'FL Ratio'!$A$2:$B$21,2,FALSE)</f>
        <v>8.4007263460607184</v>
      </c>
      <c r="O3" s="2">
        <f>('FL Characterization'!O$2-'FL Characterization'!O$3)*VLOOKUP($A3,'FL Ratio'!$A$2:$B$21,2,FALSE)</f>
        <v>8.4352542847656444</v>
      </c>
      <c r="P3" s="2">
        <f>('FL Characterization'!P$2-'FL Characterization'!P$3)*VLOOKUP($A3,'FL Ratio'!$A$2:$B$21,2,FALSE)</f>
        <v>8.0356239328494823</v>
      </c>
      <c r="Q3" s="2">
        <f>('FL Characterization'!Q$2-'FL Characterization'!Q$3)*VLOOKUP($A3,'FL Ratio'!$A$2:$B$21,2,FALSE)</f>
        <v>7.3658468648053557</v>
      </c>
      <c r="R3" s="2">
        <f>('FL Characterization'!R$2-'FL Characterization'!R$3)*VLOOKUP($A3,'FL Ratio'!$A$2:$B$21,2,FALSE)</f>
        <v>6.6199011330530055</v>
      </c>
      <c r="S3" s="2">
        <f>('FL Characterization'!S$2-'FL Characterization'!S$3)*VLOOKUP($A3,'FL Ratio'!$A$2:$B$21,2,FALSE)</f>
        <v>6.3824268461608238</v>
      </c>
      <c r="T3" s="2">
        <f>('FL Characterization'!T$2-'FL Characterization'!T$3)*VLOOKUP($A3,'FL Ratio'!$A$2:$B$21,2,FALSE)</f>
        <v>4.011967111596948</v>
      </c>
      <c r="U3" s="2">
        <f>('FL Characterization'!U$2-'FL Characterization'!U$3)*VLOOKUP($A3,'FL Ratio'!$A$2:$B$21,2,FALSE)</f>
        <v>4.290432695178227</v>
      </c>
      <c r="V3" s="2">
        <f>('FL Characterization'!V$2-'FL Characterization'!V$3)*VLOOKUP($A3,'FL Ratio'!$A$2:$B$21,2,FALSE)</f>
        <v>4.6908207134609547</v>
      </c>
      <c r="W3" s="2">
        <f>('FL Characterization'!W$2-'FL Characterization'!W$3)*VLOOKUP($A3,'FL Ratio'!$A$2:$B$21,2,FALSE)</f>
        <v>4.8027543221868632</v>
      </c>
      <c r="X3" s="2">
        <f>('FL Characterization'!X$2-'FL Characterization'!X$3)*VLOOKUP($A3,'FL Ratio'!$A$2:$B$21,2,FALSE)</f>
        <v>5.0089478119451147</v>
      </c>
      <c r="Y3" s="2">
        <f>('FL Characterization'!Y$2-'FL Characterization'!Y$3)*VLOOKUP($A3,'FL Ratio'!$A$2:$B$21,2,FALSE)</f>
        <v>5.5289543406717749</v>
      </c>
    </row>
    <row r="4" spans="1:25" x14ac:dyDescent="0.3">
      <c r="A4">
        <v>3</v>
      </c>
      <c r="B4" s="2">
        <f>('FL Characterization'!B$2-'FL Characterization'!B$3)*VLOOKUP($A4,'FL Ratio'!$A$2:$B$21,2,FALSE)</f>
        <v>6.1913712211549781</v>
      </c>
      <c r="C4" s="2">
        <f>('FL Characterization'!C$2-'FL Characterization'!C$3)*VLOOKUP($A4,'FL Ratio'!$A$2:$B$21,2,FALSE)</f>
        <v>6.55226781290283</v>
      </c>
      <c r="D4" s="2">
        <f>('FL Characterization'!D$2-'FL Characterization'!D$3)*VLOOKUP($A4,'FL Ratio'!$A$2:$B$21,2,FALSE)</f>
        <v>6.9190401846362928</v>
      </c>
      <c r="E4" s="2">
        <f>('FL Characterization'!E$2-'FL Characterization'!E$3)*VLOOKUP($A4,'FL Ratio'!$A$2:$B$21,2,FALSE)</f>
        <v>7.2335490396556281</v>
      </c>
      <c r="F4" s="2">
        <f>('FL Characterization'!F$2-'FL Characterization'!F$3)*VLOOKUP($A4,'FL Ratio'!$A$2:$B$21,2,FALSE)</f>
        <v>7.3156553336651005</v>
      </c>
      <c r="G4" s="2">
        <f>('FL Characterization'!G$2-'FL Characterization'!G$3)*VLOOKUP($A4,'FL Ratio'!$A$2:$B$21,2,FALSE)</f>
        <v>7.6525849281032183</v>
      </c>
      <c r="H4" s="2">
        <f>('FL Characterization'!H$2-'FL Characterization'!H$3)*VLOOKUP($A4,'FL Ratio'!$A$2:$B$21,2,FALSE)</f>
        <v>7.6134646034621714</v>
      </c>
      <c r="I4" s="2">
        <f>('FL Characterization'!I$2-'FL Characterization'!I$3)*VLOOKUP($A4,'FL Ratio'!$A$2:$B$21,2,FALSE)</f>
        <v>7.1965007005884534</v>
      </c>
      <c r="J4" s="2">
        <f>('FL Characterization'!J$2-'FL Characterization'!J$3)*VLOOKUP($A4,'FL Ratio'!$A$2:$B$21,2,FALSE)</f>
        <v>6.5203221248757917</v>
      </c>
      <c r="K4" s="2">
        <f>('FL Characterization'!K$2-'FL Characterization'!K$3)*VLOOKUP($A4,'FL Ratio'!$A$2:$B$21,2,FALSE)</f>
        <v>9.574908200711814</v>
      </c>
      <c r="L4" s="2">
        <f>('FL Characterization'!L$2-'FL Characterization'!L$3)*VLOOKUP($A4,'FL Ratio'!$A$2:$B$21,2,FALSE)</f>
        <v>9.3502833168934334</v>
      </c>
      <c r="M4" s="2">
        <f>('FL Characterization'!M$2-'FL Characterization'!M$3)*VLOOKUP($A4,'FL Ratio'!$A$2:$B$21,2,FALSE)</f>
        <v>8.6099350387063254</v>
      </c>
      <c r="N4" s="2">
        <f>('FL Characterization'!N$2-'FL Characterization'!N$3)*VLOOKUP($A4,'FL Ratio'!$A$2:$B$21,2,FALSE)</f>
        <v>8.4007263460607184</v>
      </c>
      <c r="O4" s="2">
        <f>('FL Characterization'!O$2-'FL Characterization'!O$3)*VLOOKUP($A4,'FL Ratio'!$A$2:$B$21,2,FALSE)</f>
        <v>8.4352542847656444</v>
      </c>
      <c r="P4" s="2">
        <f>('FL Characterization'!P$2-'FL Characterization'!P$3)*VLOOKUP($A4,'FL Ratio'!$A$2:$B$21,2,FALSE)</f>
        <v>8.0356239328494823</v>
      </c>
      <c r="Q4" s="2">
        <f>('FL Characterization'!Q$2-'FL Characterization'!Q$3)*VLOOKUP($A4,'FL Ratio'!$A$2:$B$21,2,FALSE)</f>
        <v>7.3658468648053557</v>
      </c>
      <c r="R4" s="2">
        <f>('FL Characterization'!R$2-'FL Characterization'!R$3)*VLOOKUP($A4,'FL Ratio'!$A$2:$B$21,2,FALSE)</f>
        <v>6.6199011330530055</v>
      </c>
      <c r="S4" s="2">
        <f>('FL Characterization'!S$2-'FL Characterization'!S$3)*VLOOKUP($A4,'FL Ratio'!$A$2:$B$21,2,FALSE)</f>
        <v>6.3824268461608238</v>
      </c>
      <c r="T4" s="2">
        <f>('FL Characterization'!T$2-'FL Characterization'!T$3)*VLOOKUP($A4,'FL Ratio'!$A$2:$B$21,2,FALSE)</f>
        <v>4.011967111596948</v>
      </c>
      <c r="U4" s="2">
        <f>('FL Characterization'!U$2-'FL Characterization'!U$3)*VLOOKUP($A4,'FL Ratio'!$A$2:$B$21,2,FALSE)</f>
        <v>4.290432695178227</v>
      </c>
      <c r="V4" s="2">
        <f>('FL Characterization'!V$2-'FL Characterization'!V$3)*VLOOKUP($A4,'FL Ratio'!$A$2:$B$21,2,FALSE)</f>
        <v>4.6908207134609547</v>
      </c>
      <c r="W4" s="2">
        <f>('FL Characterization'!W$2-'FL Characterization'!W$3)*VLOOKUP($A4,'FL Ratio'!$A$2:$B$21,2,FALSE)</f>
        <v>4.8027543221868632</v>
      </c>
      <c r="X4" s="2">
        <f>('FL Characterization'!X$2-'FL Characterization'!X$3)*VLOOKUP($A4,'FL Ratio'!$A$2:$B$21,2,FALSE)</f>
        <v>5.0089478119451147</v>
      </c>
      <c r="Y4" s="2">
        <f>('FL Characterization'!Y$2-'FL Characterization'!Y$3)*VLOOKUP($A4,'FL Ratio'!$A$2:$B$21,2,FALSE)</f>
        <v>5.5289543406717749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7BEDA-3CED-4A36-B8B5-3C997C5803E9}">
  <dimension ref="A1:Y10"/>
  <sheetViews>
    <sheetView workbookViewId="0">
      <selection activeCell="B5" sqref="B5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7.743877960658371</v>
      </c>
      <c r="C5" s="9">
        <f>VLOOKUP($A5,'RES installed'!$A$2:$C$7,3,FALSE)*'[1]Profiles, RES, Spring'!C$5</f>
        <v>7.189883580891208</v>
      </c>
      <c r="D5" s="9">
        <f>VLOOKUP($A5,'RES installed'!$A$2:$C$7,3,FALSE)*'[1]Profiles, RES, Spring'!D$5</f>
        <v>7.2260136491368927</v>
      </c>
      <c r="E5" s="9">
        <f>VLOOKUP($A5,'RES installed'!$A$2:$C$7,3,FALSE)*'[1]Profiles, RES, Spring'!E$5</f>
        <v>6.9369731031714172</v>
      </c>
      <c r="F5" s="9">
        <f>VLOOKUP($A5,'RES installed'!$A$2:$C$7,3,FALSE)*'[1]Profiles, RES, Spring'!F$5</f>
        <v>6.8707346447209954</v>
      </c>
      <c r="G5" s="9">
        <f>VLOOKUP($A5,'RES installed'!$A$2:$C$7,3,FALSE)*'[1]Profiles, RES, Spring'!G$5</f>
        <v>6.9911682055399433</v>
      </c>
      <c r="H5" s="9">
        <f>VLOOKUP($A5,'RES installed'!$A$2:$C$7,3,FALSE)*'[1]Profiles, RES, Spring'!H$5</f>
        <v>6.2745885186672021</v>
      </c>
      <c r="I5" s="9">
        <f>VLOOKUP($A5,'RES installed'!$A$2:$C$7,3,FALSE)*'[1]Profiles, RES, Spring'!I$5</f>
        <v>5.0341228422320352</v>
      </c>
      <c r="J5" s="9">
        <f>VLOOKUP($A5,'RES installed'!$A$2:$C$7,3,FALSE)*'[1]Profiles, RES, Spring'!J$5</f>
        <v>3.9682858289843437</v>
      </c>
      <c r="K5" s="9">
        <f>VLOOKUP($A5,'RES installed'!$A$2:$C$7,3,FALSE)*'[1]Profiles, RES, Spring'!K$5</f>
        <v>2.9987956643918108</v>
      </c>
      <c r="L5" s="9">
        <f>VLOOKUP($A5,'RES installed'!$A$2:$C$7,3,FALSE)*'[1]Profiles, RES, Spring'!L$5</f>
        <v>2.8482537133681252</v>
      </c>
      <c r="M5" s="9">
        <f>VLOOKUP($A5,'RES installed'!$A$2:$C$7,3,FALSE)*'[1]Profiles, RES, Spring'!M$5</f>
        <v>3.4684865515857086</v>
      </c>
      <c r="N5" s="9">
        <f>VLOOKUP($A5,'RES installed'!$A$2:$C$7,3,FALSE)*'[1]Profiles, RES, Spring'!N$5</f>
        <v>4.5824969891609797</v>
      </c>
      <c r="O5" s="9">
        <f>VLOOKUP($A5,'RES installed'!$A$2:$C$7,3,FALSE)*'[1]Profiles, RES, Spring'!O$5</f>
        <v>6.3348052990766766</v>
      </c>
      <c r="P5" s="9">
        <f>VLOOKUP($A5,'RES installed'!$A$2:$C$7,3,FALSE)*'[1]Profiles, RES, Spring'!P$5</f>
        <v>8.2677639502207949</v>
      </c>
      <c r="Q5" s="9">
        <f>VLOOKUP($A5,'RES installed'!$A$2:$C$7,3,FALSE)*'[1]Profiles, RES, Spring'!Q$5</f>
        <v>10.315134484142915</v>
      </c>
      <c r="R5" s="9">
        <f>VLOOKUP($A5,'RES installed'!$A$2:$C$7,3,FALSE)*'[1]Profiles, RES, Spring'!R$5</f>
        <v>12.844239261340828</v>
      </c>
      <c r="S5" s="9">
        <f>VLOOKUP($A5,'RES installed'!$A$2:$C$7,3,FALSE)*'[1]Profiles, RES, Spring'!S$5</f>
        <v>14.259333600963469</v>
      </c>
      <c r="T5" s="9">
        <f>VLOOKUP($A5,'RES installed'!$A$2:$C$7,3,FALSE)*'[1]Profiles, RES, Spring'!T$5</f>
        <v>14.307507025291049</v>
      </c>
      <c r="U5" s="9">
        <f>VLOOKUP($A5,'RES installed'!$A$2:$C$7,3,FALSE)*'[1]Profiles, RES, Spring'!U$5</f>
        <v>13.934162986752309</v>
      </c>
      <c r="V5" s="9">
        <f>VLOOKUP($A5,'RES installed'!$A$2:$C$7,3,FALSE)*'[1]Profiles, RES, Spring'!V$5</f>
        <v>12.633480529907667</v>
      </c>
      <c r="W5" s="9">
        <f>VLOOKUP($A5,'RES installed'!$A$2:$C$7,3,FALSE)*'[1]Profiles, RES, Spring'!W$5</f>
        <v>11.67603372139703</v>
      </c>
      <c r="X5" s="9">
        <f>VLOOKUP($A5,'RES installed'!$A$2:$C$7,3,FALSE)*'[1]Profiles, RES, Spring'!X$5</f>
        <v>11.657968687274188</v>
      </c>
      <c r="Y5" s="9">
        <f>VLOOKUP($A5,'RES installed'!$A$2:$C$7,3,FALSE)*'[1]Profiles, RES, Spring'!Y$5</f>
        <v>11.055800883179446</v>
      </c>
    </row>
    <row r="6" spans="1:25" x14ac:dyDescent="0.3">
      <c r="A6" s="8">
        <v>5</v>
      </c>
      <c r="B6" s="9">
        <f>VLOOKUP($A6,'RES installed'!$A$2:$C$7,3,FALSE)*'[1]Profiles, RES, Spring'!B$5</f>
        <v>5.1625853071055801</v>
      </c>
      <c r="C6" s="9">
        <f>VLOOKUP($A6,'RES installed'!$A$2:$C$7,3,FALSE)*'[1]Profiles, RES, Spring'!C$5</f>
        <v>4.7932557205941393</v>
      </c>
      <c r="D6" s="9">
        <f>VLOOKUP($A6,'RES installed'!$A$2:$C$7,3,FALSE)*'[1]Profiles, RES, Spring'!D$5</f>
        <v>4.8173424327579282</v>
      </c>
      <c r="E6" s="9">
        <f>VLOOKUP($A6,'RES installed'!$A$2:$C$7,3,FALSE)*'[1]Profiles, RES, Spring'!E$5</f>
        <v>4.6246487354476109</v>
      </c>
      <c r="F6" s="9">
        <f>VLOOKUP($A6,'RES installed'!$A$2:$C$7,3,FALSE)*'[1]Profiles, RES, Spring'!F$5</f>
        <v>4.5804897631473303</v>
      </c>
      <c r="G6" s="9">
        <f>VLOOKUP($A6,'RES installed'!$A$2:$C$7,3,FALSE)*'[1]Profiles, RES, Spring'!G$5</f>
        <v>4.6607788036932956</v>
      </c>
      <c r="H6" s="9">
        <f>VLOOKUP($A6,'RES installed'!$A$2:$C$7,3,FALSE)*'[1]Profiles, RES, Spring'!H$5</f>
        <v>4.1830590124448017</v>
      </c>
      <c r="I6" s="9">
        <f>VLOOKUP($A6,'RES installed'!$A$2:$C$7,3,FALSE)*'[1]Profiles, RES, Spring'!I$5</f>
        <v>3.3560818948213567</v>
      </c>
      <c r="J6" s="9">
        <f>VLOOKUP($A6,'RES installed'!$A$2:$C$7,3,FALSE)*'[1]Profiles, RES, Spring'!J$5</f>
        <v>2.6455238859895625</v>
      </c>
      <c r="K6" s="9">
        <f>VLOOKUP($A6,'RES installed'!$A$2:$C$7,3,FALSE)*'[1]Profiles, RES, Spring'!K$5</f>
        <v>1.9991971095945404</v>
      </c>
      <c r="L6" s="9">
        <f>VLOOKUP($A6,'RES installed'!$A$2:$C$7,3,FALSE)*'[1]Profiles, RES, Spring'!L$5</f>
        <v>1.8988358089120836</v>
      </c>
      <c r="M6" s="9">
        <f>VLOOKUP($A6,'RES installed'!$A$2:$C$7,3,FALSE)*'[1]Profiles, RES, Spring'!M$5</f>
        <v>2.3123243677238055</v>
      </c>
      <c r="N6" s="9">
        <f>VLOOKUP($A6,'RES installed'!$A$2:$C$7,3,FALSE)*'[1]Profiles, RES, Spring'!N$5</f>
        <v>3.0549979927739863</v>
      </c>
      <c r="O6" s="9">
        <f>VLOOKUP($A6,'RES installed'!$A$2:$C$7,3,FALSE)*'[1]Profiles, RES, Spring'!O$5</f>
        <v>4.2232035327177844</v>
      </c>
      <c r="P6" s="9">
        <f>VLOOKUP($A6,'RES installed'!$A$2:$C$7,3,FALSE)*'[1]Profiles, RES, Spring'!P$5</f>
        <v>5.5118426334805299</v>
      </c>
      <c r="Q6" s="9">
        <f>VLOOKUP($A6,'RES installed'!$A$2:$C$7,3,FALSE)*'[1]Profiles, RES, Spring'!Q$5</f>
        <v>6.8767563227619437</v>
      </c>
      <c r="R6" s="9">
        <f>VLOOKUP($A6,'RES installed'!$A$2:$C$7,3,FALSE)*'[1]Profiles, RES, Spring'!R$5</f>
        <v>8.5628261742272187</v>
      </c>
      <c r="S6" s="9">
        <f>VLOOKUP($A6,'RES installed'!$A$2:$C$7,3,FALSE)*'[1]Profiles, RES, Spring'!S$5</f>
        <v>9.5062224006423115</v>
      </c>
      <c r="T6" s="9">
        <f>VLOOKUP($A6,'RES installed'!$A$2:$C$7,3,FALSE)*'[1]Profiles, RES, Spring'!T$5</f>
        <v>9.538338016860699</v>
      </c>
      <c r="U6" s="9">
        <f>VLOOKUP($A6,'RES installed'!$A$2:$C$7,3,FALSE)*'[1]Profiles, RES, Spring'!U$5</f>
        <v>9.2894419911682053</v>
      </c>
      <c r="V6" s="9">
        <f>VLOOKUP($A6,'RES installed'!$A$2:$C$7,3,FALSE)*'[1]Profiles, RES, Spring'!V$5</f>
        <v>8.422320353271779</v>
      </c>
      <c r="W6" s="9">
        <f>VLOOKUP($A6,'RES installed'!$A$2:$C$7,3,FALSE)*'[1]Profiles, RES, Spring'!W$5</f>
        <v>7.7840224809313527</v>
      </c>
      <c r="X6" s="9">
        <f>VLOOKUP($A6,'RES installed'!$A$2:$C$7,3,FALSE)*'[1]Profiles, RES, Spring'!X$5</f>
        <v>7.7719791248494587</v>
      </c>
      <c r="Y6" s="9">
        <f>VLOOKUP($A6,'RES installed'!$A$2:$C$7,3,FALSE)*'[1]Profiles, RES, Spring'!Y$5</f>
        <v>7.3705339221196304</v>
      </c>
    </row>
    <row r="7" spans="1:25" x14ac:dyDescent="0.3">
      <c r="A7" s="8">
        <v>6</v>
      </c>
      <c r="B7" s="9">
        <f>VLOOKUP($A7,'RES installed'!$A$2:$C$7,3,FALSE)*'[1]Profiles, RES, Spring'!B$5</f>
        <v>7.743877960658371</v>
      </c>
      <c r="C7" s="9">
        <f>VLOOKUP($A7,'RES installed'!$A$2:$C$7,3,FALSE)*'[1]Profiles, RES, Spring'!C$5</f>
        <v>7.189883580891208</v>
      </c>
      <c r="D7" s="9">
        <f>VLOOKUP($A7,'RES installed'!$A$2:$C$7,3,FALSE)*'[1]Profiles, RES, Spring'!D$5</f>
        <v>7.2260136491368927</v>
      </c>
      <c r="E7" s="9">
        <f>VLOOKUP($A7,'RES installed'!$A$2:$C$7,3,FALSE)*'[1]Profiles, RES, Spring'!E$5</f>
        <v>6.9369731031714172</v>
      </c>
      <c r="F7" s="9">
        <f>VLOOKUP($A7,'RES installed'!$A$2:$C$7,3,FALSE)*'[1]Profiles, RES, Spring'!F$5</f>
        <v>6.8707346447209954</v>
      </c>
      <c r="G7" s="9">
        <f>VLOOKUP($A7,'RES installed'!$A$2:$C$7,3,FALSE)*'[1]Profiles, RES, Spring'!G$5</f>
        <v>6.9911682055399433</v>
      </c>
      <c r="H7" s="9">
        <f>VLOOKUP($A7,'RES installed'!$A$2:$C$7,3,FALSE)*'[1]Profiles, RES, Spring'!H$5</f>
        <v>6.2745885186672021</v>
      </c>
      <c r="I7" s="9">
        <f>VLOOKUP($A7,'RES installed'!$A$2:$C$7,3,FALSE)*'[1]Profiles, RES, Spring'!I$5</f>
        <v>5.0341228422320352</v>
      </c>
      <c r="J7" s="9">
        <f>VLOOKUP($A7,'RES installed'!$A$2:$C$7,3,FALSE)*'[1]Profiles, RES, Spring'!J$5</f>
        <v>3.9682858289843437</v>
      </c>
      <c r="K7" s="9">
        <f>VLOOKUP($A7,'RES installed'!$A$2:$C$7,3,FALSE)*'[1]Profiles, RES, Spring'!K$5</f>
        <v>2.9987956643918108</v>
      </c>
      <c r="L7" s="9">
        <f>VLOOKUP($A7,'RES installed'!$A$2:$C$7,3,FALSE)*'[1]Profiles, RES, Spring'!L$5</f>
        <v>2.8482537133681252</v>
      </c>
      <c r="M7" s="9">
        <f>VLOOKUP($A7,'RES installed'!$A$2:$C$7,3,FALSE)*'[1]Profiles, RES, Spring'!M$5</f>
        <v>3.4684865515857086</v>
      </c>
      <c r="N7" s="9">
        <f>VLOOKUP($A7,'RES installed'!$A$2:$C$7,3,FALSE)*'[1]Profiles, RES, Spring'!N$5</f>
        <v>4.5824969891609797</v>
      </c>
      <c r="O7" s="9">
        <f>VLOOKUP($A7,'RES installed'!$A$2:$C$7,3,FALSE)*'[1]Profiles, RES, Spring'!O$5</f>
        <v>6.3348052990766766</v>
      </c>
      <c r="P7" s="9">
        <f>VLOOKUP($A7,'RES installed'!$A$2:$C$7,3,FALSE)*'[1]Profiles, RES, Spring'!P$5</f>
        <v>8.2677639502207949</v>
      </c>
      <c r="Q7" s="9">
        <f>VLOOKUP($A7,'RES installed'!$A$2:$C$7,3,FALSE)*'[1]Profiles, RES, Spring'!Q$5</f>
        <v>10.315134484142915</v>
      </c>
      <c r="R7" s="9">
        <f>VLOOKUP($A7,'RES installed'!$A$2:$C$7,3,FALSE)*'[1]Profiles, RES, Spring'!R$5</f>
        <v>12.844239261340828</v>
      </c>
      <c r="S7" s="9">
        <f>VLOOKUP($A7,'RES installed'!$A$2:$C$7,3,FALSE)*'[1]Profiles, RES, Spring'!S$5</f>
        <v>14.259333600963469</v>
      </c>
      <c r="T7" s="9">
        <f>VLOOKUP($A7,'RES installed'!$A$2:$C$7,3,FALSE)*'[1]Profiles, RES, Spring'!T$5</f>
        <v>14.307507025291049</v>
      </c>
      <c r="U7" s="9">
        <f>VLOOKUP($A7,'RES installed'!$A$2:$C$7,3,FALSE)*'[1]Profiles, RES, Spring'!U$5</f>
        <v>13.934162986752309</v>
      </c>
      <c r="V7" s="9">
        <f>VLOOKUP($A7,'RES installed'!$A$2:$C$7,3,FALSE)*'[1]Profiles, RES, Spring'!V$5</f>
        <v>12.633480529907667</v>
      </c>
      <c r="W7" s="9">
        <f>VLOOKUP($A7,'RES installed'!$A$2:$C$7,3,FALSE)*'[1]Profiles, RES, Spring'!W$5</f>
        <v>11.67603372139703</v>
      </c>
      <c r="X7" s="9">
        <f>VLOOKUP($A7,'RES installed'!$A$2:$C$7,3,FALSE)*'[1]Profiles, RES, Spring'!X$5</f>
        <v>11.657968687274188</v>
      </c>
      <c r="Y7" s="9">
        <f>VLOOKUP($A7,'RES installed'!$A$2:$C$7,3,FALSE)*'[1]Profiles, RES, Spring'!Y$5</f>
        <v>11.055800883179446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0.28430629264594387</v>
      </c>
      <c r="H8" s="6">
        <f>VLOOKUP($A8,'RES installed'!$A$2:$C$7,3,FALSE)*'[1]Profiles, RES, Spring'!H$2</f>
        <v>2.8544351781652768</v>
      </c>
      <c r="I8" s="6">
        <f>VLOOKUP($A8,'RES installed'!$A$2:$C$7,3,FALSE)*'[1]Profiles, RES, Spring'!I$2</f>
        <v>7.9719484457922665</v>
      </c>
      <c r="J8" s="6">
        <f>VLOOKUP($A8,'RES installed'!$A$2:$C$7,3,FALSE)*'[1]Profiles, RES, Spring'!J$2</f>
        <v>12.31614859742229</v>
      </c>
      <c r="K8" s="6">
        <f>VLOOKUP($A8,'RES installed'!$A$2:$C$7,3,FALSE)*'[1]Profiles, RES, Spring'!K$2</f>
        <v>14.408642911296438</v>
      </c>
      <c r="L8" s="6">
        <f>VLOOKUP($A8,'RES installed'!$A$2:$C$7,3,FALSE)*'[1]Profiles, RES, Spring'!L$2</f>
        <v>16.467020470053072</v>
      </c>
      <c r="M8" s="6">
        <f>VLOOKUP($A8,'RES installed'!$A$2:$C$7,3,FALSE)*'[1]Profiles, RES, Spring'!M$2</f>
        <v>17.354056103108416</v>
      </c>
      <c r="N8" s="6">
        <f>VLOOKUP($A8,'RES installed'!$A$2:$C$7,3,FALSE)*'[1]Profiles, RES, Spring'!N$2</f>
        <v>18.718726307808947</v>
      </c>
      <c r="O8" s="6">
        <f>VLOOKUP($A8,'RES installed'!$A$2:$C$7,3,FALSE)*'[1]Profiles, RES, Spring'!O$2</f>
        <v>18.821076573161488</v>
      </c>
      <c r="P8" s="6">
        <f>VLOOKUP($A8,'RES installed'!$A$2:$C$7,3,FALSE)*'[1]Profiles, RES, Spring'!P$2</f>
        <v>18.923426838514025</v>
      </c>
      <c r="Q8" s="6">
        <f>VLOOKUP($A8,'RES installed'!$A$2:$C$7,3,FALSE)*'[1]Profiles, RES, Spring'!Q$2</f>
        <v>17.308567096285064</v>
      </c>
      <c r="R8" s="6">
        <f>VLOOKUP($A8,'RES installed'!$A$2:$C$7,3,FALSE)*'[1]Profiles, RES, Spring'!R$2</f>
        <v>13.771796815769523</v>
      </c>
      <c r="S8" s="6">
        <f>VLOOKUP($A8,'RES installed'!$A$2:$C$7,3,FALSE)*'[1]Profiles, RES, Spring'!S$2</f>
        <v>9.0750568612585294</v>
      </c>
      <c r="T8" s="6">
        <f>VLOOKUP($A8,'RES installed'!$A$2:$C$7,3,FALSE)*'[1]Profiles, RES, Spring'!T$2</f>
        <v>3.3434420015163004</v>
      </c>
      <c r="U8" s="6">
        <f>VLOOKUP($A8,'RES installed'!$A$2:$C$7,3,FALSE)*'[1]Profiles, RES, Spring'!U$2</f>
        <v>0.29567854435178165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9.4768764215314633E-2</v>
      </c>
      <c r="H9" s="6">
        <f>VLOOKUP($A9,'RES installed'!$A$2:$C$7,3,FALSE)*'[1]Profiles, RES, Spring'!H$2</f>
        <v>0.95147839272175894</v>
      </c>
      <c r="I9" s="6">
        <f>VLOOKUP($A9,'RES installed'!$A$2:$C$7,3,FALSE)*'[1]Profiles, RES, Spring'!I$2</f>
        <v>2.6573161485974222</v>
      </c>
      <c r="J9" s="6">
        <f>VLOOKUP($A9,'RES installed'!$A$2:$C$7,3,FALSE)*'[1]Profiles, RES, Spring'!J$2</f>
        <v>4.1053828658074298</v>
      </c>
      <c r="K9" s="6">
        <f>VLOOKUP($A9,'RES installed'!$A$2:$C$7,3,FALSE)*'[1]Profiles, RES, Spring'!K$2</f>
        <v>4.8028809704321453</v>
      </c>
      <c r="L9" s="6">
        <f>VLOOKUP($A9,'RES installed'!$A$2:$C$7,3,FALSE)*'[1]Profiles, RES, Spring'!L$2</f>
        <v>5.4890068233510236</v>
      </c>
      <c r="M9" s="6">
        <f>VLOOKUP($A9,'RES installed'!$A$2:$C$7,3,FALSE)*'[1]Profiles, RES, Spring'!M$2</f>
        <v>5.7846853677028056</v>
      </c>
      <c r="N9" s="6">
        <f>VLOOKUP($A9,'RES installed'!$A$2:$C$7,3,FALSE)*'[1]Profiles, RES, Spring'!N$2</f>
        <v>6.2395754359363149</v>
      </c>
      <c r="O9" s="6">
        <f>VLOOKUP($A9,'RES installed'!$A$2:$C$7,3,FALSE)*'[1]Profiles, RES, Spring'!O$2</f>
        <v>6.2736921910538292</v>
      </c>
      <c r="P9" s="6">
        <f>VLOOKUP($A9,'RES installed'!$A$2:$C$7,3,FALSE)*'[1]Profiles, RES, Spring'!P$2</f>
        <v>6.3078089461713418</v>
      </c>
      <c r="Q9" s="6">
        <f>VLOOKUP($A9,'RES installed'!$A$2:$C$7,3,FALSE)*'[1]Profiles, RES, Spring'!Q$2</f>
        <v>5.7695223654283545</v>
      </c>
      <c r="R9" s="6">
        <f>VLOOKUP($A9,'RES installed'!$A$2:$C$7,3,FALSE)*'[1]Profiles, RES, Spring'!R$2</f>
        <v>4.5905989385898414</v>
      </c>
      <c r="S9" s="6">
        <f>VLOOKUP($A9,'RES installed'!$A$2:$C$7,3,FALSE)*'[1]Profiles, RES, Spring'!S$2</f>
        <v>3.0250189537528431</v>
      </c>
      <c r="T9" s="6">
        <f>VLOOKUP($A9,'RES installed'!$A$2:$C$7,3,FALSE)*'[1]Profiles, RES, Spring'!T$2</f>
        <v>1.1144806671721001</v>
      </c>
      <c r="U9" s="6">
        <f>VLOOKUP($A9,'RES installed'!$A$2:$C$7,3,FALSE)*'[1]Profiles, RES, Spring'!U$2</f>
        <v>9.8559514783927216E-2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0.18953752843062927</v>
      </c>
      <c r="H10" s="6">
        <f>VLOOKUP($A10,'RES installed'!$A$2:$C$7,3,FALSE)*'[1]Profiles, RES, Spring'!H$2</f>
        <v>1.9029567854435179</v>
      </c>
      <c r="I10" s="6">
        <f>VLOOKUP($A10,'RES installed'!$A$2:$C$7,3,FALSE)*'[1]Profiles, RES, Spring'!I$2</f>
        <v>5.3146322971948443</v>
      </c>
      <c r="J10" s="6">
        <f>VLOOKUP($A10,'RES installed'!$A$2:$C$7,3,FALSE)*'[1]Profiles, RES, Spring'!J$2</f>
        <v>8.2107657316148597</v>
      </c>
      <c r="K10" s="6">
        <f>VLOOKUP($A10,'RES installed'!$A$2:$C$7,3,FALSE)*'[1]Profiles, RES, Spring'!K$2</f>
        <v>9.6057619408642907</v>
      </c>
      <c r="L10" s="6">
        <f>VLOOKUP($A10,'RES installed'!$A$2:$C$7,3,FALSE)*'[1]Profiles, RES, Spring'!L$2</f>
        <v>10.978013646702047</v>
      </c>
      <c r="M10" s="6">
        <f>VLOOKUP($A10,'RES installed'!$A$2:$C$7,3,FALSE)*'[1]Profiles, RES, Spring'!M$2</f>
        <v>11.569370735405611</v>
      </c>
      <c r="N10" s="6">
        <f>VLOOKUP($A10,'RES installed'!$A$2:$C$7,3,FALSE)*'[1]Profiles, RES, Spring'!N$2</f>
        <v>12.47915087187263</v>
      </c>
      <c r="O10" s="6">
        <f>VLOOKUP($A10,'RES installed'!$A$2:$C$7,3,FALSE)*'[1]Profiles, RES, Spring'!O$2</f>
        <v>12.547384382107658</v>
      </c>
      <c r="P10" s="6">
        <f>VLOOKUP($A10,'RES installed'!$A$2:$C$7,3,FALSE)*'[1]Profiles, RES, Spring'!P$2</f>
        <v>12.615617892342684</v>
      </c>
      <c r="Q10" s="6">
        <f>VLOOKUP($A10,'RES installed'!$A$2:$C$7,3,FALSE)*'[1]Profiles, RES, Spring'!Q$2</f>
        <v>11.539044730856709</v>
      </c>
      <c r="R10" s="6">
        <f>VLOOKUP($A10,'RES installed'!$A$2:$C$7,3,FALSE)*'[1]Profiles, RES, Spring'!R$2</f>
        <v>9.1811978771796827</v>
      </c>
      <c r="S10" s="6">
        <f>VLOOKUP($A10,'RES installed'!$A$2:$C$7,3,FALSE)*'[1]Profiles, RES, Spring'!S$2</f>
        <v>6.0500379075056863</v>
      </c>
      <c r="T10" s="6">
        <f>VLOOKUP($A10,'RES installed'!$A$2:$C$7,3,FALSE)*'[1]Profiles, RES, Spring'!T$2</f>
        <v>2.2289613343442003</v>
      </c>
      <c r="U10" s="6">
        <f>VLOOKUP($A10,'RES installed'!$A$2:$C$7,3,FALSE)*'[1]Profiles, RES, Spring'!U$2</f>
        <v>0.19711902956785443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8DCCF-8843-49E7-A2BE-F57333158CF0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10.152549177037335</v>
      </c>
      <c r="C5" s="9">
        <f>VLOOKUP($A5,'RES installed'!$A$2:$C$7,3,FALSE)*'[1]Profiles, RES, Spring'!C$6</f>
        <v>9.2131674026495389</v>
      </c>
      <c r="D5" s="9">
        <f>VLOOKUP($A5,'RES installed'!$A$2:$C$7,3,FALSE)*'[1]Profiles, RES, Spring'!D$6</f>
        <v>8.0389401846647939</v>
      </c>
      <c r="E5" s="9">
        <f>VLOOKUP($A5,'RES installed'!$A$2:$C$7,3,FALSE)*'[1]Profiles, RES, Spring'!E$6</f>
        <v>7.2380570052187876</v>
      </c>
      <c r="F5" s="9">
        <f>VLOOKUP($A5,'RES installed'!$A$2:$C$7,3,FALSE)*'[1]Profiles, RES, Spring'!F$6</f>
        <v>7.0754716981132075</v>
      </c>
      <c r="G5" s="9">
        <f>VLOOKUP($A5,'RES installed'!$A$2:$C$7,3,FALSE)*'[1]Profiles, RES, Spring'!G$6</f>
        <v>7.1537535126455243</v>
      </c>
      <c r="H5" s="9">
        <f>VLOOKUP($A5,'RES installed'!$A$2:$C$7,3,FALSE)*'[1]Profiles, RES, Spring'!H$6</f>
        <v>6.1059815335206746</v>
      </c>
      <c r="I5" s="9">
        <f>VLOOKUP($A5,'RES installed'!$A$2:$C$7,3,FALSE)*'[1]Profiles, RES, Spring'!I$6</f>
        <v>4.5945403452428746</v>
      </c>
      <c r="J5" s="9">
        <f>VLOOKUP($A5,'RES installed'!$A$2:$C$7,3,FALSE)*'[1]Profiles, RES, Spring'!J$6</f>
        <v>4.1850662384584503</v>
      </c>
      <c r="K5" s="9">
        <f>VLOOKUP($A5,'RES installed'!$A$2:$C$7,3,FALSE)*'[1]Profiles, RES, Spring'!K$6</f>
        <v>4.3596949016459252</v>
      </c>
      <c r="L5" s="9">
        <f>VLOOKUP($A5,'RES installed'!$A$2:$C$7,3,FALSE)*'[1]Profiles, RES, Spring'!L$6</f>
        <v>4.88358089120835</v>
      </c>
      <c r="M5" s="9">
        <f>VLOOKUP($A5,'RES installed'!$A$2:$C$7,3,FALSE)*'[1]Profiles, RES, Spring'!M$6</f>
        <v>5.6001605780810921</v>
      </c>
      <c r="N5" s="9">
        <f>VLOOKUP($A5,'RES installed'!$A$2:$C$7,3,FALSE)*'[1]Profiles, RES, Spring'!N$6</f>
        <v>7.2802087515054197</v>
      </c>
      <c r="O5" s="9">
        <f>VLOOKUP($A5,'RES installed'!$A$2:$C$7,3,FALSE)*'[1]Profiles, RES, Spring'!O$6</f>
        <v>9.038538739462064</v>
      </c>
      <c r="P5" s="9">
        <f>VLOOKUP($A5,'RES installed'!$A$2:$C$7,3,FALSE)*'[1]Profiles, RES, Spring'!P$6</f>
        <v>10.266961059815335</v>
      </c>
      <c r="Q5" s="9">
        <f>VLOOKUP($A5,'RES installed'!$A$2:$C$7,3,FALSE)*'[1]Profiles, RES, Spring'!Q$6</f>
        <v>11.296668004817343</v>
      </c>
      <c r="R5" s="9">
        <f>VLOOKUP($A5,'RES installed'!$A$2:$C$7,3,FALSE)*'[1]Profiles, RES, Spring'!R$6</f>
        <v>12.380570052187876</v>
      </c>
      <c r="S5" s="9">
        <f>VLOOKUP($A5,'RES installed'!$A$2:$C$7,3,FALSE)*'[1]Profiles, RES, Spring'!S$6</f>
        <v>11.844640706543556</v>
      </c>
      <c r="T5" s="9">
        <f>VLOOKUP($A5,'RES installed'!$A$2:$C$7,3,FALSE)*'[1]Profiles, RES, Spring'!T$6</f>
        <v>10.477719791248495</v>
      </c>
      <c r="U5" s="9">
        <f>VLOOKUP($A5,'RES installed'!$A$2:$C$7,3,FALSE)*'[1]Profiles, RES, Spring'!U$6</f>
        <v>10.080289040545965</v>
      </c>
      <c r="V5" s="9">
        <f>VLOOKUP($A5,'RES installed'!$A$2:$C$7,3,FALSE)*'[1]Profiles, RES, Spring'!V$6</f>
        <v>9.375752709755119</v>
      </c>
      <c r="W5" s="9">
        <f>VLOOKUP($A5,'RES installed'!$A$2:$C$7,3,FALSE)*'[1]Profiles, RES, Spring'!W$6</f>
        <v>8.8940184664793254</v>
      </c>
      <c r="X5" s="9">
        <f>VLOOKUP($A5,'RES installed'!$A$2:$C$7,3,FALSE)*'[1]Profiles, RES, Spring'!X$6</f>
        <v>8.0630268968285819</v>
      </c>
      <c r="Y5" s="9">
        <f>VLOOKUP($A5,'RES installed'!$A$2:$C$7,3,FALSE)*'[1]Profiles, RES, Spring'!Y$6</f>
        <v>7.189883580891208</v>
      </c>
    </row>
    <row r="6" spans="1:25" x14ac:dyDescent="0.3">
      <c r="A6" s="8">
        <v>5</v>
      </c>
      <c r="B6" s="9">
        <f>VLOOKUP($A6,'RES installed'!$A$2:$C$7,3,FALSE)*'[1]Profiles, RES, Spring'!B$6</f>
        <v>6.7683661180248897</v>
      </c>
      <c r="C6" s="9">
        <f>VLOOKUP($A6,'RES installed'!$A$2:$C$7,3,FALSE)*'[1]Profiles, RES, Spring'!C$6</f>
        <v>6.1421116017663593</v>
      </c>
      <c r="D6" s="9">
        <f>VLOOKUP($A6,'RES installed'!$A$2:$C$7,3,FALSE)*'[1]Profiles, RES, Spring'!D$6</f>
        <v>5.3592934564431962</v>
      </c>
      <c r="E6" s="9">
        <f>VLOOKUP($A6,'RES installed'!$A$2:$C$7,3,FALSE)*'[1]Profiles, RES, Spring'!E$6</f>
        <v>4.8253713368125251</v>
      </c>
      <c r="F6" s="9">
        <f>VLOOKUP($A6,'RES installed'!$A$2:$C$7,3,FALSE)*'[1]Profiles, RES, Spring'!F$6</f>
        <v>4.716981132075472</v>
      </c>
      <c r="G6" s="9">
        <f>VLOOKUP($A6,'RES installed'!$A$2:$C$7,3,FALSE)*'[1]Profiles, RES, Spring'!G$6</f>
        <v>4.7691690084303495</v>
      </c>
      <c r="H6" s="9">
        <f>VLOOKUP($A6,'RES installed'!$A$2:$C$7,3,FALSE)*'[1]Profiles, RES, Spring'!H$6</f>
        <v>4.0706543556804498</v>
      </c>
      <c r="I6" s="9">
        <f>VLOOKUP($A6,'RES installed'!$A$2:$C$7,3,FALSE)*'[1]Profiles, RES, Spring'!I$6</f>
        <v>3.0630268968285828</v>
      </c>
      <c r="J6" s="9">
        <f>VLOOKUP($A6,'RES installed'!$A$2:$C$7,3,FALSE)*'[1]Profiles, RES, Spring'!J$6</f>
        <v>2.7900441589723002</v>
      </c>
      <c r="K6" s="9">
        <f>VLOOKUP($A6,'RES installed'!$A$2:$C$7,3,FALSE)*'[1]Profiles, RES, Spring'!K$6</f>
        <v>2.9064632677639501</v>
      </c>
      <c r="L6" s="9">
        <f>VLOOKUP($A6,'RES installed'!$A$2:$C$7,3,FALSE)*'[1]Profiles, RES, Spring'!L$6</f>
        <v>3.2557205941389</v>
      </c>
      <c r="M6" s="9">
        <f>VLOOKUP($A6,'RES installed'!$A$2:$C$7,3,FALSE)*'[1]Profiles, RES, Spring'!M$6</f>
        <v>3.7334403853873948</v>
      </c>
      <c r="N6" s="9">
        <f>VLOOKUP($A6,'RES installed'!$A$2:$C$7,3,FALSE)*'[1]Profiles, RES, Spring'!N$6</f>
        <v>4.8534725010036128</v>
      </c>
      <c r="O6" s="9">
        <f>VLOOKUP($A6,'RES installed'!$A$2:$C$7,3,FALSE)*'[1]Profiles, RES, Spring'!O$6</f>
        <v>6.0256924929747093</v>
      </c>
      <c r="P6" s="9">
        <f>VLOOKUP($A6,'RES installed'!$A$2:$C$7,3,FALSE)*'[1]Profiles, RES, Spring'!P$6</f>
        <v>6.8446407065435562</v>
      </c>
      <c r="Q6" s="9">
        <f>VLOOKUP($A6,'RES installed'!$A$2:$C$7,3,FALSE)*'[1]Profiles, RES, Spring'!Q$6</f>
        <v>7.5311120032115619</v>
      </c>
      <c r="R6" s="9">
        <f>VLOOKUP($A6,'RES installed'!$A$2:$C$7,3,FALSE)*'[1]Profiles, RES, Spring'!R$6</f>
        <v>8.2537133681252506</v>
      </c>
      <c r="S6" s="9">
        <f>VLOOKUP($A6,'RES installed'!$A$2:$C$7,3,FALSE)*'[1]Profiles, RES, Spring'!S$6</f>
        <v>7.8964271376957038</v>
      </c>
      <c r="T6" s="9">
        <f>VLOOKUP($A6,'RES installed'!$A$2:$C$7,3,FALSE)*'[1]Profiles, RES, Spring'!T$6</f>
        <v>6.9851465274989968</v>
      </c>
      <c r="U6" s="9">
        <f>VLOOKUP($A6,'RES installed'!$A$2:$C$7,3,FALSE)*'[1]Profiles, RES, Spring'!U$6</f>
        <v>6.7201926936973102</v>
      </c>
      <c r="V6" s="9">
        <f>VLOOKUP($A6,'RES installed'!$A$2:$C$7,3,FALSE)*'[1]Profiles, RES, Spring'!V$6</f>
        <v>6.2505018065034124</v>
      </c>
      <c r="W6" s="9">
        <f>VLOOKUP($A6,'RES installed'!$A$2:$C$7,3,FALSE)*'[1]Profiles, RES, Spring'!W$6</f>
        <v>5.9293456443195502</v>
      </c>
      <c r="X6" s="9">
        <f>VLOOKUP($A6,'RES installed'!$A$2:$C$7,3,FALSE)*'[1]Profiles, RES, Spring'!X$6</f>
        <v>5.3753512645523882</v>
      </c>
      <c r="Y6" s="9">
        <f>VLOOKUP($A6,'RES installed'!$A$2:$C$7,3,FALSE)*'[1]Profiles, RES, Spring'!Y$6</f>
        <v>4.7932557205941393</v>
      </c>
    </row>
    <row r="7" spans="1:25" x14ac:dyDescent="0.3">
      <c r="A7" s="8">
        <v>6</v>
      </c>
      <c r="B7" s="9">
        <f>VLOOKUP($A7,'RES installed'!$A$2:$C$7,3,FALSE)*'[1]Profiles, RES, Spring'!B$6</f>
        <v>10.152549177037335</v>
      </c>
      <c r="C7" s="9">
        <f>VLOOKUP($A7,'RES installed'!$A$2:$C$7,3,FALSE)*'[1]Profiles, RES, Spring'!C$6</f>
        <v>9.2131674026495389</v>
      </c>
      <c r="D7" s="9">
        <f>VLOOKUP($A7,'RES installed'!$A$2:$C$7,3,FALSE)*'[1]Profiles, RES, Spring'!D$6</f>
        <v>8.0389401846647939</v>
      </c>
      <c r="E7" s="9">
        <f>VLOOKUP($A7,'RES installed'!$A$2:$C$7,3,FALSE)*'[1]Profiles, RES, Spring'!E$6</f>
        <v>7.2380570052187876</v>
      </c>
      <c r="F7" s="9">
        <f>VLOOKUP($A7,'RES installed'!$A$2:$C$7,3,FALSE)*'[1]Profiles, RES, Spring'!F$6</f>
        <v>7.0754716981132075</v>
      </c>
      <c r="G7" s="9">
        <f>VLOOKUP($A7,'RES installed'!$A$2:$C$7,3,FALSE)*'[1]Profiles, RES, Spring'!G$6</f>
        <v>7.1537535126455243</v>
      </c>
      <c r="H7" s="9">
        <f>VLOOKUP($A7,'RES installed'!$A$2:$C$7,3,FALSE)*'[1]Profiles, RES, Spring'!H$6</f>
        <v>6.1059815335206746</v>
      </c>
      <c r="I7" s="9">
        <f>VLOOKUP($A7,'RES installed'!$A$2:$C$7,3,FALSE)*'[1]Profiles, RES, Spring'!I$6</f>
        <v>4.5945403452428746</v>
      </c>
      <c r="J7" s="9">
        <f>VLOOKUP($A7,'RES installed'!$A$2:$C$7,3,FALSE)*'[1]Profiles, RES, Spring'!J$6</f>
        <v>4.1850662384584503</v>
      </c>
      <c r="K7" s="9">
        <f>VLOOKUP($A7,'RES installed'!$A$2:$C$7,3,FALSE)*'[1]Profiles, RES, Spring'!K$6</f>
        <v>4.3596949016459252</v>
      </c>
      <c r="L7" s="9">
        <f>VLOOKUP($A7,'RES installed'!$A$2:$C$7,3,FALSE)*'[1]Profiles, RES, Spring'!L$6</f>
        <v>4.88358089120835</v>
      </c>
      <c r="M7" s="9">
        <f>VLOOKUP($A7,'RES installed'!$A$2:$C$7,3,FALSE)*'[1]Profiles, RES, Spring'!M$6</f>
        <v>5.6001605780810921</v>
      </c>
      <c r="N7" s="9">
        <f>VLOOKUP($A7,'RES installed'!$A$2:$C$7,3,FALSE)*'[1]Profiles, RES, Spring'!N$6</f>
        <v>7.2802087515054197</v>
      </c>
      <c r="O7" s="9">
        <f>VLOOKUP($A7,'RES installed'!$A$2:$C$7,3,FALSE)*'[1]Profiles, RES, Spring'!O$6</f>
        <v>9.038538739462064</v>
      </c>
      <c r="P7" s="9">
        <f>VLOOKUP($A7,'RES installed'!$A$2:$C$7,3,FALSE)*'[1]Profiles, RES, Spring'!P$6</f>
        <v>10.266961059815335</v>
      </c>
      <c r="Q7" s="9">
        <f>VLOOKUP($A7,'RES installed'!$A$2:$C$7,3,FALSE)*'[1]Profiles, RES, Spring'!Q$6</f>
        <v>11.296668004817343</v>
      </c>
      <c r="R7" s="9">
        <f>VLOOKUP($A7,'RES installed'!$A$2:$C$7,3,FALSE)*'[1]Profiles, RES, Spring'!R$6</f>
        <v>12.380570052187876</v>
      </c>
      <c r="S7" s="9">
        <f>VLOOKUP($A7,'RES installed'!$A$2:$C$7,3,FALSE)*'[1]Profiles, RES, Spring'!S$6</f>
        <v>11.844640706543556</v>
      </c>
      <c r="T7" s="9">
        <f>VLOOKUP($A7,'RES installed'!$A$2:$C$7,3,FALSE)*'[1]Profiles, RES, Spring'!T$6</f>
        <v>10.477719791248495</v>
      </c>
      <c r="U7" s="9">
        <f>VLOOKUP($A7,'RES installed'!$A$2:$C$7,3,FALSE)*'[1]Profiles, RES, Spring'!U$6</f>
        <v>10.080289040545965</v>
      </c>
      <c r="V7" s="9">
        <f>VLOOKUP($A7,'RES installed'!$A$2:$C$7,3,FALSE)*'[1]Profiles, RES, Spring'!V$6</f>
        <v>9.375752709755119</v>
      </c>
      <c r="W7" s="9">
        <f>VLOOKUP($A7,'RES installed'!$A$2:$C$7,3,FALSE)*'[1]Profiles, RES, Spring'!W$6</f>
        <v>8.8940184664793254</v>
      </c>
      <c r="X7" s="9">
        <f>VLOOKUP($A7,'RES installed'!$A$2:$C$7,3,FALSE)*'[1]Profiles, RES, Spring'!X$6</f>
        <v>8.0630268968285819</v>
      </c>
      <c r="Y7" s="9">
        <f>VLOOKUP($A7,'RES installed'!$A$2:$C$7,3,FALSE)*'[1]Profiles, RES, Spring'!Y$6</f>
        <v>7.189883580891208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0.3411675511751327</v>
      </c>
      <c r="H8" s="6">
        <f>VLOOKUP($A8,'RES installed'!$A$2:$C$7,3,FALSE)*'[1]Profiles, RES, Spring'!H$3</f>
        <v>2.9909021986353297</v>
      </c>
      <c r="I8" s="6">
        <f>VLOOKUP($A8,'RES installed'!$A$2:$C$7,3,FALSE)*'[1]Profiles, RES, Spring'!I$3</f>
        <v>7.1986353297952999</v>
      </c>
      <c r="J8" s="6">
        <f>VLOOKUP($A8,'RES installed'!$A$2:$C$7,3,FALSE)*'[1]Profiles, RES, Spring'!J$3</f>
        <v>10.860500379075058</v>
      </c>
      <c r="K8" s="6">
        <f>VLOOKUP($A8,'RES installed'!$A$2:$C$7,3,FALSE)*'[1]Profiles, RES, Spring'!K$3</f>
        <v>15.125094768764216</v>
      </c>
      <c r="L8" s="6">
        <f>VLOOKUP($A8,'RES installed'!$A$2:$C$7,3,FALSE)*'[1]Profiles, RES, Spring'!L$3</f>
        <v>17.899924184988627</v>
      </c>
      <c r="M8" s="6">
        <f>VLOOKUP($A8,'RES installed'!$A$2:$C$7,3,FALSE)*'[1]Profiles, RES, Spring'!M$3</f>
        <v>18.320697498104625</v>
      </c>
      <c r="N8" s="6">
        <f>VLOOKUP($A8,'RES installed'!$A$2:$C$7,3,FALSE)*'[1]Profiles, RES, Spring'!N$3</f>
        <v>18.752843062926459</v>
      </c>
      <c r="O8" s="6">
        <f>VLOOKUP($A8,'RES installed'!$A$2:$C$7,3,FALSE)*'[1]Profiles, RES, Spring'!O$3</f>
        <v>18.09325246398787</v>
      </c>
      <c r="P8" s="6">
        <f>VLOOKUP($A8,'RES installed'!$A$2:$C$7,3,FALSE)*'[1]Profiles, RES, Spring'!P$3</f>
        <v>19.230477634571645</v>
      </c>
      <c r="Q8" s="6">
        <f>VLOOKUP($A8,'RES installed'!$A$2:$C$7,3,FALSE)*'[1]Profiles, RES, Spring'!Q$3</f>
        <v>17.069749810462472</v>
      </c>
      <c r="R8" s="6">
        <f>VLOOKUP($A8,'RES installed'!$A$2:$C$7,3,FALSE)*'[1]Profiles, RES, Spring'!R$3</f>
        <v>14.317664897649735</v>
      </c>
      <c r="S8" s="6">
        <f>VLOOKUP($A8,'RES installed'!$A$2:$C$7,3,FALSE)*'[1]Profiles, RES, Spring'!S$3</f>
        <v>9.3593631539044733</v>
      </c>
      <c r="T8" s="6">
        <f>VLOOKUP($A8,'RES installed'!$A$2:$C$7,3,FALSE)*'[1]Profiles, RES, Spring'!T$3</f>
        <v>3.4116755117513269</v>
      </c>
      <c r="U8" s="6">
        <f>VLOOKUP($A8,'RES installed'!$A$2:$C$7,3,FALSE)*'[1]Profiles, RES, Spring'!U$3</f>
        <v>0.30705079605761937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0.11372251705837756</v>
      </c>
      <c r="H9" s="6">
        <f>VLOOKUP($A9,'RES installed'!$A$2:$C$7,3,FALSE)*'[1]Profiles, RES, Spring'!H$3</f>
        <v>0.99696739954510993</v>
      </c>
      <c r="I9" s="6">
        <f>VLOOKUP($A9,'RES installed'!$A$2:$C$7,3,FALSE)*'[1]Profiles, RES, Spring'!I$3</f>
        <v>2.3995451099317666</v>
      </c>
      <c r="J9" s="6">
        <f>VLOOKUP($A9,'RES installed'!$A$2:$C$7,3,FALSE)*'[1]Profiles, RES, Spring'!J$3</f>
        <v>3.6201667930250192</v>
      </c>
      <c r="K9" s="6">
        <f>VLOOKUP($A9,'RES installed'!$A$2:$C$7,3,FALSE)*'[1]Profiles, RES, Spring'!K$3</f>
        <v>5.0416982562547386</v>
      </c>
      <c r="L9" s="6">
        <f>VLOOKUP($A9,'RES installed'!$A$2:$C$7,3,FALSE)*'[1]Profiles, RES, Spring'!L$3</f>
        <v>5.9666413949962092</v>
      </c>
      <c r="M9" s="6">
        <f>VLOOKUP($A9,'RES installed'!$A$2:$C$7,3,FALSE)*'[1]Profiles, RES, Spring'!M$3</f>
        <v>6.106899166034875</v>
      </c>
      <c r="N9" s="6">
        <f>VLOOKUP($A9,'RES installed'!$A$2:$C$7,3,FALSE)*'[1]Profiles, RES, Spring'!N$3</f>
        <v>6.250947687642153</v>
      </c>
      <c r="O9" s="6">
        <f>VLOOKUP($A9,'RES installed'!$A$2:$C$7,3,FALSE)*'[1]Profiles, RES, Spring'!O$3</f>
        <v>6.0310841546626239</v>
      </c>
      <c r="P9" s="6">
        <f>VLOOKUP($A9,'RES installed'!$A$2:$C$7,3,FALSE)*'[1]Profiles, RES, Spring'!P$3</f>
        <v>6.4101592115238812</v>
      </c>
      <c r="Q9" s="6">
        <f>VLOOKUP($A9,'RES installed'!$A$2:$C$7,3,FALSE)*'[1]Profiles, RES, Spring'!Q$3</f>
        <v>5.6899166034874904</v>
      </c>
      <c r="R9" s="6">
        <f>VLOOKUP($A9,'RES installed'!$A$2:$C$7,3,FALSE)*'[1]Profiles, RES, Spring'!R$3</f>
        <v>4.7725549658832449</v>
      </c>
      <c r="S9" s="6">
        <f>VLOOKUP($A9,'RES installed'!$A$2:$C$7,3,FALSE)*'[1]Profiles, RES, Spring'!S$3</f>
        <v>3.1197877179681575</v>
      </c>
      <c r="T9" s="6">
        <f>VLOOKUP($A9,'RES installed'!$A$2:$C$7,3,FALSE)*'[1]Profiles, RES, Spring'!T$3</f>
        <v>1.1372251705837757</v>
      </c>
      <c r="U9" s="6">
        <f>VLOOKUP($A9,'RES installed'!$A$2:$C$7,3,FALSE)*'[1]Profiles, RES, Spring'!U$3</f>
        <v>0.1023502653525398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0.22744503411675512</v>
      </c>
      <c r="H10" s="6">
        <f>VLOOKUP($A10,'RES installed'!$A$2:$C$7,3,FALSE)*'[1]Profiles, RES, Spring'!H$3</f>
        <v>1.9939347990902199</v>
      </c>
      <c r="I10" s="6">
        <f>VLOOKUP($A10,'RES installed'!$A$2:$C$7,3,FALSE)*'[1]Profiles, RES, Spring'!I$3</f>
        <v>4.7990902198635332</v>
      </c>
      <c r="J10" s="6">
        <f>VLOOKUP($A10,'RES installed'!$A$2:$C$7,3,FALSE)*'[1]Profiles, RES, Spring'!J$3</f>
        <v>7.2403335860500384</v>
      </c>
      <c r="K10" s="6">
        <f>VLOOKUP($A10,'RES installed'!$A$2:$C$7,3,FALSE)*'[1]Profiles, RES, Spring'!K$3</f>
        <v>10.083396512509477</v>
      </c>
      <c r="L10" s="6">
        <f>VLOOKUP($A10,'RES installed'!$A$2:$C$7,3,FALSE)*'[1]Profiles, RES, Spring'!L$3</f>
        <v>11.933282789992418</v>
      </c>
      <c r="M10" s="6">
        <f>VLOOKUP($A10,'RES installed'!$A$2:$C$7,3,FALSE)*'[1]Profiles, RES, Spring'!M$3</f>
        <v>12.21379833206975</v>
      </c>
      <c r="N10" s="6">
        <f>VLOOKUP($A10,'RES installed'!$A$2:$C$7,3,FALSE)*'[1]Profiles, RES, Spring'!N$3</f>
        <v>12.501895375284306</v>
      </c>
      <c r="O10" s="6">
        <f>VLOOKUP($A10,'RES installed'!$A$2:$C$7,3,FALSE)*'[1]Profiles, RES, Spring'!O$3</f>
        <v>12.062168309325248</v>
      </c>
      <c r="P10" s="6">
        <f>VLOOKUP($A10,'RES installed'!$A$2:$C$7,3,FALSE)*'[1]Profiles, RES, Spring'!P$3</f>
        <v>12.820318423047762</v>
      </c>
      <c r="Q10" s="6">
        <f>VLOOKUP($A10,'RES installed'!$A$2:$C$7,3,FALSE)*'[1]Profiles, RES, Spring'!Q$3</f>
        <v>11.379833206974981</v>
      </c>
      <c r="R10" s="6">
        <f>VLOOKUP($A10,'RES installed'!$A$2:$C$7,3,FALSE)*'[1]Profiles, RES, Spring'!R$3</f>
        <v>9.5451099317664898</v>
      </c>
      <c r="S10" s="6">
        <f>VLOOKUP($A10,'RES installed'!$A$2:$C$7,3,FALSE)*'[1]Profiles, RES, Spring'!S$3</f>
        <v>6.2395754359363149</v>
      </c>
      <c r="T10" s="6">
        <f>VLOOKUP($A10,'RES installed'!$A$2:$C$7,3,FALSE)*'[1]Profiles, RES, Spring'!T$3</f>
        <v>2.2744503411675514</v>
      </c>
      <c r="U10" s="6">
        <f>VLOOKUP($A10,'RES installed'!$A$2:$C$7,3,FALSE)*'[1]Profiles, RES, Spring'!U$3</f>
        <v>0.2047005307050796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E612B-8B1B-4085-8089-2EC67F7C85E9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7.4307507025291049</v>
      </c>
      <c r="C5" s="9">
        <f>VLOOKUP($A5,'RES installed'!$A$2:$C$7,3,FALSE)*'[1]Profiles, RES, Spring'!C$7</f>
        <v>7.0453633079084703</v>
      </c>
      <c r="D5" s="9">
        <f>VLOOKUP($A5,'RES installed'!$A$2:$C$7,3,FALSE)*'[1]Profiles, RES, Spring'!D$7</f>
        <v>6.8526696105981539</v>
      </c>
      <c r="E5" s="9">
        <f>VLOOKUP($A5,'RES installed'!$A$2:$C$7,3,FALSE)*'[1]Profiles, RES, Spring'!E$7</f>
        <v>7.2139702930549978</v>
      </c>
      <c r="F5" s="9">
        <f>VLOOKUP($A5,'RES installed'!$A$2:$C$7,3,FALSE)*'[1]Profiles, RES, Spring'!F$7</f>
        <v>7.2320353271778401</v>
      </c>
      <c r="G5" s="9">
        <f>VLOOKUP($A5,'RES installed'!$A$2:$C$7,3,FALSE)*'[1]Profiles, RES, Spring'!G$7</f>
        <v>6.4311521477318347</v>
      </c>
      <c r="H5" s="9">
        <f>VLOOKUP($A5,'RES installed'!$A$2:$C$7,3,FALSE)*'[1]Profiles, RES, Spring'!H$7</f>
        <v>5.4737053392211967</v>
      </c>
      <c r="I5" s="9">
        <f>VLOOKUP($A5,'RES installed'!$A$2:$C$7,3,FALSE)*'[1]Profiles, RES, Spring'!I$7</f>
        <v>4.1248494580489758</v>
      </c>
      <c r="J5" s="9">
        <f>VLOOKUP($A5,'RES installed'!$A$2:$C$7,3,FALSE)*'[1]Profiles, RES, Spring'!J$7</f>
        <v>3.4745082296266561</v>
      </c>
      <c r="K5" s="9">
        <f>VLOOKUP($A5,'RES installed'!$A$2:$C$7,3,FALSE)*'[1]Profiles, RES, Spring'!K$7</f>
        <v>3.7755921316740264</v>
      </c>
      <c r="L5" s="9">
        <f>VLOOKUP($A5,'RES installed'!$A$2:$C$7,3,FALSE)*'[1]Profiles, RES, Spring'!L$7</f>
        <v>4.4620634283420308</v>
      </c>
      <c r="M5" s="9">
        <f>VLOOKUP($A5,'RES installed'!$A$2:$C$7,3,FALSE)*'[1]Profiles, RES, Spring'!M$7</f>
        <v>4.4138900040144522</v>
      </c>
      <c r="N5" s="9">
        <f>VLOOKUP($A5,'RES installed'!$A$2:$C$7,3,FALSE)*'[1]Profiles, RES, Spring'!N$7</f>
        <v>5.0702529104777199</v>
      </c>
      <c r="O5" s="9">
        <f>VLOOKUP($A5,'RES installed'!$A$2:$C$7,3,FALSE)*'[1]Profiles, RES, Spring'!O$7</f>
        <v>6.4672822159775185</v>
      </c>
      <c r="P5" s="9">
        <f>VLOOKUP($A5,'RES installed'!$A$2:$C$7,3,FALSE)*'[1]Profiles, RES, Spring'!P$7</f>
        <v>7.5511842633480528</v>
      </c>
      <c r="Q5" s="9">
        <f>VLOOKUP($A5,'RES installed'!$A$2:$C$7,3,FALSE)*'[1]Profiles, RES, Spring'!Q$7</f>
        <v>8.5086310718586908</v>
      </c>
      <c r="R5" s="9">
        <f>VLOOKUP($A5,'RES installed'!$A$2:$C$7,3,FALSE)*'[1]Profiles, RES, Spring'!R$7</f>
        <v>9.5624247290244888</v>
      </c>
      <c r="S5" s="9">
        <f>VLOOKUP($A5,'RES installed'!$A$2:$C$7,3,FALSE)*'[1]Profiles, RES, Spring'!S$7</f>
        <v>9.9538338016860699</v>
      </c>
      <c r="T5" s="9">
        <f>VLOOKUP($A5,'RES installed'!$A$2:$C$7,3,FALSE)*'[1]Profiles, RES, Spring'!T$7</f>
        <v>9.9598554797270165</v>
      </c>
      <c r="U5" s="9">
        <f>VLOOKUP($A5,'RES installed'!$A$2:$C$7,3,FALSE)*'[1]Profiles, RES, Spring'!U$7</f>
        <v>8.9060618225612203</v>
      </c>
      <c r="V5" s="9">
        <f>VLOOKUP($A5,'RES installed'!$A$2:$C$7,3,FALSE)*'[1]Profiles, RES, Spring'!V$7</f>
        <v>8.5026093938177443</v>
      </c>
      <c r="W5" s="9">
        <f>VLOOKUP($A5,'RES installed'!$A$2:$C$7,3,FALSE)*'[1]Profiles, RES, Spring'!W$7</f>
        <v>8.454435969490163</v>
      </c>
      <c r="X5" s="9">
        <f>VLOOKUP($A5,'RES installed'!$A$2:$C$7,3,FALSE)*'[1]Profiles, RES, Spring'!X$7</f>
        <v>8.592934564431955</v>
      </c>
      <c r="Y5" s="9">
        <f>VLOOKUP($A5,'RES installed'!$A$2:$C$7,3,FALSE)*'[1]Profiles, RES, Spring'!Y$7</f>
        <v>9.2794058610999599</v>
      </c>
    </row>
    <row r="6" spans="1:25" x14ac:dyDescent="0.3">
      <c r="A6" s="8">
        <v>5</v>
      </c>
      <c r="B6" s="9">
        <f>VLOOKUP($A6,'RES installed'!$A$2:$C$7,3,FALSE)*'[1]Profiles, RES, Spring'!B$7</f>
        <v>4.9538338016860699</v>
      </c>
      <c r="C6" s="9">
        <f>VLOOKUP($A6,'RES installed'!$A$2:$C$7,3,FALSE)*'[1]Profiles, RES, Spring'!C$7</f>
        <v>4.6969088719389802</v>
      </c>
      <c r="D6" s="9">
        <f>VLOOKUP($A6,'RES installed'!$A$2:$C$7,3,FALSE)*'[1]Profiles, RES, Spring'!D$7</f>
        <v>4.5684464070654354</v>
      </c>
      <c r="E6" s="9">
        <f>VLOOKUP($A6,'RES installed'!$A$2:$C$7,3,FALSE)*'[1]Profiles, RES, Spring'!E$7</f>
        <v>4.8093135287033313</v>
      </c>
      <c r="F6" s="9">
        <f>VLOOKUP($A6,'RES installed'!$A$2:$C$7,3,FALSE)*'[1]Profiles, RES, Spring'!F$7</f>
        <v>4.8213568847852271</v>
      </c>
      <c r="G6" s="9">
        <f>VLOOKUP($A6,'RES installed'!$A$2:$C$7,3,FALSE)*'[1]Profiles, RES, Spring'!G$7</f>
        <v>4.2874347651545559</v>
      </c>
      <c r="H6" s="9">
        <f>VLOOKUP($A6,'RES installed'!$A$2:$C$7,3,FALSE)*'[1]Profiles, RES, Spring'!H$7</f>
        <v>3.649136892814131</v>
      </c>
      <c r="I6" s="9">
        <f>VLOOKUP($A6,'RES installed'!$A$2:$C$7,3,FALSE)*'[1]Profiles, RES, Spring'!I$7</f>
        <v>2.7498996386993175</v>
      </c>
      <c r="J6" s="9">
        <f>VLOOKUP($A6,'RES installed'!$A$2:$C$7,3,FALSE)*'[1]Profiles, RES, Spring'!J$7</f>
        <v>2.3163388197511039</v>
      </c>
      <c r="K6" s="9">
        <f>VLOOKUP($A6,'RES installed'!$A$2:$C$7,3,FALSE)*'[1]Profiles, RES, Spring'!K$7</f>
        <v>2.5170614211160176</v>
      </c>
      <c r="L6" s="9">
        <f>VLOOKUP($A6,'RES installed'!$A$2:$C$7,3,FALSE)*'[1]Profiles, RES, Spring'!L$7</f>
        <v>2.9747089522280206</v>
      </c>
      <c r="M6" s="9">
        <f>VLOOKUP($A6,'RES installed'!$A$2:$C$7,3,FALSE)*'[1]Profiles, RES, Spring'!M$7</f>
        <v>2.9425933360096348</v>
      </c>
      <c r="N6" s="9">
        <f>VLOOKUP($A6,'RES installed'!$A$2:$C$7,3,FALSE)*'[1]Profiles, RES, Spring'!N$7</f>
        <v>3.3801686069851469</v>
      </c>
      <c r="O6" s="9">
        <f>VLOOKUP($A6,'RES installed'!$A$2:$C$7,3,FALSE)*'[1]Profiles, RES, Spring'!O$7</f>
        <v>4.3115214773183457</v>
      </c>
      <c r="P6" s="9">
        <f>VLOOKUP($A6,'RES installed'!$A$2:$C$7,3,FALSE)*'[1]Profiles, RES, Spring'!P$7</f>
        <v>5.0341228422320352</v>
      </c>
      <c r="Q6" s="9">
        <f>VLOOKUP($A6,'RES installed'!$A$2:$C$7,3,FALSE)*'[1]Profiles, RES, Spring'!Q$7</f>
        <v>5.6724207145724606</v>
      </c>
      <c r="R6" s="9">
        <f>VLOOKUP($A6,'RES installed'!$A$2:$C$7,3,FALSE)*'[1]Profiles, RES, Spring'!R$7</f>
        <v>6.3749498193496592</v>
      </c>
      <c r="S6" s="9">
        <f>VLOOKUP($A6,'RES installed'!$A$2:$C$7,3,FALSE)*'[1]Profiles, RES, Spring'!S$7</f>
        <v>6.6358892011240469</v>
      </c>
      <c r="T6" s="9">
        <f>VLOOKUP($A6,'RES installed'!$A$2:$C$7,3,FALSE)*'[1]Profiles, RES, Spring'!T$7</f>
        <v>6.6399036531513449</v>
      </c>
      <c r="U6" s="9">
        <f>VLOOKUP($A6,'RES installed'!$A$2:$C$7,3,FALSE)*'[1]Profiles, RES, Spring'!U$7</f>
        <v>5.9373745483741471</v>
      </c>
      <c r="V6" s="9">
        <f>VLOOKUP($A6,'RES installed'!$A$2:$C$7,3,FALSE)*'[1]Profiles, RES, Spring'!V$7</f>
        <v>5.6684062625451626</v>
      </c>
      <c r="W6" s="9">
        <f>VLOOKUP($A6,'RES installed'!$A$2:$C$7,3,FALSE)*'[1]Profiles, RES, Spring'!W$7</f>
        <v>5.6362906463267759</v>
      </c>
      <c r="X6" s="9">
        <f>VLOOKUP($A6,'RES installed'!$A$2:$C$7,3,FALSE)*'[1]Profiles, RES, Spring'!X$7</f>
        <v>5.728623042954637</v>
      </c>
      <c r="Y6" s="9">
        <f>VLOOKUP($A6,'RES installed'!$A$2:$C$7,3,FALSE)*'[1]Profiles, RES, Spring'!Y$7</f>
        <v>6.1862705740666399</v>
      </c>
    </row>
    <row r="7" spans="1:25" x14ac:dyDescent="0.3">
      <c r="A7" s="8">
        <v>6</v>
      </c>
      <c r="B7" s="9">
        <f>VLOOKUP($A7,'RES installed'!$A$2:$C$7,3,FALSE)*'[1]Profiles, RES, Spring'!B$7</f>
        <v>7.4307507025291049</v>
      </c>
      <c r="C7" s="9">
        <f>VLOOKUP($A7,'RES installed'!$A$2:$C$7,3,FALSE)*'[1]Profiles, RES, Spring'!C$7</f>
        <v>7.0453633079084703</v>
      </c>
      <c r="D7" s="9">
        <f>VLOOKUP($A7,'RES installed'!$A$2:$C$7,3,FALSE)*'[1]Profiles, RES, Spring'!D$7</f>
        <v>6.8526696105981539</v>
      </c>
      <c r="E7" s="9">
        <f>VLOOKUP($A7,'RES installed'!$A$2:$C$7,3,FALSE)*'[1]Profiles, RES, Spring'!E$7</f>
        <v>7.2139702930549978</v>
      </c>
      <c r="F7" s="9">
        <f>VLOOKUP($A7,'RES installed'!$A$2:$C$7,3,FALSE)*'[1]Profiles, RES, Spring'!F$7</f>
        <v>7.2320353271778401</v>
      </c>
      <c r="G7" s="9">
        <f>VLOOKUP($A7,'RES installed'!$A$2:$C$7,3,FALSE)*'[1]Profiles, RES, Spring'!G$7</f>
        <v>6.4311521477318347</v>
      </c>
      <c r="H7" s="9">
        <f>VLOOKUP($A7,'RES installed'!$A$2:$C$7,3,FALSE)*'[1]Profiles, RES, Spring'!H$7</f>
        <v>5.4737053392211967</v>
      </c>
      <c r="I7" s="9">
        <f>VLOOKUP($A7,'RES installed'!$A$2:$C$7,3,FALSE)*'[1]Profiles, RES, Spring'!I$7</f>
        <v>4.1248494580489758</v>
      </c>
      <c r="J7" s="9">
        <f>VLOOKUP($A7,'RES installed'!$A$2:$C$7,3,FALSE)*'[1]Profiles, RES, Spring'!J$7</f>
        <v>3.4745082296266561</v>
      </c>
      <c r="K7" s="9">
        <f>VLOOKUP($A7,'RES installed'!$A$2:$C$7,3,FALSE)*'[1]Profiles, RES, Spring'!K$7</f>
        <v>3.7755921316740264</v>
      </c>
      <c r="L7" s="9">
        <f>VLOOKUP($A7,'RES installed'!$A$2:$C$7,3,FALSE)*'[1]Profiles, RES, Spring'!L$7</f>
        <v>4.4620634283420308</v>
      </c>
      <c r="M7" s="9">
        <f>VLOOKUP($A7,'RES installed'!$A$2:$C$7,3,FALSE)*'[1]Profiles, RES, Spring'!M$7</f>
        <v>4.4138900040144522</v>
      </c>
      <c r="N7" s="9">
        <f>VLOOKUP($A7,'RES installed'!$A$2:$C$7,3,FALSE)*'[1]Profiles, RES, Spring'!N$7</f>
        <v>5.0702529104777199</v>
      </c>
      <c r="O7" s="9">
        <f>VLOOKUP($A7,'RES installed'!$A$2:$C$7,3,FALSE)*'[1]Profiles, RES, Spring'!O$7</f>
        <v>6.4672822159775185</v>
      </c>
      <c r="P7" s="9">
        <f>VLOOKUP($A7,'RES installed'!$A$2:$C$7,3,FALSE)*'[1]Profiles, RES, Spring'!P$7</f>
        <v>7.5511842633480528</v>
      </c>
      <c r="Q7" s="9">
        <f>VLOOKUP($A7,'RES installed'!$A$2:$C$7,3,FALSE)*'[1]Profiles, RES, Spring'!Q$7</f>
        <v>8.5086310718586908</v>
      </c>
      <c r="R7" s="9">
        <f>VLOOKUP($A7,'RES installed'!$A$2:$C$7,3,FALSE)*'[1]Profiles, RES, Spring'!R$7</f>
        <v>9.5624247290244888</v>
      </c>
      <c r="S7" s="9">
        <f>VLOOKUP($A7,'RES installed'!$A$2:$C$7,3,FALSE)*'[1]Profiles, RES, Spring'!S$7</f>
        <v>9.9538338016860699</v>
      </c>
      <c r="T7" s="9">
        <f>VLOOKUP($A7,'RES installed'!$A$2:$C$7,3,FALSE)*'[1]Profiles, RES, Spring'!T$7</f>
        <v>9.9598554797270165</v>
      </c>
      <c r="U7" s="9">
        <f>VLOOKUP($A7,'RES installed'!$A$2:$C$7,3,FALSE)*'[1]Profiles, RES, Spring'!U$7</f>
        <v>8.9060618225612203</v>
      </c>
      <c r="V7" s="9">
        <f>VLOOKUP($A7,'RES installed'!$A$2:$C$7,3,FALSE)*'[1]Profiles, RES, Spring'!V$7</f>
        <v>8.5026093938177443</v>
      </c>
      <c r="W7" s="9">
        <f>VLOOKUP($A7,'RES installed'!$A$2:$C$7,3,FALSE)*'[1]Profiles, RES, Spring'!W$7</f>
        <v>8.454435969490163</v>
      </c>
      <c r="X7" s="9">
        <f>VLOOKUP($A7,'RES installed'!$A$2:$C$7,3,FALSE)*'[1]Profiles, RES, Spring'!X$7</f>
        <v>8.592934564431955</v>
      </c>
      <c r="Y7" s="9">
        <f>VLOOKUP($A7,'RES installed'!$A$2:$C$7,3,FALSE)*'[1]Profiles, RES, Spring'!Y$7</f>
        <v>9.2794058610999599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0.32979529946929492</v>
      </c>
      <c r="H8" s="6">
        <f>VLOOKUP($A8,'RES installed'!$A$2:$C$7,3,FALSE)*'[1]Profiles, RES, Spring'!H$4</f>
        <v>3.161485974222896</v>
      </c>
      <c r="I8" s="6">
        <f>VLOOKUP($A8,'RES installed'!$A$2:$C$7,3,FALSE)*'[1]Profiles, RES, Spring'!I$4</f>
        <v>8.7793783169067474</v>
      </c>
      <c r="J8" s="6">
        <f>VLOOKUP($A8,'RES installed'!$A$2:$C$7,3,FALSE)*'[1]Profiles, RES, Spring'!J$4</f>
        <v>14.09021986353298</v>
      </c>
      <c r="K8" s="6">
        <f>VLOOKUP($A8,'RES installed'!$A$2:$C$7,3,FALSE)*'[1]Profiles, RES, Spring'!K$4</f>
        <v>16.705837755875663</v>
      </c>
      <c r="L8" s="6">
        <f>VLOOKUP($A8,'RES installed'!$A$2:$C$7,3,FALSE)*'[1]Profiles, RES, Spring'!L$4</f>
        <v>18.468536770280515</v>
      </c>
      <c r="M8" s="6">
        <f>VLOOKUP($A8,'RES installed'!$A$2:$C$7,3,FALSE)*'[1]Profiles, RES, Spring'!M$4</f>
        <v>20.538286580742987</v>
      </c>
      <c r="N8" s="6">
        <f>VLOOKUP($A8,'RES installed'!$A$2:$C$7,3,FALSE)*'[1]Profiles, RES, Spring'!N$4</f>
        <v>20.049279757391961</v>
      </c>
      <c r="O8" s="6">
        <f>VLOOKUP($A8,'RES installed'!$A$2:$C$7,3,FALSE)*'[1]Profiles, RES, Spring'!O$4</f>
        <v>19.946929492039423</v>
      </c>
      <c r="P8" s="6">
        <f>VLOOKUP($A8,'RES installed'!$A$2:$C$7,3,FALSE)*'[1]Profiles, RES, Spring'!P$4</f>
        <v>20.083396512509477</v>
      </c>
      <c r="Q8" s="6">
        <f>VLOOKUP($A8,'RES installed'!$A$2:$C$7,3,FALSE)*'[1]Profiles, RES, Spring'!Q$4</f>
        <v>18.559514783927217</v>
      </c>
      <c r="R8" s="6">
        <f>VLOOKUP($A8,'RES installed'!$A$2:$C$7,3,FALSE)*'[1]Profiles, RES, Spring'!R$4</f>
        <v>15.090978013646701</v>
      </c>
      <c r="S8" s="6">
        <f>VLOOKUP($A8,'RES installed'!$A$2:$C$7,3,FALSE)*'[1]Profiles, RES, Spring'!S$4</f>
        <v>9.8938589840788485</v>
      </c>
      <c r="T8" s="6">
        <f>VLOOKUP($A8,'RES installed'!$A$2:$C$7,3,FALSE)*'[1]Profiles, RES, Spring'!T$4</f>
        <v>3.5140257771038668</v>
      </c>
      <c r="U8" s="6">
        <f>VLOOKUP($A8,'RES installed'!$A$2:$C$7,3,FALSE)*'[1]Profiles, RES, Spring'!U$4</f>
        <v>0.3639120545868082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0.10993176648976498</v>
      </c>
      <c r="H9" s="6">
        <f>VLOOKUP($A9,'RES installed'!$A$2:$C$7,3,FALSE)*'[1]Profiles, RES, Spring'!H$4</f>
        <v>1.0538286580742986</v>
      </c>
      <c r="I9" s="6">
        <f>VLOOKUP($A9,'RES installed'!$A$2:$C$7,3,FALSE)*'[1]Profiles, RES, Spring'!I$4</f>
        <v>2.9264594389689158</v>
      </c>
      <c r="J9" s="6">
        <f>VLOOKUP($A9,'RES installed'!$A$2:$C$7,3,FALSE)*'[1]Profiles, RES, Spring'!J$4</f>
        <v>4.6967399545109938</v>
      </c>
      <c r="K9" s="6">
        <f>VLOOKUP($A9,'RES installed'!$A$2:$C$7,3,FALSE)*'[1]Profiles, RES, Spring'!K$4</f>
        <v>5.5686125852918877</v>
      </c>
      <c r="L9" s="6">
        <f>VLOOKUP($A9,'RES installed'!$A$2:$C$7,3,FALSE)*'[1]Profiles, RES, Spring'!L$4</f>
        <v>6.1561789234268378</v>
      </c>
      <c r="M9" s="6">
        <f>VLOOKUP($A9,'RES installed'!$A$2:$C$7,3,FALSE)*'[1]Profiles, RES, Spring'!M$4</f>
        <v>6.8460955269143291</v>
      </c>
      <c r="N9" s="6">
        <f>VLOOKUP($A9,'RES installed'!$A$2:$C$7,3,FALSE)*'[1]Profiles, RES, Spring'!N$4</f>
        <v>6.683093252463987</v>
      </c>
      <c r="O9" s="6">
        <f>VLOOKUP($A9,'RES installed'!$A$2:$C$7,3,FALSE)*'[1]Profiles, RES, Spring'!O$4</f>
        <v>6.6489764973464744</v>
      </c>
      <c r="P9" s="6">
        <f>VLOOKUP($A9,'RES installed'!$A$2:$C$7,3,FALSE)*'[1]Profiles, RES, Spring'!P$4</f>
        <v>6.6944655041698251</v>
      </c>
      <c r="Q9" s="6">
        <f>VLOOKUP($A9,'RES installed'!$A$2:$C$7,3,FALSE)*'[1]Profiles, RES, Spring'!Q$4</f>
        <v>6.1865049279757391</v>
      </c>
      <c r="R9" s="6">
        <f>VLOOKUP($A9,'RES installed'!$A$2:$C$7,3,FALSE)*'[1]Profiles, RES, Spring'!R$4</f>
        <v>5.0303260045489004</v>
      </c>
      <c r="S9" s="6">
        <f>VLOOKUP($A9,'RES installed'!$A$2:$C$7,3,FALSE)*'[1]Profiles, RES, Spring'!S$4</f>
        <v>3.2979529946929493</v>
      </c>
      <c r="T9" s="6">
        <f>VLOOKUP($A9,'RES installed'!$A$2:$C$7,3,FALSE)*'[1]Profiles, RES, Spring'!T$4</f>
        <v>1.1713419257012889</v>
      </c>
      <c r="U9" s="6">
        <f>VLOOKUP($A9,'RES installed'!$A$2:$C$7,3,FALSE)*'[1]Profiles, RES, Spring'!U$4</f>
        <v>0.12130401819560273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0.21986353297952996</v>
      </c>
      <c r="H10" s="6">
        <f>VLOOKUP($A10,'RES installed'!$A$2:$C$7,3,FALSE)*'[1]Profiles, RES, Spring'!H$4</f>
        <v>2.1076573161485972</v>
      </c>
      <c r="I10" s="6">
        <f>VLOOKUP($A10,'RES installed'!$A$2:$C$7,3,FALSE)*'[1]Profiles, RES, Spring'!I$4</f>
        <v>5.8529188779378316</v>
      </c>
      <c r="J10" s="6">
        <f>VLOOKUP($A10,'RES installed'!$A$2:$C$7,3,FALSE)*'[1]Profiles, RES, Spring'!J$4</f>
        <v>9.3934799090219876</v>
      </c>
      <c r="K10" s="6">
        <f>VLOOKUP($A10,'RES installed'!$A$2:$C$7,3,FALSE)*'[1]Profiles, RES, Spring'!K$4</f>
        <v>11.137225170583775</v>
      </c>
      <c r="L10" s="6">
        <f>VLOOKUP($A10,'RES installed'!$A$2:$C$7,3,FALSE)*'[1]Profiles, RES, Spring'!L$4</f>
        <v>12.312357846853676</v>
      </c>
      <c r="M10" s="6">
        <f>VLOOKUP($A10,'RES installed'!$A$2:$C$7,3,FALSE)*'[1]Profiles, RES, Spring'!M$4</f>
        <v>13.692191053828658</v>
      </c>
      <c r="N10" s="6">
        <f>VLOOKUP($A10,'RES installed'!$A$2:$C$7,3,FALSE)*'[1]Profiles, RES, Spring'!N$4</f>
        <v>13.366186504927974</v>
      </c>
      <c r="O10" s="6">
        <f>VLOOKUP($A10,'RES installed'!$A$2:$C$7,3,FALSE)*'[1]Profiles, RES, Spring'!O$4</f>
        <v>13.297952994692949</v>
      </c>
      <c r="P10" s="6">
        <f>VLOOKUP($A10,'RES installed'!$A$2:$C$7,3,FALSE)*'[1]Profiles, RES, Spring'!P$4</f>
        <v>13.38893100833965</v>
      </c>
      <c r="Q10" s="6">
        <f>VLOOKUP($A10,'RES installed'!$A$2:$C$7,3,FALSE)*'[1]Profiles, RES, Spring'!Q$4</f>
        <v>12.373009855951478</v>
      </c>
      <c r="R10" s="6">
        <f>VLOOKUP($A10,'RES installed'!$A$2:$C$7,3,FALSE)*'[1]Profiles, RES, Spring'!R$4</f>
        <v>10.060652009097801</v>
      </c>
      <c r="S10" s="6">
        <f>VLOOKUP($A10,'RES installed'!$A$2:$C$7,3,FALSE)*'[1]Profiles, RES, Spring'!S$4</f>
        <v>6.5959059893858987</v>
      </c>
      <c r="T10" s="6">
        <f>VLOOKUP($A10,'RES installed'!$A$2:$C$7,3,FALSE)*'[1]Profiles, RES, Spring'!T$4</f>
        <v>2.3426838514025778</v>
      </c>
      <c r="U10" s="6">
        <f>VLOOKUP($A10,'RES installed'!$A$2:$C$7,3,FALSE)*'[1]Profiles, RES, Spring'!U$4</f>
        <v>0.24260803639120546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AEBAD-52D5-4B74-B4F0-0AD05103540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7.743877960658371</v>
      </c>
      <c r="C5" s="9">
        <f>VLOOKUP($A5,'RES installed'!$A$2:$C$7,3,FALSE)*'[1]Profiles, RES, Spring'!C$5</f>
        <v>7.189883580891208</v>
      </c>
      <c r="D5" s="9">
        <f>VLOOKUP($A5,'RES installed'!$A$2:$C$7,3,FALSE)*'[1]Profiles, RES, Spring'!D$5</f>
        <v>7.2260136491368927</v>
      </c>
      <c r="E5" s="9">
        <f>VLOOKUP($A5,'RES installed'!$A$2:$C$7,3,FALSE)*'[1]Profiles, RES, Spring'!E$5</f>
        <v>6.9369731031714172</v>
      </c>
      <c r="F5" s="9">
        <f>VLOOKUP($A5,'RES installed'!$A$2:$C$7,3,FALSE)*'[1]Profiles, RES, Spring'!F$5</f>
        <v>6.8707346447209954</v>
      </c>
      <c r="G5" s="9">
        <f>VLOOKUP($A5,'RES installed'!$A$2:$C$7,3,FALSE)*'[1]Profiles, RES, Spring'!G$5</f>
        <v>6.9911682055399433</v>
      </c>
      <c r="H5" s="9">
        <f>VLOOKUP($A5,'RES installed'!$A$2:$C$7,3,FALSE)*'[1]Profiles, RES, Spring'!H$5</f>
        <v>6.2745885186672021</v>
      </c>
      <c r="I5" s="9">
        <f>VLOOKUP($A5,'RES installed'!$A$2:$C$7,3,FALSE)*'[1]Profiles, RES, Spring'!I$5</f>
        <v>5.0341228422320352</v>
      </c>
      <c r="J5" s="9">
        <f>VLOOKUP($A5,'RES installed'!$A$2:$C$7,3,FALSE)*'[1]Profiles, RES, Spring'!J$5</f>
        <v>3.9682858289843437</v>
      </c>
      <c r="K5" s="9">
        <f>VLOOKUP($A5,'RES installed'!$A$2:$C$7,3,FALSE)*'[1]Profiles, RES, Spring'!K$5</f>
        <v>2.9987956643918108</v>
      </c>
      <c r="L5" s="9">
        <f>VLOOKUP($A5,'RES installed'!$A$2:$C$7,3,FALSE)*'[1]Profiles, RES, Spring'!L$5</f>
        <v>2.8482537133681252</v>
      </c>
      <c r="M5" s="9">
        <f>VLOOKUP($A5,'RES installed'!$A$2:$C$7,3,FALSE)*'[1]Profiles, RES, Spring'!M$5</f>
        <v>3.4684865515857086</v>
      </c>
      <c r="N5" s="9">
        <f>VLOOKUP($A5,'RES installed'!$A$2:$C$7,3,FALSE)*'[1]Profiles, RES, Spring'!N$5</f>
        <v>4.5824969891609797</v>
      </c>
      <c r="O5" s="9">
        <f>VLOOKUP($A5,'RES installed'!$A$2:$C$7,3,FALSE)*'[1]Profiles, RES, Spring'!O$5</f>
        <v>6.3348052990766766</v>
      </c>
      <c r="P5" s="9">
        <f>VLOOKUP($A5,'RES installed'!$A$2:$C$7,3,FALSE)*'[1]Profiles, RES, Spring'!P$5</f>
        <v>8.2677639502207949</v>
      </c>
      <c r="Q5" s="9">
        <f>VLOOKUP($A5,'RES installed'!$A$2:$C$7,3,FALSE)*'[1]Profiles, RES, Spring'!Q$5</f>
        <v>10.315134484142915</v>
      </c>
      <c r="R5" s="9">
        <f>VLOOKUP($A5,'RES installed'!$A$2:$C$7,3,FALSE)*'[1]Profiles, RES, Spring'!R$5</f>
        <v>12.844239261340828</v>
      </c>
      <c r="S5" s="9">
        <f>VLOOKUP($A5,'RES installed'!$A$2:$C$7,3,FALSE)*'[1]Profiles, RES, Spring'!S$5</f>
        <v>14.259333600963469</v>
      </c>
      <c r="T5" s="9">
        <f>VLOOKUP($A5,'RES installed'!$A$2:$C$7,3,FALSE)*'[1]Profiles, RES, Spring'!T$5</f>
        <v>14.307507025291049</v>
      </c>
      <c r="U5" s="9">
        <f>VLOOKUP($A5,'RES installed'!$A$2:$C$7,3,FALSE)*'[1]Profiles, RES, Spring'!U$5</f>
        <v>13.934162986752309</v>
      </c>
      <c r="V5" s="9">
        <f>VLOOKUP($A5,'RES installed'!$A$2:$C$7,3,FALSE)*'[1]Profiles, RES, Spring'!V$5</f>
        <v>12.633480529907667</v>
      </c>
      <c r="W5" s="9">
        <f>VLOOKUP($A5,'RES installed'!$A$2:$C$7,3,FALSE)*'[1]Profiles, RES, Spring'!W$5</f>
        <v>11.67603372139703</v>
      </c>
      <c r="X5" s="9">
        <f>VLOOKUP($A5,'RES installed'!$A$2:$C$7,3,FALSE)*'[1]Profiles, RES, Spring'!X$5</f>
        <v>11.657968687274188</v>
      </c>
      <c r="Y5" s="9">
        <f>VLOOKUP($A5,'RES installed'!$A$2:$C$7,3,FALSE)*'[1]Profiles, RES, Spring'!Y$5</f>
        <v>11.055800883179446</v>
      </c>
    </row>
    <row r="6" spans="1:25" x14ac:dyDescent="0.3">
      <c r="A6" s="8">
        <v>5</v>
      </c>
      <c r="B6" s="9">
        <f>VLOOKUP($A6,'RES installed'!$A$2:$C$7,3,FALSE)*'[1]Profiles, RES, Spring'!B$5</f>
        <v>5.1625853071055801</v>
      </c>
      <c r="C6" s="9">
        <f>VLOOKUP($A6,'RES installed'!$A$2:$C$7,3,FALSE)*'[1]Profiles, RES, Spring'!C$5</f>
        <v>4.7932557205941393</v>
      </c>
      <c r="D6" s="9">
        <f>VLOOKUP($A6,'RES installed'!$A$2:$C$7,3,FALSE)*'[1]Profiles, RES, Spring'!D$5</f>
        <v>4.8173424327579282</v>
      </c>
      <c r="E6" s="9">
        <f>VLOOKUP($A6,'RES installed'!$A$2:$C$7,3,FALSE)*'[1]Profiles, RES, Spring'!E$5</f>
        <v>4.6246487354476109</v>
      </c>
      <c r="F6" s="9">
        <f>VLOOKUP($A6,'RES installed'!$A$2:$C$7,3,FALSE)*'[1]Profiles, RES, Spring'!F$5</f>
        <v>4.5804897631473303</v>
      </c>
      <c r="G6" s="9">
        <f>VLOOKUP($A6,'RES installed'!$A$2:$C$7,3,FALSE)*'[1]Profiles, RES, Spring'!G$5</f>
        <v>4.6607788036932956</v>
      </c>
      <c r="H6" s="9">
        <f>VLOOKUP($A6,'RES installed'!$A$2:$C$7,3,FALSE)*'[1]Profiles, RES, Spring'!H$5</f>
        <v>4.1830590124448017</v>
      </c>
      <c r="I6" s="9">
        <f>VLOOKUP($A6,'RES installed'!$A$2:$C$7,3,FALSE)*'[1]Profiles, RES, Spring'!I$5</f>
        <v>3.3560818948213567</v>
      </c>
      <c r="J6" s="9">
        <f>VLOOKUP($A6,'RES installed'!$A$2:$C$7,3,FALSE)*'[1]Profiles, RES, Spring'!J$5</f>
        <v>2.6455238859895625</v>
      </c>
      <c r="K6" s="9">
        <f>VLOOKUP($A6,'RES installed'!$A$2:$C$7,3,FALSE)*'[1]Profiles, RES, Spring'!K$5</f>
        <v>1.9991971095945404</v>
      </c>
      <c r="L6" s="9">
        <f>VLOOKUP($A6,'RES installed'!$A$2:$C$7,3,FALSE)*'[1]Profiles, RES, Spring'!L$5</f>
        <v>1.8988358089120836</v>
      </c>
      <c r="M6" s="9">
        <f>VLOOKUP($A6,'RES installed'!$A$2:$C$7,3,FALSE)*'[1]Profiles, RES, Spring'!M$5</f>
        <v>2.3123243677238055</v>
      </c>
      <c r="N6" s="9">
        <f>VLOOKUP($A6,'RES installed'!$A$2:$C$7,3,FALSE)*'[1]Profiles, RES, Spring'!N$5</f>
        <v>3.0549979927739863</v>
      </c>
      <c r="O6" s="9">
        <f>VLOOKUP($A6,'RES installed'!$A$2:$C$7,3,FALSE)*'[1]Profiles, RES, Spring'!O$5</f>
        <v>4.2232035327177844</v>
      </c>
      <c r="P6" s="9">
        <f>VLOOKUP($A6,'RES installed'!$A$2:$C$7,3,FALSE)*'[1]Profiles, RES, Spring'!P$5</f>
        <v>5.5118426334805299</v>
      </c>
      <c r="Q6" s="9">
        <f>VLOOKUP($A6,'RES installed'!$A$2:$C$7,3,FALSE)*'[1]Profiles, RES, Spring'!Q$5</f>
        <v>6.8767563227619437</v>
      </c>
      <c r="R6" s="9">
        <f>VLOOKUP($A6,'RES installed'!$A$2:$C$7,3,FALSE)*'[1]Profiles, RES, Spring'!R$5</f>
        <v>8.5628261742272187</v>
      </c>
      <c r="S6" s="9">
        <f>VLOOKUP($A6,'RES installed'!$A$2:$C$7,3,FALSE)*'[1]Profiles, RES, Spring'!S$5</f>
        <v>9.5062224006423115</v>
      </c>
      <c r="T6" s="9">
        <f>VLOOKUP($A6,'RES installed'!$A$2:$C$7,3,FALSE)*'[1]Profiles, RES, Spring'!T$5</f>
        <v>9.538338016860699</v>
      </c>
      <c r="U6" s="9">
        <f>VLOOKUP($A6,'RES installed'!$A$2:$C$7,3,FALSE)*'[1]Profiles, RES, Spring'!U$5</f>
        <v>9.2894419911682053</v>
      </c>
      <c r="V6" s="9">
        <f>VLOOKUP($A6,'RES installed'!$A$2:$C$7,3,FALSE)*'[1]Profiles, RES, Spring'!V$5</f>
        <v>8.422320353271779</v>
      </c>
      <c r="W6" s="9">
        <f>VLOOKUP($A6,'RES installed'!$A$2:$C$7,3,FALSE)*'[1]Profiles, RES, Spring'!W$5</f>
        <v>7.7840224809313527</v>
      </c>
      <c r="X6" s="9">
        <f>VLOOKUP($A6,'RES installed'!$A$2:$C$7,3,FALSE)*'[1]Profiles, RES, Spring'!X$5</f>
        <v>7.7719791248494587</v>
      </c>
      <c r="Y6" s="9">
        <f>VLOOKUP($A6,'RES installed'!$A$2:$C$7,3,FALSE)*'[1]Profiles, RES, Spring'!Y$5</f>
        <v>7.3705339221196304</v>
      </c>
    </row>
    <row r="7" spans="1:25" x14ac:dyDescent="0.3">
      <c r="A7" s="8">
        <v>6</v>
      </c>
      <c r="B7" s="9">
        <f>VLOOKUP($A7,'RES installed'!$A$2:$C$7,3,FALSE)*'[1]Profiles, RES, Spring'!B$5</f>
        <v>7.743877960658371</v>
      </c>
      <c r="C7" s="9">
        <f>VLOOKUP($A7,'RES installed'!$A$2:$C$7,3,FALSE)*'[1]Profiles, RES, Spring'!C$5</f>
        <v>7.189883580891208</v>
      </c>
      <c r="D7" s="9">
        <f>VLOOKUP($A7,'RES installed'!$A$2:$C$7,3,FALSE)*'[1]Profiles, RES, Spring'!D$5</f>
        <v>7.2260136491368927</v>
      </c>
      <c r="E7" s="9">
        <f>VLOOKUP($A7,'RES installed'!$A$2:$C$7,3,FALSE)*'[1]Profiles, RES, Spring'!E$5</f>
        <v>6.9369731031714172</v>
      </c>
      <c r="F7" s="9">
        <f>VLOOKUP($A7,'RES installed'!$A$2:$C$7,3,FALSE)*'[1]Profiles, RES, Spring'!F$5</f>
        <v>6.8707346447209954</v>
      </c>
      <c r="G7" s="9">
        <f>VLOOKUP($A7,'RES installed'!$A$2:$C$7,3,FALSE)*'[1]Profiles, RES, Spring'!G$5</f>
        <v>6.9911682055399433</v>
      </c>
      <c r="H7" s="9">
        <f>VLOOKUP($A7,'RES installed'!$A$2:$C$7,3,FALSE)*'[1]Profiles, RES, Spring'!H$5</f>
        <v>6.2745885186672021</v>
      </c>
      <c r="I7" s="9">
        <f>VLOOKUP($A7,'RES installed'!$A$2:$C$7,3,FALSE)*'[1]Profiles, RES, Spring'!I$5</f>
        <v>5.0341228422320352</v>
      </c>
      <c r="J7" s="9">
        <f>VLOOKUP($A7,'RES installed'!$A$2:$C$7,3,FALSE)*'[1]Profiles, RES, Spring'!J$5</f>
        <v>3.9682858289843437</v>
      </c>
      <c r="K7" s="9">
        <f>VLOOKUP($A7,'RES installed'!$A$2:$C$7,3,FALSE)*'[1]Profiles, RES, Spring'!K$5</f>
        <v>2.9987956643918108</v>
      </c>
      <c r="L7" s="9">
        <f>VLOOKUP($A7,'RES installed'!$A$2:$C$7,3,FALSE)*'[1]Profiles, RES, Spring'!L$5</f>
        <v>2.8482537133681252</v>
      </c>
      <c r="M7" s="9">
        <f>VLOOKUP($A7,'RES installed'!$A$2:$C$7,3,FALSE)*'[1]Profiles, RES, Spring'!M$5</f>
        <v>3.4684865515857086</v>
      </c>
      <c r="N7" s="9">
        <f>VLOOKUP($A7,'RES installed'!$A$2:$C$7,3,FALSE)*'[1]Profiles, RES, Spring'!N$5</f>
        <v>4.5824969891609797</v>
      </c>
      <c r="O7" s="9">
        <f>VLOOKUP($A7,'RES installed'!$A$2:$C$7,3,FALSE)*'[1]Profiles, RES, Spring'!O$5</f>
        <v>6.3348052990766766</v>
      </c>
      <c r="P7" s="9">
        <f>VLOOKUP($A7,'RES installed'!$A$2:$C$7,3,FALSE)*'[1]Profiles, RES, Spring'!P$5</f>
        <v>8.2677639502207949</v>
      </c>
      <c r="Q7" s="9">
        <f>VLOOKUP($A7,'RES installed'!$A$2:$C$7,3,FALSE)*'[1]Profiles, RES, Spring'!Q$5</f>
        <v>10.315134484142915</v>
      </c>
      <c r="R7" s="9">
        <f>VLOOKUP($A7,'RES installed'!$A$2:$C$7,3,FALSE)*'[1]Profiles, RES, Spring'!R$5</f>
        <v>12.844239261340828</v>
      </c>
      <c r="S7" s="9">
        <f>VLOOKUP($A7,'RES installed'!$A$2:$C$7,3,FALSE)*'[1]Profiles, RES, Spring'!S$5</f>
        <v>14.259333600963469</v>
      </c>
      <c r="T7" s="9">
        <f>VLOOKUP($A7,'RES installed'!$A$2:$C$7,3,FALSE)*'[1]Profiles, RES, Spring'!T$5</f>
        <v>14.307507025291049</v>
      </c>
      <c r="U7" s="9">
        <f>VLOOKUP($A7,'RES installed'!$A$2:$C$7,3,FALSE)*'[1]Profiles, RES, Spring'!U$5</f>
        <v>13.934162986752309</v>
      </c>
      <c r="V7" s="9">
        <f>VLOOKUP($A7,'RES installed'!$A$2:$C$7,3,FALSE)*'[1]Profiles, RES, Spring'!V$5</f>
        <v>12.633480529907667</v>
      </c>
      <c r="W7" s="9">
        <f>VLOOKUP($A7,'RES installed'!$A$2:$C$7,3,FALSE)*'[1]Profiles, RES, Spring'!W$5</f>
        <v>11.67603372139703</v>
      </c>
      <c r="X7" s="9">
        <f>VLOOKUP($A7,'RES installed'!$A$2:$C$7,3,FALSE)*'[1]Profiles, RES, Spring'!X$5</f>
        <v>11.657968687274188</v>
      </c>
      <c r="Y7" s="9">
        <f>VLOOKUP($A7,'RES installed'!$A$2:$C$7,3,FALSE)*'[1]Profiles, RES, Spring'!Y$5</f>
        <v>11.055800883179446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0.28430629264594387</v>
      </c>
      <c r="H8" s="6">
        <f>VLOOKUP($A8,'RES installed'!$A$2:$C$7,3,FALSE)*'[1]Profiles, RES, Spring'!H$2</f>
        <v>2.8544351781652768</v>
      </c>
      <c r="I8" s="6">
        <f>VLOOKUP($A8,'RES installed'!$A$2:$C$7,3,FALSE)*'[1]Profiles, RES, Spring'!I$2</f>
        <v>7.9719484457922665</v>
      </c>
      <c r="J8" s="6">
        <f>VLOOKUP($A8,'RES installed'!$A$2:$C$7,3,FALSE)*'[1]Profiles, RES, Spring'!J$2</f>
        <v>12.31614859742229</v>
      </c>
      <c r="K8" s="6">
        <f>VLOOKUP($A8,'RES installed'!$A$2:$C$7,3,FALSE)*'[1]Profiles, RES, Spring'!K$2</f>
        <v>14.408642911296438</v>
      </c>
      <c r="L8" s="6">
        <f>VLOOKUP($A8,'RES installed'!$A$2:$C$7,3,FALSE)*'[1]Profiles, RES, Spring'!L$2</f>
        <v>16.467020470053072</v>
      </c>
      <c r="M8" s="6">
        <f>VLOOKUP($A8,'RES installed'!$A$2:$C$7,3,FALSE)*'[1]Profiles, RES, Spring'!M$2</f>
        <v>17.354056103108416</v>
      </c>
      <c r="N8" s="6">
        <f>VLOOKUP($A8,'RES installed'!$A$2:$C$7,3,FALSE)*'[1]Profiles, RES, Spring'!N$2</f>
        <v>18.718726307808947</v>
      </c>
      <c r="O8" s="6">
        <f>VLOOKUP($A8,'RES installed'!$A$2:$C$7,3,FALSE)*'[1]Profiles, RES, Spring'!O$2</f>
        <v>18.821076573161488</v>
      </c>
      <c r="P8" s="6">
        <f>VLOOKUP($A8,'RES installed'!$A$2:$C$7,3,FALSE)*'[1]Profiles, RES, Spring'!P$2</f>
        <v>18.923426838514025</v>
      </c>
      <c r="Q8" s="6">
        <f>VLOOKUP($A8,'RES installed'!$A$2:$C$7,3,FALSE)*'[1]Profiles, RES, Spring'!Q$2</f>
        <v>17.308567096285064</v>
      </c>
      <c r="R8" s="6">
        <f>VLOOKUP($A8,'RES installed'!$A$2:$C$7,3,FALSE)*'[1]Profiles, RES, Spring'!R$2</f>
        <v>13.771796815769523</v>
      </c>
      <c r="S8" s="6">
        <f>VLOOKUP($A8,'RES installed'!$A$2:$C$7,3,FALSE)*'[1]Profiles, RES, Spring'!S$2</f>
        <v>9.0750568612585294</v>
      </c>
      <c r="T8" s="6">
        <f>VLOOKUP($A8,'RES installed'!$A$2:$C$7,3,FALSE)*'[1]Profiles, RES, Spring'!T$2</f>
        <v>3.3434420015163004</v>
      </c>
      <c r="U8" s="6">
        <f>VLOOKUP($A8,'RES installed'!$A$2:$C$7,3,FALSE)*'[1]Profiles, RES, Spring'!U$2</f>
        <v>0.29567854435178165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9.4768764215314633E-2</v>
      </c>
      <c r="H9" s="6">
        <f>VLOOKUP($A9,'RES installed'!$A$2:$C$7,3,FALSE)*'[1]Profiles, RES, Spring'!H$2</f>
        <v>0.95147839272175894</v>
      </c>
      <c r="I9" s="6">
        <f>VLOOKUP($A9,'RES installed'!$A$2:$C$7,3,FALSE)*'[1]Profiles, RES, Spring'!I$2</f>
        <v>2.6573161485974222</v>
      </c>
      <c r="J9" s="6">
        <f>VLOOKUP($A9,'RES installed'!$A$2:$C$7,3,FALSE)*'[1]Profiles, RES, Spring'!J$2</f>
        <v>4.1053828658074298</v>
      </c>
      <c r="K9" s="6">
        <f>VLOOKUP($A9,'RES installed'!$A$2:$C$7,3,FALSE)*'[1]Profiles, RES, Spring'!K$2</f>
        <v>4.8028809704321453</v>
      </c>
      <c r="L9" s="6">
        <f>VLOOKUP($A9,'RES installed'!$A$2:$C$7,3,FALSE)*'[1]Profiles, RES, Spring'!L$2</f>
        <v>5.4890068233510236</v>
      </c>
      <c r="M9" s="6">
        <f>VLOOKUP($A9,'RES installed'!$A$2:$C$7,3,FALSE)*'[1]Profiles, RES, Spring'!M$2</f>
        <v>5.7846853677028056</v>
      </c>
      <c r="N9" s="6">
        <f>VLOOKUP($A9,'RES installed'!$A$2:$C$7,3,FALSE)*'[1]Profiles, RES, Spring'!N$2</f>
        <v>6.2395754359363149</v>
      </c>
      <c r="O9" s="6">
        <f>VLOOKUP($A9,'RES installed'!$A$2:$C$7,3,FALSE)*'[1]Profiles, RES, Spring'!O$2</f>
        <v>6.2736921910538292</v>
      </c>
      <c r="P9" s="6">
        <f>VLOOKUP($A9,'RES installed'!$A$2:$C$7,3,FALSE)*'[1]Profiles, RES, Spring'!P$2</f>
        <v>6.3078089461713418</v>
      </c>
      <c r="Q9" s="6">
        <f>VLOOKUP($A9,'RES installed'!$A$2:$C$7,3,FALSE)*'[1]Profiles, RES, Spring'!Q$2</f>
        <v>5.7695223654283545</v>
      </c>
      <c r="R9" s="6">
        <f>VLOOKUP($A9,'RES installed'!$A$2:$C$7,3,FALSE)*'[1]Profiles, RES, Spring'!R$2</f>
        <v>4.5905989385898414</v>
      </c>
      <c r="S9" s="6">
        <f>VLOOKUP($A9,'RES installed'!$A$2:$C$7,3,FALSE)*'[1]Profiles, RES, Spring'!S$2</f>
        <v>3.0250189537528431</v>
      </c>
      <c r="T9" s="6">
        <f>VLOOKUP($A9,'RES installed'!$A$2:$C$7,3,FALSE)*'[1]Profiles, RES, Spring'!T$2</f>
        <v>1.1144806671721001</v>
      </c>
      <c r="U9" s="6">
        <f>VLOOKUP($A9,'RES installed'!$A$2:$C$7,3,FALSE)*'[1]Profiles, RES, Spring'!U$2</f>
        <v>9.8559514783927216E-2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0.18953752843062927</v>
      </c>
      <c r="H10" s="6">
        <f>VLOOKUP($A10,'RES installed'!$A$2:$C$7,3,FALSE)*'[1]Profiles, RES, Spring'!H$2</f>
        <v>1.9029567854435179</v>
      </c>
      <c r="I10" s="6">
        <f>VLOOKUP($A10,'RES installed'!$A$2:$C$7,3,FALSE)*'[1]Profiles, RES, Spring'!I$2</f>
        <v>5.3146322971948443</v>
      </c>
      <c r="J10" s="6">
        <f>VLOOKUP($A10,'RES installed'!$A$2:$C$7,3,FALSE)*'[1]Profiles, RES, Spring'!J$2</f>
        <v>8.2107657316148597</v>
      </c>
      <c r="K10" s="6">
        <f>VLOOKUP($A10,'RES installed'!$A$2:$C$7,3,FALSE)*'[1]Profiles, RES, Spring'!K$2</f>
        <v>9.6057619408642907</v>
      </c>
      <c r="L10" s="6">
        <f>VLOOKUP($A10,'RES installed'!$A$2:$C$7,3,FALSE)*'[1]Profiles, RES, Spring'!L$2</f>
        <v>10.978013646702047</v>
      </c>
      <c r="M10" s="6">
        <f>VLOOKUP($A10,'RES installed'!$A$2:$C$7,3,FALSE)*'[1]Profiles, RES, Spring'!M$2</f>
        <v>11.569370735405611</v>
      </c>
      <c r="N10" s="6">
        <f>VLOOKUP($A10,'RES installed'!$A$2:$C$7,3,FALSE)*'[1]Profiles, RES, Spring'!N$2</f>
        <v>12.47915087187263</v>
      </c>
      <c r="O10" s="6">
        <f>VLOOKUP($A10,'RES installed'!$A$2:$C$7,3,FALSE)*'[1]Profiles, RES, Spring'!O$2</f>
        <v>12.547384382107658</v>
      </c>
      <c r="P10" s="6">
        <f>VLOOKUP($A10,'RES installed'!$A$2:$C$7,3,FALSE)*'[1]Profiles, RES, Spring'!P$2</f>
        <v>12.615617892342684</v>
      </c>
      <c r="Q10" s="6">
        <f>VLOOKUP($A10,'RES installed'!$A$2:$C$7,3,FALSE)*'[1]Profiles, RES, Spring'!Q$2</f>
        <v>11.539044730856709</v>
      </c>
      <c r="R10" s="6">
        <f>VLOOKUP($A10,'RES installed'!$A$2:$C$7,3,FALSE)*'[1]Profiles, RES, Spring'!R$2</f>
        <v>9.1811978771796827</v>
      </c>
      <c r="S10" s="6">
        <f>VLOOKUP($A10,'RES installed'!$A$2:$C$7,3,FALSE)*'[1]Profiles, RES, Spring'!S$2</f>
        <v>6.0500379075056863</v>
      </c>
      <c r="T10" s="6">
        <f>VLOOKUP($A10,'RES installed'!$A$2:$C$7,3,FALSE)*'[1]Profiles, RES, Spring'!T$2</f>
        <v>2.2289613343442003</v>
      </c>
      <c r="U10" s="6">
        <f>VLOOKUP($A10,'RES installed'!$A$2:$C$7,3,FALSE)*'[1]Profiles, RES, Spring'!U$2</f>
        <v>0.19711902956785443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B76AB-CAAD-4D01-A6E3-BD56703B3D6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10.152549177037335</v>
      </c>
      <c r="C5" s="9">
        <f>VLOOKUP($A5,'RES installed'!$A$2:$C$7,3,FALSE)*'[1]Profiles, RES, Spring'!C$6</f>
        <v>9.2131674026495389</v>
      </c>
      <c r="D5" s="9">
        <f>VLOOKUP($A5,'RES installed'!$A$2:$C$7,3,FALSE)*'[1]Profiles, RES, Spring'!D$6</f>
        <v>8.0389401846647939</v>
      </c>
      <c r="E5" s="9">
        <f>VLOOKUP($A5,'RES installed'!$A$2:$C$7,3,FALSE)*'[1]Profiles, RES, Spring'!E$6</f>
        <v>7.2380570052187876</v>
      </c>
      <c r="F5" s="9">
        <f>VLOOKUP($A5,'RES installed'!$A$2:$C$7,3,FALSE)*'[1]Profiles, RES, Spring'!F$6</f>
        <v>7.0754716981132075</v>
      </c>
      <c r="G5" s="9">
        <f>VLOOKUP($A5,'RES installed'!$A$2:$C$7,3,FALSE)*'[1]Profiles, RES, Spring'!G$6</f>
        <v>7.1537535126455243</v>
      </c>
      <c r="H5" s="9">
        <f>VLOOKUP($A5,'RES installed'!$A$2:$C$7,3,FALSE)*'[1]Profiles, RES, Spring'!H$6</f>
        <v>6.1059815335206746</v>
      </c>
      <c r="I5" s="9">
        <f>VLOOKUP($A5,'RES installed'!$A$2:$C$7,3,FALSE)*'[1]Profiles, RES, Spring'!I$6</f>
        <v>4.5945403452428746</v>
      </c>
      <c r="J5" s="9">
        <f>VLOOKUP($A5,'RES installed'!$A$2:$C$7,3,FALSE)*'[1]Profiles, RES, Spring'!J$6</f>
        <v>4.1850662384584503</v>
      </c>
      <c r="K5" s="9">
        <f>VLOOKUP($A5,'RES installed'!$A$2:$C$7,3,FALSE)*'[1]Profiles, RES, Spring'!K$6</f>
        <v>4.3596949016459252</v>
      </c>
      <c r="L5" s="9">
        <f>VLOOKUP($A5,'RES installed'!$A$2:$C$7,3,FALSE)*'[1]Profiles, RES, Spring'!L$6</f>
        <v>4.88358089120835</v>
      </c>
      <c r="M5" s="9">
        <f>VLOOKUP($A5,'RES installed'!$A$2:$C$7,3,FALSE)*'[1]Profiles, RES, Spring'!M$6</f>
        <v>5.6001605780810921</v>
      </c>
      <c r="N5" s="9">
        <f>VLOOKUP($A5,'RES installed'!$A$2:$C$7,3,FALSE)*'[1]Profiles, RES, Spring'!N$6</f>
        <v>7.2802087515054197</v>
      </c>
      <c r="O5" s="9">
        <f>VLOOKUP($A5,'RES installed'!$A$2:$C$7,3,FALSE)*'[1]Profiles, RES, Spring'!O$6</f>
        <v>9.038538739462064</v>
      </c>
      <c r="P5" s="9">
        <f>VLOOKUP($A5,'RES installed'!$A$2:$C$7,3,FALSE)*'[1]Profiles, RES, Spring'!P$6</f>
        <v>10.266961059815335</v>
      </c>
      <c r="Q5" s="9">
        <f>VLOOKUP($A5,'RES installed'!$A$2:$C$7,3,FALSE)*'[1]Profiles, RES, Spring'!Q$6</f>
        <v>11.296668004817343</v>
      </c>
      <c r="R5" s="9">
        <f>VLOOKUP($A5,'RES installed'!$A$2:$C$7,3,FALSE)*'[1]Profiles, RES, Spring'!R$6</f>
        <v>12.380570052187876</v>
      </c>
      <c r="S5" s="9">
        <f>VLOOKUP($A5,'RES installed'!$A$2:$C$7,3,FALSE)*'[1]Profiles, RES, Spring'!S$6</f>
        <v>11.844640706543556</v>
      </c>
      <c r="T5" s="9">
        <f>VLOOKUP($A5,'RES installed'!$A$2:$C$7,3,FALSE)*'[1]Profiles, RES, Spring'!T$6</f>
        <v>10.477719791248495</v>
      </c>
      <c r="U5" s="9">
        <f>VLOOKUP($A5,'RES installed'!$A$2:$C$7,3,FALSE)*'[1]Profiles, RES, Spring'!U$6</f>
        <v>10.080289040545965</v>
      </c>
      <c r="V5" s="9">
        <f>VLOOKUP($A5,'RES installed'!$A$2:$C$7,3,FALSE)*'[1]Profiles, RES, Spring'!V$6</f>
        <v>9.375752709755119</v>
      </c>
      <c r="W5" s="9">
        <f>VLOOKUP($A5,'RES installed'!$A$2:$C$7,3,FALSE)*'[1]Profiles, RES, Spring'!W$6</f>
        <v>8.8940184664793254</v>
      </c>
      <c r="X5" s="9">
        <f>VLOOKUP($A5,'RES installed'!$A$2:$C$7,3,FALSE)*'[1]Profiles, RES, Spring'!X$6</f>
        <v>8.0630268968285819</v>
      </c>
      <c r="Y5" s="9">
        <f>VLOOKUP($A5,'RES installed'!$A$2:$C$7,3,FALSE)*'[1]Profiles, RES, Spring'!Y$6</f>
        <v>7.189883580891208</v>
      </c>
    </row>
    <row r="6" spans="1:25" x14ac:dyDescent="0.3">
      <c r="A6" s="8">
        <v>5</v>
      </c>
      <c r="B6" s="9">
        <f>VLOOKUP($A6,'RES installed'!$A$2:$C$7,3,FALSE)*'[1]Profiles, RES, Spring'!B$6</f>
        <v>6.7683661180248897</v>
      </c>
      <c r="C6" s="9">
        <f>VLOOKUP($A6,'RES installed'!$A$2:$C$7,3,FALSE)*'[1]Profiles, RES, Spring'!C$6</f>
        <v>6.1421116017663593</v>
      </c>
      <c r="D6" s="9">
        <f>VLOOKUP($A6,'RES installed'!$A$2:$C$7,3,FALSE)*'[1]Profiles, RES, Spring'!D$6</f>
        <v>5.3592934564431962</v>
      </c>
      <c r="E6" s="9">
        <f>VLOOKUP($A6,'RES installed'!$A$2:$C$7,3,FALSE)*'[1]Profiles, RES, Spring'!E$6</f>
        <v>4.8253713368125251</v>
      </c>
      <c r="F6" s="9">
        <f>VLOOKUP($A6,'RES installed'!$A$2:$C$7,3,FALSE)*'[1]Profiles, RES, Spring'!F$6</f>
        <v>4.716981132075472</v>
      </c>
      <c r="G6" s="9">
        <f>VLOOKUP($A6,'RES installed'!$A$2:$C$7,3,FALSE)*'[1]Profiles, RES, Spring'!G$6</f>
        <v>4.7691690084303495</v>
      </c>
      <c r="H6" s="9">
        <f>VLOOKUP($A6,'RES installed'!$A$2:$C$7,3,FALSE)*'[1]Profiles, RES, Spring'!H$6</f>
        <v>4.0706543556804498</v>
      </c>
      <c r="I6" s="9">
        <f>VLOOKUP($A6,'RES installed'!$A$2:$C$7,3,FALSE)*'[1]Profiles, RES, Spring'!I$6</f>
        <v>3.0630268968285828</v>
      </c>
      <c r="J6" s="9">
        <f>VLOOKUP($A6,'RES installed'!$A$2:$C$7,3,FALSE)*'[1]Profiles, RES, Spring'!J$6</f>
        <v>2.7900441589723002</v>
      </c>
      <c r="K6" s="9">
        <f>VLOOKUP($A6,'RES installed'!$A$2:$C$7,3,FALSE)*'[1]Profiles, RES, Spring'!K$6</f>
        <v>2.9064632677639501</v>
      </c>
      <c r="L6" s="9">
        <f>VLOOKUP($A6,'RES installed'!$A$2:$C$7,3,FALSE)*'[1]Profiles, RES, Spring'!L$6</f>
        <v>3.2557205941389</v>
      </c>
      <c r="M6" s="9">
        <f>VLOOKUP($A6,'RES installed'!$A$2:$C$7,3,FALSE)*'[1]Profiles, RES, Spring'!M$6</f>
        <v>3.7334403853873948</v>
      </c>
      <c r="N6" s="9">
        <f>VLOOKUP($A6,'RES installed'!$A$2:$C$7,3,FALSE)*'[1]Profiles, RES, Spring'!N$6</f>
        <v>4.8534725010036128</v>
      </c>
      <c r="O6" s="9">
        <f>VLOOKUP($A6,'RES installed'!$A$2:$C$7,3,FALSE)*'[1]Profiles, RES, Spring'!O$6</f>
        <v>6.0256924929747093</v>
      </c>
      <c r="P6" s="9">
        <f>VLOOKUP($A6,'RES installed'!$A$2:$C$7,3,FALSE)*'[1]Profiles, RES, Spring'!P$6</f>
        <v>6.8446407065435562</v>
      </c>
      <c r="Q6" s="9">
        <f>VLOOKUP($A6,'RES installed'!$A$2:$C$7,3,FALSE)*'[1]Profiles, RES, Spring'!Q$6</f>
        <v>7.5311120032115619</v>
      </c>
      <c r="R6" s="9">
        <f>VLOOKUP($A6,'RES installed'!$A$2:$C$7,3,FALSE)*'[1]Profiles, RES, Spring'!R$6</f>
        <v>8.2537133681252506</v>
      </c>
      <c r="S6" s="9">
        <f>VLOOKUP($A6,'RES installed'!$A$2:$C$7,3,FALSE)*'[1]Profiles, RES, Spring'!S$6</f>
        <v>7.8964271376957038</v>
      </c>
      <c r="T6" s="9">
        <f>VLOOKUP($A6,'RES installed'!$A$2:$C$7,3,FALSE)*'[1]Profiles, RES, Spring'!T$6</f>
        <v>6.9851465274989968</v>
      </c>
      <c r="U6" s="9">
        <f>VLOOKUP($A6,'RES installed'!$A$2:$C$7,3,FALSE)*'[1]Profiles, RES, Spring'!U$6</f>
        <v>6.7201926936973102</v>
      </c>
      <c r="V6" s="9">
        <f>VLOOKUP($A6,'RES installed'!$A$2:$C$7,3,FALSE)*'[1]Profiles, RES, Spring'!V$6</f>
        <v>6.2505018065034124</v>
      </c>
      <c r="W6" s="9">
        <f>VLOOKUP($A6,'RES installed'!$A$2:$C$7,3,FALSE)*'[1]Profiles, RES, Spring'!W$6</f>
        <v>5.9293456443195502</v>
      </c>
      <c r="X6" s="9">
        <f>VLOOKUP($A6,'RES installed'!$A$2:$C$7,3,FALSE)*'[1]Profiles, RES, Spring'!X$6</f>
        <v>5.3753512645523882</v>
      </c>
      <c r="Y6" s="9">
        <f>VLOOKUP($A6,'RES installed'!$A$2:$C$7,3,FALSE)*'[1]Profiles, RES, Spring'!Y$6</f>
        <v>4.7932557205941393</v>
      </c>
    </row>
    <row r="7" spans="1:25" x14ac:dyDescent="0.3">
      <c r="A7" s="8">
        <v>6</v>
      </c>
      <c r="B7" s="9">
        <f>VLOOKUP($A7,'RES installed'!$A$2:$C$7,3,FALSE)*'[1]Profiles, RES, Spring'!B$6</f>
        <v>10.152549177037335</v>
      </c>
      <c r="C7" s="9">
        <f>VLOOKUP($A7,'RES installed'!$A$2:$C$7,3,FALSE)*'[1]Profiles, RES, Spring'!C$6</f>
        <v>9.2131674026495389</v>
      </c>
      <c r="D7" s="9">
        <f>VLOOKUP($A7,'RES installed'!$A$2:$C$7,3,FALSE)*'[1]Profiles, RES, Spring'!D$6</f>
        <v>8.0389401846647939</v>
      </c>
      <c r="E7" s="9">
        <f>VLOOKUP($A7,'RES installed'!$A$2:$C$7,3,FALSE)*'[1]Profiles, RES, Spring'!E$6</f>
        <v>7.2380570052187876</v>
      </c>
      <c r="F7" s="9">
        <f>VLOOKUP($A7,'RES installed'!$A$2:$C$7,3,FALSE)*'[1]Profiles, RES, Spring'!F$6</f>
        <v>7.0754716981132075</v>
      </c>
      <c r="G7" s="9">
        <f>VLOOKUP($A7,'RES installed'!$A$2:$C$7,3,FALSE)*'[1]Profiles, RES, Spring'!G$6</f>
        <v>7.1537535126455243</v>
      </c>
      <c r="H7" s="9">
        <f>VLOOKUP($A7,'RES installed'!$A$2:$C$7,3,FALSE)*'[1]Profiles, RES, Spring'!H$6</f>
        <v>6.1059815335206746</v>
      </c>
      <c r="I7" s="9">
        <f>VLOOKUP($A7,'RES installed'!$A$2:$C$7,3,FALSE)*'[1]Profiles, RES, Spring'!I$6</f>
        <v>4.5945403452428746</v>
      </c>
      <c r="J7" s="9">
        <f>VLOOKUP($A7,'RES installed'!$A$2:$C$7,3,FALSE)*'[1]Profiles, RES, Spring'!J$6</f>
        <v>4.1850662384584503</v>
      </c>
      <c r="K7" s="9">
        <f>VLOOKUP($A7,'RES installed'!$A$2:$C$7,3,FALSE)*'[1]Profiles, RES, Spring'!K$6</f>
        <v>4.3596949016459252</v>
      </c>
      <c r="L7" s="9">
        <f>VLOOKUP($A7,'RES installed'!$A$2:$C$7,3,FALSE)*'[1]Profiles, RES, Spring'!L$6</f>
        <v>4.88358089120835</v>
      </c>
      <c r="M7" s="9">
        <f>VLOOKUP($A7,'RES installed'!$A$2:$C$7,3,FALSE)*'[1]Profiles, RES, Spring'!M$6</f>
        <v>5.6001605780810921</v>
      </c>
      <c r="N7" s="9">
        <f>VLOOKUP($A7,'RES installed'!$A$2:$C$7,3,FALSE)*'[1]Profiles, RES, Spring'!N$6</f>
        <v>7.2802087515054197</v>
      </c>
      <c r="O7" s="9">
        <f>VLOOKUP($A7,'RES installed'!$A$2:$C$7,3,FALSE)*'[1]Profiles, RES, Spring'!O$6</f>
        <v>9.038538739462064</v>
      </c>
      <c r="P7" s="9">
        <f>VLOOKUP($A7,'RES installed'!$A$2:$C$7,3,FALSE)*'[1]Profiles, RES, Spring'!P$6</f>
        <v>10.266961059815335</v>
      </c>
      <c r="Q7" s="9">
        <f>VLOOKUP($A7,'RES installed'!$A$2:$C$7,3,FALSE)*'[1]Profiles, RES, Spring'!Q$6</f>
        <v>11.296668004817343</v>
      </c>
      <c r="R7" s="9">
        <f>VLOOKUP($A7,'RES installed'!$A$2:$C$7,3,FALSE)*'[1]Profiles, RES, Spring'!R$6</f>
        <v>12.380570052187876</v>
      </c>
      <c r="S7" s="9">
        <f>VLOOKUP($A7,'RES installed'!$A$2:$C$7,3,FALSE)*'[1]Profiles, RES, Spring'!S$6</f>
        <v>11.844640706543556</v>
      </c>
      <c r="T7" s="9">
        <f>VLOOKUP($A7,'RES installed'!$A$2:$C$7,3,FALSE)*'[1]Profiles, RES, Spring'!T$6</f>
        <v>10.477719791248495</v>
      </c>
      <c r="U7" s="9">
        <f>VLOOKUP($A7,'RES installed'!$A$2:$C$7,3,FALSE)*'[1]Profiles, RES, Spring'!U$6</f>
        <v>10.080289040545965</v>
      </c>
      <c r="V7" s="9">
        <f>VLOOKUP($A7,'RES installed'!$A$2:$C$7,3,FALSE)*'[1]Profiles, RES, Spring'!V$6</f>
        <v>9.375752709755119</v>
      </c>
      <c r="W7" s="9">
        <f>VLOOKUP($A7,'RES installed'!$A$2:$C$7,3,FALSE)*'[1]Profiles, RES, Spring'!W$6</f>
        <v>8.8940184664793254</v>
      </c>
      <c r="X7" s="9">
        <f>VLOOKUP($A7,'RES installed'!$A$2:$C$7,3,FALSE)*'[1]Profiles, RES, Spring'!X$6</f>
        <v>8.0630268968285819</v>
      </c>
      <c r="Y7" s="9">
        <f>VLOOKUP($A7,'RES installed'!$A$2:$C$7,3,FALSE)*'[1]Profiles, RES, Spring'!Y$6</f>
        <v>7.189883580891208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0.3411675511751327</v>
      </c>
      <c r="H8" s="6">
        <f>VLOOKUP($A8,'RES installed'!$A$2:$C$7,3,FALSE)*'[1]Profiles, RES, Spring'!H$3</f>
        <v>2.9909021986353297</v>
      </c>
      <c r="I8" s="6">
        <f>VLOOKUP($A8,'RES installed'!$A$2:$C$7,3,FALSE)*'[1]Profiles, RES, Spring'!I$3</f>
        <v>7.1986353297952999</v>
      </c>
      <c r="J8" s="6">
        <f>VLOOKUP($A8,'RES installed'!$A$2:$C$7,3,FALSE)*'[1]Profiles, RES, Spring'!J$3</f>
        <v>10.860500379075058</v>
      </c>
      <c r="K8" s="6">
        <f>VLOOKUP($A8,'RES installed'!$A$2:$C$7,3,FALSE)*'[1]Profiles, RES, Spring'!K$3</f>
        <v>15.125094768764216</v>
      </c>
      <c r="L8" s="6">
        <f>VLOOKUP($A8,'RES installed'!$A$2:$C$7,3,FALSE)*'[1]Profiles, RES, Spring'!L$3</f>
        <v>17.899924184988627</v>
      </c>
      <c r="M8" s="6">
        <f>VLOOKUP($A8,'RES installed'!$A$2:$C$7,3,FALSE)*'[1]Profiles, RES, Spring'!M$3</f>
        <v>18.320697498104625</v>
      </c>
      <c r="N8" s="6">
        <f>VLOOKUP($A8,'RES installed'!$A$2:$C$7,3,FALSE)*'[1]Profiles, RES, Spring'!N$3</f>
        <v>18.752843062926459</v>
      </c>
      <c r="O8" s="6">
        <f>VLOOKUP($A8,'RES installed'!$A$2:$C$7,3,FALSE)*'[1]Profiles, RES, Spring'!O$3</f>
        <v>18.09325246398787</v>
      </c>
      <c r="P8" s="6">
        <f>VLOOKUP($A8,'RES installed'!$A$2:$C$7,3,FALSE)*'[1]Profiles, RES, Spring'!P$3</f>
        <v>19.230477634571645</v>
      </c>
      <c r="Q8" s="6">
        <f>VLOOKUP($A8,'RES installed'!$A$2:$C$7,3,FALSE)*'[1]Profiles, RES, Spring'!Q$3</f>
        <v>17.069749810462472</v>
      </c>
      <c r="R8" s="6">
        <f>VLOOKUP($A8,'RES installed'!$A$2:$C$7,3,FALSE)*'[1]Profiles, RES, Spring'!R$3</f>
        <v>14.317664897649735</v>
      </c>
      <c r="S8" s="6">
        <f>VLOOKUP($A8,'RES installed'!$A$2:$C$7,3,FALSE)*'[1]Profiles, RES, Spring'!S$3</f>
        <v>9.3593631539044733</v>
      </c>
      <c r="T8" s="6">
        <f>VLOOKUP($A8,'RES installed'!$A$2:$C$7,3,FALSE)*'[1]Profiles, RES, Spring'!T$3</f>
        <v>3.4116755117513269</v>
      </c>
      <c r="U8" s="6">
        <f>VLOOKUP($A8,'RES installed'!$A$2:$C$7,3,FALSE)*'[1]Profiles, RES, Spring'!U$3</f>
        <v>0.30705079605761937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0.11372251705837756</v>
      </c>
      <c r="H9" s="6">
        <f>VLOOKUP($A9,'RES installed'!$A$2:$C$7,3,FALSE)*'[1]Profiles, RES, Spring'!H$3</f>
        <v>0.99696739954510993</v>
      </c>
      <c r="I9" s="6">
        <f>VLOOKUP($A9,'RES installed'!$A$2:$C$7,3,FALSE)*'[1]Profiles, RES, Spring'!I$3</f>
        <v>2.3995451099317666</v>
      </c>
      <c r="J9" s="6">
        <f>VLOOKUP($A9,'RES installed'!$A$2:$C$7,3,FALSE)*'[1]Profiles, RES, Spring'!J$3</f>
        <v>3.6201667930250192</v>
      </c>
      <c r="K9" s="6">
        <f>VLOOKUP($A9,'RES installed'!$A$2:$C$7,3,FALSE)*'[1]Profiles, RES, Spring'!K$3</f>
        <v>5.0416982562547386</v>
      </c>
      <c r="L9" s="6">
        <f>VLOOKUP($A9,'RES installed'!$A$2:$C$7,3,FALSE)*'[1]Profiles, RES, Spring'!L$3</f>
        <v>5.9666413949962092</v>
      </c>
      <c r="M9" s="6">
        <f>VLOOKUP($A9,'RES installed'!$A$2:$C$7,3,FALSE)*'[1]Profiles, RES, Spring'!M$3</f>
        <v>6.106899166034875</v>
      </c>
      <c r="N9" s="6">
        <f>VLOOKUP($A9,'RES installed'!$A$2:$C$7,3,FALSE)*'[1]Profiles, RES, Spring'!N$3</f>
        <v>6.250947687642153</v>
      </c>
      <c r="O9" s="6">
        <f>VLOOKUP($A9,'RES installed'!$A$2:$C$7,3,FALSE)*'[1]Profiles, RES, Spring'!O$3</f>
        <v>6.0310841546626239</v>
      </c>
      <c r="P9" s="6">
        <f>VLOOKUP($A9,'RES installed'!$A$2:$C$7,3,FALSE)*'[1]Profiles, RES, Spring'!P$3</f>
        <v>6.4101592115238812</v>
      </c>
      <c r="Q9" s="6">
        <f>VLOOKUP($A9,'RES installed'!$A$2:$C$7,3,FALSE)*'[1]Profiles, RES, Spring'!Q$3</f>
        <v>5.6899166034874904</v>
      </c>
      <c r="R9" s="6">
        <f>VLOOKUP($A9,'RES installed'!$A$2:$C$7,3,FALSE)*'[1]Profiles, RES, Spring'!R$3</f>
        <v>4.7725549658832449</v>
      </c>
      <c r="S9" s="6">
        <f>VLOOKUP($A9,'RES installed'!$A$2:$C$7,3,FALSE)*'[1]Profiles, RES, Spring'!S$3</f>
        <v>3.1197877179681575</v>
      </c>
      <c r="T9" s="6">
        <f>VLOOKUP($A9,'RES installed'!$A$2:$C$7,3,FALSE)*'[1]Profiles, RES, Spring'!T$3</f>
        <v>1.1372251705837757</v>
      </c>
      <c r="U9" s="6">
        <f>VLOOKUP($A9,'RES installed'!$A$2:$C$7,3,FALSE)*'[1]Profiles, RES, Spring'!U$3</f>
        <v>0.1023502653525398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0.22744503411675512</v>
      </c>
      <c r="H10" s="6">
        <f>VLOOKUP($A10,'RES installed'!$A$2:$C$7,3,FALSE)*'[1]Profiles, RES, Spring'!H$3</f>
        <v>1.9939347990902199</v>
      </c>
      <c r="I10" s="6">
        <f>VLOOKUP($A10,'RES installed'!$A$2:$C$7,3,FALSE)*'[1]Profiles, RES, Spring'!I$3</f>
        <v>4.7990902198635332</v>
      </c>
      <c r="J10" s="6">
        <f>VLOOKUP($A10,'RES installed'!$A$2:$C$7,3,FALSE)*'[1]Profiles, RES, Spring'!J$3</f>
        <v>7.2403335860500384</v>
      </c>
      <c r="K10" s="6">
        <f>VLOOKUP($A10,'RES installed'!$A$2:$C$7,3,FALSE)*'[1]Profiles, RES, Spring'!K$3</f>
        <v>10.083396512509477</v>
      </c>
      <c r="L10" s="6">
        <f>VLOOKUP($A10,'RES installed'!$A$2:$C$7,3,FALSE)*'[1]Profiles, RES, Spring'!L$3</f>
        <v>11.933282789992418</v>
      </c>
      <c r="M10" s="6">
        <f>VLOOKUP($A10,'RES installed'!$A$2:$C$7,3,FALSE)*'[1]Profiles, RES, Spring'!M$3</f>
        <v>12.21379833206975</v>
      </c>
      <c r="N10" s="6">
        <f>VLOOKUP($A10,'RES installed'!$A$2:$C$7,3,FALSE)*'[1]Profiles, RES, Spring'!N$3</f>
        <v>12.501895375284306</v>
      </c>
      <c r="O10" s="6">
        <f>VLOOKUP($A10,'RES installed'!$A$2:$C$7,3,FALSE)*'[1]Profiles, RES, Spring'!O$3</f>
        <v>12.062168309325248</v>
      </c>
      <c r="P10" s="6">
        <f>VLOOKUP($A10,'RES installed'!$A$2:$C$7,3,FALSE)*'[1]Profiles, RES, Spring'!P$3</f>
        <v>12.820318423047762</v>
      </c>
      <c r="Q10" s="6">
        <f>VLOOKUP($A10,'RES installed'!$A$2:$C$7,3,FALSE)*'[1]Profiles, RES, Spring'!Q$3</f>
        <v>11.379833206974981</v>
      </c>
      <c r="R10" s="6">
        <f>VLOOKUP($A10,'RES installed'!$A$2:$C$7,3,FALSE)*'[1]Profiles, RES, Spring'!R$3</f>
        <v>9.5451099317664898</v>
      </c>
      <c r="S10" s="6">
        <f>VLOOKUP($A10,'RES installed'!$A$2:$C$7,3,FALSE)*'[1]Profiles, RES, Spring'!S$3</f>
        <v>6.2395754359363149</v>
      </c>
      <c r="T10" s="6">
        <f>VLOOKUP($A10,'RES installed'!$A$2:$C$7,3,FALSE)*'[1]Profiles, RES, Spring'!T$3</f>
        <v>2.2744503411675514</v>
      </c>
      <c r="U10" s="6">
        <f>VLOOKUP($A10,'RES installed'!$A$2:$C$7,3,FALSE)*'[1]Profiles, RES, Spring'!U$3</f>
        <v>0.2047005307050796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7D921-D097-4973-885E-7DCB80C972A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7.4307507025291049</v>
      </c>
      <c r="C5" s="9">
        <f>VLOOKUP($A5,'RES installed'!$A$2:$C$7,3,FALSE)*'[1]Profiles, RES, Spring'!C$7</f>
        <v>7.0453633079084703</v>
      </c>
      <c r="D5" s="9">
        <f>VLOOKUP($A5,'RES installed'!$A$2:$C$7,3,FALSE)*'[1]Profiles, RES, Spring'!D$7</f>
        <v>6.8526696105981539</v>
      </c>
      <c r="E5" s="9">
        <f>VLOOKUP($A5,'RES installed'!$A$2:$C$7,3,FALSE)*'[1]Profiles, RES, Spring'!E$7</f>
        <v>7.2139702930549978</v>
      </c>
      <c r="F5" s="9">
        <f>VLOOKUP($A5,'RES installed'!$A$2:$C$7,3,FALSE)*'[1]Profiles, RES, Spring'!F$7</f>
        <v>7.2320353271778401</v>
      </c>
      <c r="G5" s="9">
        <f>VLOOKUP($A5,'RES installed'!$A$2:$C$7,3,FALSE)*'[1]Profiles, RES, Spring'!G$7</f>
        <v>6.4311521477318347</v>
      </c>
      <c r="H5" s="9">
        <f>VLOOKUP($A5,'RES installed'!$A$2:$C$7,3,FALSE)*'[1]Profiles, RES, Spring'!H$7</f>
        <v>5.4737053392211967</v>
      </c>
      <c r="I5" s="9">
        <f>VLOOKUP($A5,'RES installed'!$A$2:$C$7,3,FALSE)*'[1]Profiles, RES, Spring'!I$7</f>
        <v>4.1248494580489758</v>
      </c>
      <c r="J5" s="9">
        <f>VLOOKUP($A5,'RES installed'!$A$2:$C$7,3,FALSE)*'[1]Profiles, RES, Spring'!J$7</f>
        <v>3.4745082296266561</v>
      </c>
      <c r="K5" s="9">
        <f>VLOOKUP($A5,'RES installed'!$A$2:$C$7,3,FALSE)*'[1]Profiles, RES, Spring'!K$7</f>
        <v>3.7755921316740264</v>
      </c>
      <c r="L5" s="9">
        <f>VLOOKUP($A5,'RES installed'!$A$2:$C$7,3,FALSE)*'[1]Profiles, RES, Spring'!L$7</f>
        <v>4.4620634283420308</v>
      </c>
      <c r="M5" s="9">
        <f>VLOOKUP($A5,'RES installed'!$A$2:$C$7,3,FALSE)*'[1]Profiles, RES, Spring'!M$7</f>
        <v>4.4138900040144522</v>
      </c>
      <c r="N5" s="9">
        <f>VLOOKUP($A5,'RES installed'!$A$2:$C$7,3,FALSE)*'[1]Profiles, RES, Spring'!N$7</f>
        <v>5.0702529104777199</v>
      </c>
      <c r="O5" s="9">
        <f>VLOOKUP($A5,'RES installed'!$A$2:$C$7,3,FALSE)*'[1]Profiles, RES, Spring'!O$7</f>
        <v>6.4672822159775185</v>
      </c>
      <c r="P5" s="9">
        <f>VLOOKUP($A5,'RES installed'!$A$2:$C$7,3,FALSE)*'[1]Profiles, RES, Spring'!P$7</f>
        <v>7.5511842633480528</v>
      </c>
      <c r="Q5" s="9">
        <f>VLOOKUP($A5,'RES installed'!$A$2:$C$7,3,FALSE)*'[1]Profiles, RES, Spring'!Q$7</f>
        <v>8.5086310718586908</v>
      </c>
      <c r="R5" s="9">
        <f>VLOOKUP($A5,'RES installed'!$A$2:$C$7,3,FALSE)*'[1]Profiles, RES, Spring'!R$7</f>
        <v>9.5624247290244888</v>
      </c>
      <c r="S5" s="9">
        <f>VLOOKUP($A5,'RES installed'!$A$2:$C$7,3,FALSE)*'[1]Profiles, RES, Spring'!S$7</f>
        <v>9.9538338016860699</v>
      </c>
      <c r="T5" s="9">
        <f>VLOOKUP($A5,'RES installed'!$A$2:$C$7,3,FALSE)*'[1]Profiles, RES, Spring'!T$7</f>
        <v>9.9598554797270165</v>
      </c>
      <c r="U5" s="9">
        <f>VLOOKUP($A5,'RES installed'!$A$2:$C$7,3,FALSE)*'[1]Profiles, RES, Spring'!U$7</f>
        <v>8.9060618225612203</v>
      </c>
      <c r="V5" s="9">
        <f>VLOOKUP($A5,'RES installed'!$A$2:$C$7,3,FALSE)*'[1]Profiles, RES, Spring'!V$7</f>
        <v>8.5026093938177443</v>
      </c>
      <c r="W5" s="9">
        <f>VLOOKUP($A5,'RES installed'!$A$2:$C$7,3,FALSE)*'[1]Profiles, RES, Spring'!W$7</f>
        <v>8.454435969490163</v>
      </c>
      <c r="X5" s="9">
        <f>VLOOKUP($A5,'RES installed'!$A$2:$C$7,3,FALSE)*'[1]Profiles, RES, Spring'!X$7</f>
        <v>8.592934564431955</v>
      </c>
      <c r="Y5" s="9">
        <f>VLOOKUP($A5,'RES installed'!$A$2:$C$7,3,FALSE)*'[1]Profiles, RES, Spring'!Y$7</f>
        <v>9.2794058610999599</v>
      </c>
    </row>
    <row r="6" spans="1:25" x14ac:dyDescent="0.3">
      <c r="A6" s="8">
        <v>5</v>
      </c>
      <c r="B6" s="9">
        <f>VLOOKUP($A6,'RES installed'!$A$2:$C$7,3,FALSE)*'[1]Profiles, RES, Spring'!B$7</f>
        <v>4.9538338016860699</v>
      </c>
      <c r="C6" s="9">
        <f>VLOOKUP($A6,'RES installed'!$A$2:$C$7,3,FALSE)*'[1]Profiles, RES, Spring'!C$7</f>
        <v>4.6969088719389802</v>
      </c>
      <c r="D6" s="9">
        <f>VLOOKUP($A6,'RES installed'!$A$2:$C$7,3,FALSE)*'[1]Profiles, RES, Spring'!D$7</f>
        <v>4.5684464070654354</v>
      </c>
      <c r="E6" s="9">
        <f>VLOOKUP($A6,'RES installed'!$A$2:$C$7,3,FALSE)*'[1]Profiles, RES, Spring'!E$7</f>
        <v>4.8093135287033313</v>
      </c>
      <c r="F6" s="9">
        <f>VLOOKUP($A6,'RES installed'!$A$2:$C$7,3,FALSE)*'[1]Profiles, RES, Spring'!F$7</f>
        <v>4.8213568847852271</v>
      </c>
      <c r="G6" s="9">
        <f>VLOOKUP($A6,'RES installed'!$A$2:$C$7,3,FALSE)*'[1]Profiles, RES, Spring'!G$7</f>
        <v>4.2874347651545559</v>
      </c>
      <c r="H6" s="9">
        <f>VLOOKUP($A6,'RES installed'!$A$2:$C$7,3,FALSE)*'[1]Profiles, RES, Spring'!H$7</f>
        <v>3.649136892814131</v>
      </c>
      <c r="I6" s="9">
        <f>VLOOKUP($A6,'RES installed'!$A$2:$C$7,3,FALSE)*'[1]Profiles, RES, Spring'!I$7</f>
        <v>2.7498996386993175</v>
      </c>
      <c r="J6" s="9">
        <f>VLOOKUP($A6,'RES installed'!$A$2:$C$7,3,FALSE)*'[1]Profiles, RES, Spring'!J$7</f>
        <v>2.3163388197511039</v>
      </c>
      <c r="K6" s="9">
        <f>VLOOKUP($A6,'RES installed'!$A$2:$C$7,3,FALSE)*'[1]Profiles, RES, Spring'!K$7</f>
        <v>2.5170614211160176</v>
      </c>
      <c r="L6" s="9">
        <f>VLOOKUP($A6,'RES installed'!$A$2:$C$7,3,FALSE)*'[1]Profiles, RES, Spring'!L$7</f>
        <v>2.9747089522280206</v>
      </c>
      <c r="M6" s="9">
        <f>VLOOKUP($A6,'RES installed'!$A$2:$C$7,3,FALSE)*'[1]Profiles, RES, Spring'!M$7</f>
        <v>2.9425933360096348</v>
      </c>
      <c r="N6" s="9">
        <f>VLOOKUP($A6,'RES installed'!$A$2:$C$7,3,FALSE)*'[1]Profiles, RES, Spring'!N$7</f>
        <v>3.3801686069851469</v>
      </c>
      <c r="O6" s="9">
        <f>VLOOKUP($A6,'RES installed'!$A$2:$C$7,3,FALSE)*'[1]Profiles, RES, Spring'!O$7</f>
        <v>4.3115214773183457</v>
      </c>
      <c r="P6" s="9">
        <f>VLOOKUP($A6,'RES installed'!$A$2:$C$7,3,FALSE)*'[1]Profiles, RES, Spring'!P$7</f>
        <v>5.0341228422320352</v>
      </c>
      <c r="Q6" s="9">
        <f>VLOOKUP($A6,'RES installed'!$A$2:$C$7,3,FALSE)*'[1]Profiles, RES, Spring'!Q$7</f>
        <v>5.6724207145724606</v>
      </c>
      <c r="R6" s="9">
        <f>VLOOKUP($A6,'RES installed'!$A$2:$C$7,3,FALSE)*'[1]Profiles, RES, Spring'!R$7</f>
        <v>6.3749498193496592</v>
      </c>
      <c r="S6" s="9">
        <f>VLOOKUP($A6,'RES installed'!$A$2:$C$7,3,FALSE)*'[1]Profiles, RES, Spring'!S$7</f>
        <v>6.6358892011240469</v>
      </c>
      <c r="T6" s="9">
        <f>VLOOKUP($A6,'RES installed'!$A$2:$C$7,3,FALSE)*'[1]Profiles, RES, Spring'!T$7</f>
        <v>6.6399036531513449</v>
      </c>
      <c r="U6" s="9">
        <f>VLOOKUP($A6,'RES installed'!$A$2:$C$7,3,FALSE)*'[1]Profiles, RES, Spring'!U$7</f>
        <v>5.9373745483741471</v>
      </c>
      <c r="V6" s="9">
        <f>VLOOKUP($A6,'RES installed'!$A$2:$C$7,3,FALSE)*'[1]Profiles, RES, Spring'!V$7</f>
        <v>5.6684062625451626</v>
      </c>
      <c r="W6" s="9">
        <f>VLOOKUP($A6,'RES installed'!$A$2:$C$7,3,FALSE)*'[1]Profiles, RES, Spring'!W$7</f>
        <v>5.6362906463267759</v>
      </c>
      <c r="X6" s="9">
        <f>VLOOKUP($A6,'RES installed'!$A$2:$C$7,3,FALSE)*'[1]Profiles, RES, Spring'!X$7</f>
        <v>5.728623042954637</v>
      </c>
      <c r="Y6" s="9">
        <f>VLOOKUP($A6,'RES installed'!$A$2:$C$7,3,FALSE)*'[1]Profiles, RES, Spring'!Y$7</f>
        <v>6.1862705740666399</v>
      </c>
    </row>
    <row r="7" spans="1:25" x14ac:dyDescent="0.3">
      <c r="A7" s="8">
        <v>6</v>
      </c>
      <c r="B7" s="9">
        <f>VLOOKUP($A7,'RES installed'!$A$2:$C$7,3,FALSE)*'[1]Profiles, RES, Spring'!B$7</f>
        <v>7.4307507025291049</v>
      </c>
      <c r="C7" s="9">
        <f>VLOOKUP($A7,'RES installed'!$A$2:$C$7,3,FALSE)*'[1]Profiles, RES, Spring'!C$7</f>
        <v>7.0453633079084703</v>
      </c>
      <c r="D7" s="9">
        <f>VLOOKUP($A7,'RES installed'!$A$2:$C$7,3,FALSE)*'[1]Profiles, RES, Spring'!D$7</f>
        <v>6.8526696105981539</v>
      </c>
      <c r="E7" s="9">
        <f>VLOOKUP($A7,'RES installed'!$A$2:$C$7,3,FALSE)*'[1]Profiles, RES, Spring'!E$7</f>
        <v>7.2139702930549978</v>
      </c>
      <c r="F7" s="9">
        <f>VLOOKUP($A7,'RES installed'!$A$2:$C$7,3,FALSE)*'[1]Profiles, RES, Spring'!F$7</f>
        <v>7.2320353271778401</v>
      </c>
      <c r="G7" s="9">
        <f>VLOOKUP($A7,'RES installed'!$A$2:$C$7,3,FALSE)*'[1]Profiles, RES, Spring'!G$7</f>
        <v>6.4311521477318347</v>
      </c>
      <c r="H7" s="9">
        <f>VLOOKUP($A7,'RES installed'!$A$2:$C$7,3,FALSE)*'[1]Profiles, RES, Spring'!H$7</f>
        <v>5.4737053392211967</v>
      </c>
      <c r="I7" s="9">
        <f>VLOOKUP($A7,'RES installed'!$A$2:$C$7,3,FALSE)*'[1]Profiles, RES, Spring'!I$7</f>
        <v>4.1248494580489758</v>
      </c>
      <c r="J7" s="9">
        <f>VLOOKUP($A7,'RES installed'!$A$2:$C$7,3,FALSE)*'[1]Profiles, RES, Spring'!J$7</f>
        <v>3.4745082296266561</v>
      </c>
      <c r="K7" s="9">
        <f>VLOOKUP($A7,'RES installed'!$A$2:$C$7,3,FALSE)*'[1]Profiles, RES, Spring'!K$7</f>
        <v>3.7755921316740264</v>
      </c>
      <c r="L7" s="9">
        <f>VLOOKUP($A7,'RES installed'!$A$2:$C$7,3,FALSE)*'[1]Profiles, RES, Spring'!L$7</f>
        <v>4.4620634283420308</v>
      </c>
      <c r="M7" s="9">
        <f>VLOOKUP($A7,'RES installed'!$A$2:$C$7,3,FALSE)*'[1]Profiles, RES, Spring'!M$7</f>
        <v>4.4138900040144522</v>
      </c>
      <c r="N7" s="9">
        <f>VLOOKUP($A7,'RES installed'!$A$2:$C$7,3,FALSE)*'[1]Profiles, RES, Spring'!N$7</f>
        <v>5.0702529104777199</v>
      </c>
      <c r="O7" s="9">
        <f>VLOOKUP($A7,'RES installed'!$A$2:$C$7,3,FALSE)*'[1]Profiles, RES, Spring'!O$7</f>
        <v>6.4672822159775185</v>
      </c>
      <c r="P7" s="9">
        <f>VLOOKUP($A7,'RES installed'!$A$2:$C$7,3,FALSE)*'[1]Profiles, RES, Spring'!P$7</f>
        <v>7.5511842633480528</v>
      </c>
      <c r="Q7" s="9">
        <f>VLOOKUP($A7,'RES installed'!$A$2:$C$7,3,FALSE)*'[1]Profiles, RES, Spring'!Q$7</f>
        <v>8.5086310718586908</v>
      </c>
      <c r="R7" s="9">
        <f>VLOOKUP($A7,'RES installed'!$A$2:$C$7,3,FALSE)*'[1]Profiles, RES, Spring'!R$7</f>
        <v>9.5624247290244888</v>
      </c>
      <c r="S7" s="9">
        <f>VLOOKUP($A7,'RES installed'!$A$2:$C$7,3,FALSE)*'[1]Profiles, RES, Spring'!S$7</f>
        <v>9.9538338016860699</v>
      </c>
      <c r="T7" s="9">
        <f>VLOOKUP($A7,'RES installed'!$A$2:$C$7,3,FALSE)*'[1]Profiles, RES, Spring'!T$7</f>
        <v>9.9598554797270165</v>
      </c>
      <c r="U7" s="9">
        <f>VLOOKUP($A7,'RES installed'!$A$2:$C$7,3,FALSE)*'[1]Profiles, RES, Spring'!U$7</f>
        <v>8.9060618225612203</v>
      </c>
      <c r="V7" s="9">
        <f>VLOOKUP($A7,'RES installed'!$A$2:$C$7,3,FALSE)*'[1]Profiles, RES, Spring'!V$7</f>
        <v>8.5026093938177443</v>
      </c>
      <c r="W7" s="9">
        <f>VLOOKUP($A7,'RES installed'!$A$2:$C$7,3,FALSE)*'[1]Profiles, RES, Spring'!W$7</f>
        <v>8.454435969490163</v>
      </c>
      <c r="X7" s="9">
        <f>VLOOKUP($A7,'RES installed'!$A$2:$C$7,3,FALSE)*'[1]Profiles, RES, Spring'!X$7</f>
        <v>8.592934564431955</v>
      </c>
      <c r="Y7" s="9">
        <f>VLOOKUP($A7,'RES installed'!$A$2:$C$7,3,FALSE)*'[1]Profiles, RES, Spring'!Y$7</f>
        <v>9.2794058610999599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0.32979529946929492</v>
      </c>
      <c r="H8" s="6">
        <f>VLOOKUP($A8,'RES installed'!$A$2:$C$7,3,FALSE)*'[1]Profiles, RES, Spring'!H$4</f>
        <v>3.161485974222896</v>
      </c>
      <c r="I8" s="6">
        <f>VLOOKUP($A8,'RES installed'!$A$2:$C$7,3,FALSE)*'[1]Profiles, RES, Spring'!I$4</f>
        <v>8.7793783169067474</v>
      </c>
      <c r="J8" s="6">
        <f>VLOOKUP($A8,'RES installed'!$A$2:$C$7,3,FALSE)*'[1]Profiles, RES, Spring'!J$4</f>
        <v>14.09021986353298</v>
      </c>
      <c r="K8" s="6">
        <f>VLOOKUP($A8,'RES installed'!$A$2:$C$7,3,FALSE)*'[1]Profiles, RES, Spring'!K$4</f>
        <v>16.705837755875663</v>
      </c>
      <c r="L8" s="6">
        <f>VLOOKUP($A8,'RES installed'!$A$2:$C$7,3,FALSE)*'[1]Profiles, RES, Spring'!L$4</f>
        <v>18.468536770280515</v>
      </c>
      <c r="M8" s="6">
        <f>VLOOKUP($A8,'RES installed'!$A$2:$C$7,3,FALSE)*'[1]Profiles, RES, Spring'!M$4</f>
        <v>20.538286580742987</v>
      </c>
      <c r="N8" s="6">
        <f>VLOOKUP($A8,'RES installed'!$A$2:$C$7,3,FALSE)*'[1]Profiles, RES, Spring'!N$4</f>
        <v>20.049279757391961</v>
      </c>
      <c r="O8" s="6">
        <f>VLOOKUP($A8,'RES installed'!$A$2:$C$7,3,FALSE)*'[1]Profiles, RES, Spring'!O$4</f>
        <v>19.946929492039423</v>
      </c>
      <c r="P8" s="6">
        <f>VLOOKUP($A8,'RES installed'!$A$2:$C$7,3,FALSE)*'[1]Profiles, RES, Spring'!P$4</f>
        <v>20.083396512509477</v>
      </c>
      <c r="Q8" s="6">
        <f>VLOOKUP($A8,'RES installed'!$A$2:$C$7,3,FALSE)*'[1]Profiles, RES, Spring'!Q$4</f>
        <v>18.559514783927217</v>
      </c>
      <c r="R8" s="6">
        <f>VLOOKUP($A8,'RES installed'!$A$2:$C$7,3,FALSE)*'[1]Profiles, RES, Spring'!R$4</f>
        <v>15.090978013646701</v>
      </c>
      <c r="S8" s="6">
        <f>VLOOKUP($A8,'RES installed'!$A$2:$C$7,3,FALSE)*'[1]Profiles, RES, Spring'!S$4</f>
        <v>9.8938589840788485</v>
      </c>
      <c r="T8" s="6">
        <f>VLOOKUP($A8,'RES installed'!$A$2:$C$7,3,FALSE)*'[1]Profiles, RES, Spring'!T$4</f>
        <v>3.5140257771038668</v>
      </c>
      <c r="U8" s="6">
        <f>VLOOKUP($A8,'RES installed'!$A$2:$C$7,3,FALSE)*'[1]Profiles, RES, Spring'!U$4</f>
        <v>0.3639120545868082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0.10993176648976498</v>
      </c>
      <c r="H9" s="6">
        <f>VLOOKUP($A9,'RES installed'!$A$2:$C$7,3,FALSE)*'[1]Profiles, RES, Spring'!H$4</f>
        <v>1.0538286580742986</v>
      </c>
      <c r="I9" s="6">
        <f>VLOOKUP($A9,'RES installed'!$A$2:$C$7,3,FALSE)*'[1]Profiles, RES, Spring'!I$4</f>
        <v>2.9264594389689158</v>
      </c>
      <c r="J9" s="6">
        <f>VLOOKUP($A9,'RES installed'!$A$2:$C$7,3,FALSE)*'[1]Profiles, RES, Spring'!J$4</f>
        <v>4.6967399545109938</v>
      </c>
      <c r="K9" s="6">
        <f>VLOOKUP($A9,'RES installed'!$A$2:$C$7,3,FALSE)*'[1]Profiles, RES, Spring'!K$4</f>
        <v>5.5686125852918877</v>
      </c>
      <c r="L9" s="6">
        <f>VLOOKUP($A9,'RES installed'!$A$2:$C$7,3,FALSE)*'[1]Profiles, RES, Spring'!L$4</f>
        <v>6.1561789234268378</v>
      </c>
      <c r="M9" s="6">
        <f>VLOOKUP($A9,'RES installed'!$A$2:$C$7,3,FALSE)*'[1]Profiles, RES, Spring'!M$4</f>
        <v>6.8460955269143291</v>
      </c>
      <c r="N9" s="6">
        <f>VLOOKUP($A9,'RES installed'!$A$2:$C$7,3,FALSE)*'[1]Profiles, RES, Spring'!N$4</f>
        <v>6.683093252463987</v>
      </c>
      <c r="O9" s="6">
        <f>VLOOKUP($A9,'RES installed'!$A$2:$C$7,3,FALSE)*'[1]Profiles, RES, Spring'!O$4</f>
        <v>6.6489764973464744</v>
      </c>
      <c r="P9" s="6">
        <f>VLOOKUP($A9,'RES installed'!$A$2:$C$7,3,FALSE)*'[1]Profiles, RES, Spring'!P$4</f>
        <v>6.6944655041698251</v>
      </c>
      <c r="Q9" s="6">
        <f>VLOOKUP($A9,'RES installed'!$A$2:$C$7,3,FALSE)*'[1]Profiles, RES, Spring'!Q$4</f>
        <v>6.1865049279757391</v>
      </c>
      <c r="R9" s="6">
        <f>VLOOKUP($A9,'RES installed'!$A$2:$C$7,3,FALSE)*'[1]Profiles, RES, Spring'!R$4</f>
        <v>5.0303260045489004</v>
      </c>
      <c r="S9" s="6">
        <f>VLOOKUP($A9,'RES installed'!$A$2:$C$7,3,FALSE)*'[1]Profiles, RES, Spring'!S$4</f>
        <v>3.2979529946929493</v>
      </c>
      <c r="T9" s="6">
        <f>VLOOKUP($A9,'RES installed'!$A$2:$C$7,3,FALSE)*'[1]Profiles, RES, Spring'!T$4</f>
        <v>1.1713419257012889</v>
      </c>
      <c r="U9" s="6">
        <f>VLOOKUP($A9,'RES installed'!$A$2:$C$7,3,FALSE)*'[1]Profiles, RES, Spring'!U$4</f>
        <v>0.12130401819560273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0.21986353297952996</v>
      </c>
      <c r="H10" s="6">
        <f>VLOOKUP($A10,'RES installed'!$A$2:$C$7,3,FALSE)*'[1]Profiles, RES, Spring'!H$4</f>
        <v>2.1076573161485972</v>
      </c>
      <c r="I10" s="6">
        <f>VLOOKUP($A10,'RES installed'!$A$2:$C$7,3,FALSE)*'[1]Profiles, RES, Spring'!I$4</f>
        <v>5.8529188779378316</v>
      </c>
      <c r="J10" s="6">
        <f>VLOOKUP($A10,'RES installed'!$A$2:$C$7,3,FALSE)*'[1]Profiles, RES, Spring'!J$4</f>
        <v>9.3934799090219876</v>
      </c>
      <c r="K10" s="6">
        <f>VLOOKUP($A10,'RES installed'!$A$2:$C$7,3,FALSE)*'[1]Profiles, RES, Spring'!K$4</f>
        <v>11.137225170583775</v>
      </c>
      <c r="L10" s="6">
        <f>VLOOKUP($A10,'RES installed'!$A$2:$C$7,3,FALSE)*'[1]Profiles, RES, Spring'!L$4</f>
        <v>12.312357846853676</v>
      </c>
      <c r="M10" s="6">
        <f>VLOOKUP($A10,'RES installed'!$A$2:$C$7,3,FALSE)*'[1]Profiles, RES, Spring'!M$4</f>
        <v>13.692191053828658</v>
      </c>
      <c r="N10" s="6">
        <f>VLOOKUP($A10,'RES installed'!$A$2:$C$7,3,FALSE)*'[1]Profiles, RES, Spring'!N$4</f>
        <v>13.366186504927974</v>
      </c>
      <c r="O10" s="6">
        <f>VLOOKUP($A10,'RES installed'!$A$2:$C$7,3,FALSE)*'[1]Profiles, RES, Spring'!O$4</f>
        <v>13.297952994692949</v>
      </c>
      <c r="P10" s="6">
        <f>VLOOKUP($A10,'RES installed'!$A$2:$C$7,3,FALSE)*'[1]Profiles, RES, Spring'!P$4</f>
        <v>13.38893100833965</v>
      </c>
      <c r="Q10" s="6">
        <f>VLOOKUP($A10,'RES installed'!$A$2:$C$7,3,FALSE)*'[1]Profiles, RES, Spring'!Q$4</f>
        <v>12.373009855951478</v>
      </c>
      <c r="R10" s="6">
        <f>VLOOKUP($A10,'RES installed'!$A$2:$C$7,3,FALSE)*'[1]Profiles, RES, Spring'!R$4</f>
        <v>10.060652009097801</v>
      </c>
      <c r="S10" s="6">
        <f>VLOOKUP($A10,'RES installed'!$A$2:$C$7,3,FALSE)*'[1]Profiles, RES, Spring'!S$4</f>
        <v>6.5959059893858987</v>
      </c>
      <c r="T10" s="6">
        <f>VLOOKUP($A10,'RES installed'!$A$2:$C$7,3,FALSE)*'[1]Profiles, RES, Spring'!T$4</f>
        <v>2.3426838514025778</v>
      </c>
      <c r="U10" s="6">
        <f>VLOOKUP($A10,'RES installed'!$A$2:$C$7,3,FALSE)*'[1]Profiles, RES, Spring'!U$4</f>
        <v>0.24260803639120546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B5C99-6CFD-4194-9CB5-EC46C97B209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7.743877960658371</v>
      </c>
      <c r="C5" s="9">
        <f>VLOOKUP($A5,'RES installed'!$A$2:$C$7,3,FALSE)*'[1]Profiles, RES, Spring'!C$5</f>
        <v>7.189883580891208</v>
      </c>
      <c r="D5" s="9">
        <f>VLOOKUP($A5,'RES installed'!$A$2:$C$7,3,FALSE)*'[1]Profiles, RES, Spring'!D$5</f>
        <v>7.2260136491368927</v>
      </c>
      <c r="E5" s="9">
        <f>VLOOKUP($A5,'RES installed'!$A$2:$C$7,3,FALSE)*'[1]Profiles, RES, Spring'!E$5</f>
        <v>6.9369731031714172</v>
      </c>
      <c r="F5" s="9">
        <f>VLOOKUP($A5,'RES installed'!$A$2:$C$7,3,FALSE)*'[1]Profiles, RES, Spring'!F$5</f>
        <v>6.8707346447209954</v>
      </c>
      <c r="G5" s="9">
        <f>VLOOKUP($A5,'RES installed'!$A$2:$C$7,3,FALSE)*'[1]Profiles, RES, Spring'!G$5</f>
        <v>6.9911682055399433</v>
      </c>
      <c r="H5" s="9">
        <f>VLOOKUP($A5,'RES installed'!$A$2:$C$7,3,FALSE)*'[1]Profiles, RES, Spring'!H$5</f>
        <v>6.2745885186672021</v>
      </c>
      <c r="I5" s="9">
        <f>VLOOKUP($A5,'RES installed'!$A$2:$C$7,3,FALSE)*'[1]Profiles, RES, Spring'!I$5</f>
        <v>5.0341228422320352</v>
      </c>
      <c r="J5" s="9">
        <f>VLOOKUP($A5,'RES installed'!$A$2:$C$7,3,FALSE)*'[1]Profiles, RES, Spring'!J$5</f>
        <v>3.9682858289843437</v>
      </c>
      <c r="K5" s="9">
        <f>VLOOKUP($A5,'RES installed'!$A$2:$C$7,3,FALSE)*'[1]Profiles, RES, Spring'!K$5</f>
        <v>2.9987956643918108</v>
      </c>
      <c r="L5" s="9">
        <f>VLOOKUP($A5,'RES installed'!$A$2:$C$7,3,FALSE)*'[1]Profiles, RES, Spring'!L$5</f>
        <v>2.8482537133681252</v>
      </c>
      <c r="M5" s="9">
        <f>VLOOKUP($A5,'RES installed'!$A$2:$C$7,3,FALSE)*'[1]Profiles, RES, Spring'!M$5</f>
        <v>3.4684865515857086</v>
      </c>
      <c r="N5" s="9">
        <f>VLOOKUP($A5,'RES installed'!$A$2:$C$7,3,FALSE)*'[1]Profiles, RES, Spring'!N$5</f>
        <v>4.5824969891609797</v>
      </c>
      <c r="O5" s="9">
        <f>VLOOKUP($A5,'RES installed'!$A$2:$C$7,3,FALSE)*'[1]Profiles, RES, Spring'!O$5</f>
        <v>6.3348052990766766</v>
      </c>
      <c r="P5" s="9">
        <f>VLOOKUP($A5,'RES installed'!$A$2:$C$7,3,FALSE)*'[1]Profiles, RES, Spring'!P$5</f>
        <v>8.2677639502207949</v>
      </c>
      <c r="Q5" s="9">
        <f>VLOOKUP($A5,'RES installed'!$A$2:$C$7,3,FALSE)*'[1]Profiles, RES, Spring'!Q$5</f>
        <v>10.315134484142915</v>
      </c>
      <c r="R5" s="9">
        <f>VLOOKUP($A5,'RES installed'!$A$2:$C$7,3,FALSE)*'[1]Profiles, RES, Spring'!R$5</f>
        <v>12.844239261340828</v>
      </c>
      <c r="S5" s="9">
        <f>VLOOKUP($A5,'RES installed'!$A$2:$C$7,3,FALSE)*'[1]Profiles, RES, Spring'!S$5</f>
        <v>14.259333600963469</v>
      </c>
      <c r="T5" s="9">
        <f>VLOOKUP($A5,'RES installed'!$A$2:$C$7,3,FALSE)*'[1]Profiles, RES, Spring'!T$5</f>
        <v>14.307507025291049</v>
      </c>
      <c r="U5" s="9">
        <f>VLOOKUP($A5,'RES installed'!$A$2:$C$7,3,FALSE)*'[1]Profiles, RES, Spring'!U$5</f>
        <v>13.934162986752309</v>
      </c>
      <c r="V5" s="9">
        <f>VLOOKUP($A5,'RES installed'!$A$2:$C$7,3,FALSE)*'[1]Profiles, RES, Spring'!V$5</f>
        <v>12.633480529907667</v>
      </c>
      <c r="W5" s="9">
        <f>VLOOKUP($A5,'RES installed'!$A$2:$C$7,3,FALSE)*'[1]Profiles, RES, Spring'!W$5</f>
        <v>11.67603372139703</v>
      </c>
      <c r="X5" s="9">
        <f>VLOOKUP($A5,'RES installed'!$A$2:$C$7,3,FALSE)*'[1]Profiles, RES, Spring'!X$5</f>
        <v>11.657968687274188</v>
      </c>
      <c r="Y5" s="9">
        <f>VLOOKUP($A5,'RES installed'!$A$2:$C$7,3,FALSE)*'[1]Profiles, RES, Spring'!Y$5</f>
        <v>11.055800883179446</v>
      </c>
    </row>
    <row r="6" spans="1:25" x14ac:dyDescent="0.3">
      <c r="A6" s="8">
        <v>5</v>
      </c>
      <c r="B6" s="9">
        <f>VLOOKUP($A6,'RES installed'!$A$2:$C$7,3,FALSE)*'[1]Profiles, RES, Spring'!B$5</f>
        <v>5.1625853071055801</v>
      </c>
      <c r="C6" s="9">
        <f>VLOOKUP($A6,'RES installed'!$A$2:$C$7,3,FALSE)*'[1]Profiles, RES, Spring'!C$5</f>
        <v>4.7932557205941393</v>
      </c>
      <c r="D6" s="9">
        <f>VLOOKUP($A6,'RES installed'!$A$2:$C$7,3,FALSE)*'[1]Profiles, RES, Spring'!D$5</f>
        <v>4.8173424327579282</v>
      </c>
      <c r="E6" s="9">
        <f>VLOOKUP($A6,'RES installed'!$A$2:$C$7,3,FALSE)*'[1]Profiles, RES, Spring'!E$5</f>
        <v>4.6246487354476109</v>
      </c>
      <c r="F6" s="9">
        <f>VLOOKUP($A6,'RES installed'!$A$2:$C$7,3,FALSE)*'[1]Profiles, RES, Spring'!F$5</f>
        <v>4.5804897631473303</v>
      </c>
      <c r="G6" s="9">
        <f>VLOOKUP($A6,'RES installed'!$A$2:$C$7,3,FALSE)*'[1]Profiles, RES, Spring'!G$5</f>
        <v>4.6607788036932956</v>
      </c>
      <c r="H6" s="9">
        <f>VLOOKUP($A6,'RES installed'!$A$2:$C$7,3,FALSE)*'[1]Profiles, RES, Spring'!H$5</f>
        <v>4.1830590124448017</v>
      </c>
      <c r="I6" s="9">
        <f>VLOOKUP($A6,'RES installed'!$A$2:$C$7,3,FALSE)*'[1]Profiles, RES, Spring'!I$5</f>
        <v>3.3560818948213567</v>
      </c>
      <c r="J6" s="9">
        <f>VLOOKUP($A6,'RES installed'!$A$2:$C$7,3,FALSE)*'[1]Profiles, RES, Spring'!J$5</f>
        <v>2.6455238859895625</v>
      </c>
      <c r="K6" s="9">
        <f>VLOOKUP($A6,'RES installed'!$A$2:$C$7,3,FALSE)*'[1]Profiles, RES, Spring'!K$5</f>
        <v>1.9991971095945404</v>
      </c>
      <c r="L6" s="9">
        <f>VLOOKUP($A6,'RES installed'!$A$2:$C$7,3,FALSE)*'[1]Profiles, RES, Spring'!L$5</f>
        <v>1.8988358089120836</v>
      </c>
      <c r="M6" s="9">
        <f>VLOOKUP($A6,'RES installed'!$A$2:$C$7,3,FALSE)*'[1]Profiles, RES, Spring'!M$5</f>
        <v>2.3123243677238055</v>
      </c>
      <c r="N6" s="9">
        <f>VLOOKUP($A6,'RES installed'!$A$2:$C$7,3,FALSE)*'[1]Profiles, RES, Spring'!N$5</f>
        <v>3.0549979927739863</v>
      </c>
      <c r="O6" s="9">
        <f>VLOOKUP($A6,'RES installed'!$A$2:$C$7,3,FALSE)*'[1]Profiles, RES, Spring'!O$5</f>
        <v>4.2232035327177844</v>
      </c>
      <c r="P6" s="9">
        <f>VLOOKUP($A6,'RES installed'!$A$2:$C$7,3,FALSE)*'[1]Profiles, RES, Spring'!P$5</f>
        <v>5.5118426334805299</v>
      </c>
      <c r="Q6" s="9">
        <f>VLOOKUP($A6,'RES installed'!$A$2:$C$7,3,FALSE)*'[1]Profiles, RES, Spring'!Q$5</f>
        <v>6.8767563227619437</v>
      </c>
      <c r="R6" s="9">
        <f>VLOOKUP($A6,'RES installed'!$A$2:$C$7,3,FALSE)*'[1]Profiles, RES, Spring'!R$5</f>
        <v>8.5628261742272187</v>
      </c>
      <c r="S6" s="9">
        <f>VLOOKUP($A6,'RES installed'!$A$2:$C$7,3,FALSE)*'[1]Profiles, RES, Spring'!S$5</f>
        <v>9.5062224006423115</v>
      </c>
      <c r="T6" s="9">
        <f>VLOOKUP($A6,'RES installed'!$A$2:$C$7,3,FALSE)*'[1]Profiles, RES, Spring'!T$5</f>
        <v>9.538338016860699</v>
      </c>
      <c r="U6" s="9">
        <f>VLOOKUP($A6,'RES installed'!$A$2:$C$7,3,FALSE)*'[1]Profiles, RES, Spring'!U$5</f>
        <v>9.2894419911682053</v>
      </c>
      <c r="V6" s="9">
        <f>VLOOKUP($A6,'RES installed'!$A$2:$C$7,3,FALSE)*'[1]Profiles, RES, Spring'!V$5</f>
        <v>8.422320353271779</v>
      </c>
      <c r="W6" s="9">
        <f>VLOOKUP($A6,'RES installed'!$A$2:$C$7,3,FALSE)*'[1]Profiles, RES, Spring'!W$5</f>
        <v>7.7840224809313527</v>
      </c>
      <c r="X6" s="9">
        <f>VLOOKUP($A6,'RES installed'!$A$2:$C$7,3,FALSE)*'[1]Profiles, RES, Spring'!X$5</f>
        <v>7.7719791248494587</v>
      </c>
      <c r="Y6" s="9">
        <f>VLOOKUP($A6,'RES installed'!$A$2:$C$7,3,FALSE)*'[1]Profiles, RES, Spring'!Y$5</f>
        <v>7.3705339221196304</v>
      </c>
    </row>
    <row r="7" spans="1:25" x14ac:dyDescent="0.3">
      <c r="A7" s="8">
        <v>6</v>
      </c>
      <c r="B7" s="9">
        <f>VLOOKUP($A7,'RES installed'!$A$2:$C$7,3,FALSE)*'[1]Profiles, RES, Spring'!B$5</f>
        <v>7.743877960658371</v>
      </c>
      <c r="C7" s="9">
        <f>VLOOKUP($A7,'RES installed'!$A$2:$C$7,3,FALSE)*'[1]Profiles, RES, Spring'!C$5</f>
        <v>7.189883580891208</v>
      </c>
      <c r="D7" s="9">
        <f>VLOOKUP($A7,'RES installed'!$A$2:$C$7,3,FALSE)*'[1]Profiles, RES, Spring'!D$5</f>
        <v>7.2260136491368927</v>
      </c>
      <c r="E7" s="9">
        <f>VLOOKUP($A7,'RES installed'!$A$2:$C$7,3,FALSE)*'[1]Profiles, RES, Spring'!E$5</f>
        <v>6.9369731031714172</v>
      </c>
      <c r="F7" s="9">
        <f>VLOOKUP($A7,'RES installed'!$A$2:$C$7,3,FALSE)*'[1]Profiles, RES, Spring'!F$5</f>
        <v>6.8707346447209954</v>
      </c>
      <c r="G7" s="9">
        <f>VLOOKUP($A7,'RES installed'!$A$2:$C$7,3,FALSE)*'[1]Profiles, RES, Spring'!G$5</f>
        <v>6.9911682055399433</v>
      </c>
      <c r="H7" s="9">
        <f>VLOOKUP($A7,'RES installed'!$A$2:$C$7,3,FALSE)*'[1]Profiles, RES, Spring'!H$5</f>
        <v>6.2745885186672021</v>
      </c>
      <c r="I7" s="9">
        <f>VLOOKUP($A7,'RES installed'!$A$2:$C$7,3,FALSE)*'[1]Profiles, RES, Spring'!I$5</f>
        <v>5.0341228422320352</v>
      </c>
      <c r="J7" s="9">
        <f>VLOOKUP($A7,'RES installed'!$A$2:$C$7,3,FALSE)*'[1]Profiles, RES, Spring'!J$5</f>
        <v>3.9682858289843437</v>
      </c>
      <c r="K7" s="9">
        <f>VLOOKUP($A7,'RES installed'!$A$2:$C$7,3,FALSE)*'[1]Profiles, RES, Spring'!K$5</f>
        <v>2.9987956643918108</v>
      </c>
      <c r="L7" s="9">
        <f>VLOOKUP($A7,'RES installed'!$A$2:$C$7,3,FALSE)*'[1]Profiles, RES, Spring'!L$5</f>
        <v>2.8482537133681252</v>
      </c>
      <c r="M7" s="9">
        <f>VLOOKUP($A7,'RES installed'!$A$2:$C$7,3,FALSE)*'[1]Profiles, RES, Spring'!M$5</f>
        <v>3.4684865515857086</v>
      </c>
      <c r="N7" s="9">
        <f>VLOOKUP($A7,'RES installed'!$A$2:$C$7,3,FALSE)*'[1]Profiles, RES, Spring'!N$5</f>
        <v>4.5824969891609797</v>
      </c>
      <c r="O7" s="9">
        <f>VLOOKUP($A7,'RES installed'!$A$2:$C$7,3,FALSE)*'[1]Profiles, RES, Spring'!O$5</f>
        <v>6.3348052990766766</v>
      </c>
      <c r="P7" s="9">
        <f>VLOOKUP($A7,'RES installed'!$A$2:$C$7,3,FALSE)*'[1]Profiles, RES, Spring'!P$5</f>
        <v>8.2677639502207949</v>
      </c>
      <c r="Q7" s="9">
        <f>VLOOKUP($A7,'RES installed'!$A$2:$C$7,3,FALSE)*'[1]Profiles, RES, Spring'!Q$5</f>
        <v>10.315134484142915</v>
      </c>
      <c r="R7" s="9">
        <f>VLOOKUP($A7,'RES installed'!$A$2:$C$7,3,FALSE)*'[1]Profiles, RES, Spring'!R$5</f>
        <v>12.844239261340828</v>
      </c>
      <c r="S7" s="9">
        <f>VLOOKUP($A7,'RES installed'!$A$2:$C$7,3,FALSE)*'[1]Profiles, RES, Spring'!S$5</f>
        <v>14.259333600963469</v>
      </c>
      <c r="T7" s="9">
        <f>VLOOKUP($A7,'RES installed'!$A$2:$C$7,3,FALSE)*'[1]Profiles, RES, Spring'!T$5</f>
        <v>14.307507025291049</v>
      </c>
      <c r="U7" s="9">
        <f>VLOOKUP($A7,'RES installed'!$A$2:$C$7,3,FALSE)*'[1]Profiles, RES, Spring'!U$5</f>
        <v>13.934162986752309</v>
      </c>
      <c r="V7" s="9">
        <f>VLOOKUP($A7,'RES installed'!$A$2:$C$7,3,FALSE)*'[1]Profiles, RES, Spring'!V$5</f>
        <v>12.633480529907667</v>
      </c>
      <c r="W7" s="9">
        <f>VLOOKUP($A7,'RES installed'!$A$2:$C$7,3,FALSE)*'[1]Profiles, RES, Spring'!W$5</f>
        <v>11.67603372139703</v>
      </c>
      <c r="X7" s="9">
        <f>VLOOKUP($A7,'RES installed'!$A$2:$C$7,3,FALSE)*'[1]Profiles, RES, Spring'!X$5</f>
        <v>11.657968687274188</v>
      </c>
      <c r="Y7" s="9">
        <f>VLOOKUP($A7,'RES installed'!$A$2:$C$7,3,FALSE)*'[1]Profiles, RES, Spring'!Y$5</f>
        <v>11.055800883179446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0.28430629264594387</v>
      </c>
      <c r="H8" s="6">
        <f>VLOOKUP($A8,'RES installed'!$A$2:$C$7,3,FALSE)*'[1]Profiles, RES, Spring'!H$2</f>
        <v>2.8544351781652768</v>
      </c>
      <c r="I8" s="6">
        <f>VLOOKUP($A8,'RES installed'!$A$2:$C$7,3,FALSE)*'[1]Profiles, RES, Spring'!I$2</f>
        <v>7.9719484457922665</v>
      </c>
      <c r="J8" s="6">
        <f>VLOOKUP($A8,'RES installed'!$A$2:$C$7,3,FALSE)*'[1]Profiles, RES, Spring'!J$2</f>
        <v>12.31614859742229</v>
      </c>
      <c r="K8" s="6">
        <f>VLOOKUP($A8,'RES installed'!$A$2:$C$7,3,FALSE)*'[1]Profiles, RES, Spring'!K$2</f>
        <v>14.408642911296438</v>
      </c>
      <c r="L8" s="6">
        <f>VLOOKUP($A8,'RES installed'!$A$2:$C$7,3,FALSE)*'[1]Profiles, RES, Spring'!L$2</f>
        <v>16.467020470053072</v>
      </c>
      <c r="M8" s="6">
        <f>VLOOKUP($A8,'RES installed'!$A$2:$C$7,3,FALSE)*'[1]Profiles, RES, Spring'!M$2</f>
        <v>17.354056103108416</v>
      </c>
      <c r="N8" s="6">
        <f>VLOOKUP($A8,'RES installed'!$A$2:$C$7,3,FALSE)*'[1]Profiles, RES, Spring'!N$2</f>
        <v>18.718726307808947</v>
      </c>
      <c r="O8" s="6">
        <f>VLOOKUP($A8,'RES installed'!$A$2:$C$7,3,FALSE)*'[1]Profiles, RES, Spring'!O$2</f>
        <v>18.821076573161488</v>
      </c>
      <c r="P8" s="6">
        <f>VLOOKUP($A8,'RES installed'!$A$2:$C$7,3,FALSE)*'[1]Profiles, RES, Spring'!P$2</f>
        <v>18.923426838514025</v>
      </c>
      <c r="Q8" s="6">
        <f>VLOOKUP($A8,'RES installed'!$A$2:$C$7,3,FALSE)*'[1]Profiles, RES, Spring'!Q$2</f>
        <v>17.308567096285064</v>
      </c>
      <c r="R8" s="6">
        <f>VLOOKUP($A8,'RES installed'!$A$2:$C$7,3,FALSE)*'[1]Profiles, RES, Spring'!R$2</f>
        <v>13.771796815769523</v>
      </c>
      <c r="S8" s="6">
        <f>VLOOKUP($A8,'RES installed'!$A$2:$C$7,3,FALSE)*'[1]Profiles, RES, Spring'!S$2</f>
        <v>9.0750568612585294</v>
      </c>
      <c r="T8" s="6">
        <f>VLOOKUP($A8,'RES installed'!$A$2:$C$7,3,FALSE)*'[1]Profiles, RES, Spring'!T$2</f>
        <v>3.3434420015163004</v>
      </c>
      <c r="U8" s="6">
        <f>VLOOKUP($A8,'RES installed'!$A$2:$C$7,3,FALSE)*'[1]Profiles, RES, Spring'!U$2</f>
        <v>0.29567854435178165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9.4768764215314633E-2</v>
      </c>
      <c r="H9" s="6">
        <f>VLOOKUP($A9,'RES installed'!$A$2:$C$7,3,FALSE)*'[1]Profiles, RES, Spring'!H$2</f>
        <v>0.95147839272175894</v>
      </c>
      <c r="I9" s="6">
        <f>VLOOKUP($A9,'RES installed'!$A$2:$C$7,3,FALSE)*'[1]Profiles, RES, Spring'!I$2</f>
        <v>2.6573161485974222</v>
      </c>
      <c r="J9" s="6">
        <f>VLOOKUP($A9,'RES installed'!$A$2:$C$7,3,FALSE)*'[1]Profiles, RES, Spring'!J$2</f>
        <v>4.1053828658074298</v>
      </c>
      <c r="K9" s="6">
        <f>VLOOKUP($A9,'RES installed'!$A$2:$C$7,3,FALSE)*'[1]Profiles, RES, Spring'!K$2</f>
        <v>4.8028809704321453</v>
      </c>
      <c r="L9" s="6">
        <f>VLOOKUP($A9,'RES installed'!$A$2:$C$7,3,FALSE)*'[1]Profiles, RES, Spring'!L$2</f>
        <v>5.4890068233510236</v>
      </c>
      <c r="M9" s="6">
        <f>VLOOKUP($A9,'RES installed'!$A$2:$C$7,3,FALSE)*'[1]Profiles, RES, Spring'!M$2</f>
        <v>5.7846853677028056</v>
      </c>
      <c r="N9" s="6">
        <f>VLOOKUP($A9,'RES installed'!$A$2:$C$7,3,FALSE)*'[1]Profiles, RES, Spring'!N$2</f>
        <v>6.2395754359363149</v>
      </c>
      <c r="O9" s="6">
        <f>VLOOKUP($A9,'RES installed'!$A$2:$C$7,3,FALSE)*'[1]Profiles, RES, Spring'!O$2</f>
        <v>6.2736921910538292</v>
      </c>
      <c r="P9" s="6">
        <f>VLOOKUP($A9,'RES installed'!$A$2:$C$7,3,FALSE)*'[1]Profiles, RES, Spring'!P$2</f>
        <v>6.3078089461713418</v>
      </c>
      <c r="Q9" s="6">
        <f>VLOOKUP($A9,'RES installed'!$A$2:$C$7,3,FALSE)*'[1]Profiles, RES, Spring'!Q$2</f>
        <v>5.7695223654283545</v>
      </c>
      <c r="R9" s="6">
        <f>VLOOKUP($A9,'RES installed'!$A$2:$C$7,3,FALSE)*'[1]Profiles, RES, Spring'!R$2</f>
        <v>4.5905989385898414</v>
      </c>
      <c r="S9" s="6">
        <f>VLOOKUP($A9,'RES installed'!$A$2:$C$7,3,FALSE)*'[1]Profiles, RES, Spring'!S$2</f>
        <v>3.0250189537528431</v>
      </c>
      <c r="T9" s="6">
        <f>VLOOKUP($A9,'RES installed'!$A$2:$C$7,3,FALSE)*'[1]Profiles, RES, Spring'!T$2</f>
        <v>1.1144806671721001</v>
      </c>
      <c r="U9" s="6">
        <f>VLOOKUP($A9,'RES installed'!$A$2:$C$7,3,FALSE)*'[1]Profiles, RES, Spring'!U$2</f>
        <v>9.8559514783927216E-2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0.18953752843062927</v>
      </c>
      <c r="H10" s="6">
        <f>VLOOKUP($A10,'RES installed'!$A$2:$C$7,3,FALSE)*'[1]Profiles, RES, Spring'!H$2</f>
        <v>1.9029567854435179</v>
      </c>
      <c r="I10" s="6">
        <f>VLOOKUP($A10,'RES installed'!$A$2:$C$7,3,FALSE)*'[1]Profiles, RES, Spring'!I$2</f>
        <v>5.3146322971948443</v>
      </c>
      <c r="J10" s="6">
        <f>VLOOKUP($A10,'RES installed'!$A$2:$C$7,3,FALSE)*'[1]Profiles, RES, Spring'!J$2</f>
        <v>8.2107657316148597</v>
      </c>
      <c r="K10" s="6">
        <f>VLOOKUP($A10,'RES installed'!$A$2:$C$7,3,FALSE)*'[1]Profiles, RES, Spring'!K$2</f>
        <v>9.6057619408642907</v>
      </c>
      <c r="L10" s="6">
        <f>VLOOKUP($A10,'RES installed'!$A$2:$C$7,3,FALSE)*'[1]Profiles, RES, Spring'!L$2</f>
        <v>10.978013646702047</v>
      </c>
      <c r="M10" s="6">
        <f>VLOOKUP($A10,'RES installed'!$A$2:$C$7,3,FALSE)*'[1]Profiles, RES, Spring'!M$2</f>
        <v>11.569370735405611</v>
      </c>
      <c r="N10" s="6">
        <f>VLOOKUP($A10,'RES installed'!$A$2:$C$7,3,FALSE)*'[1]Profiles, RES, Spring'!N$2</f>
        <v>12.47915087187263</v>
      </c>
      <c r="O10" s="6">
        <f>VLOOKUP($A10,'RES installed'!$A$2:$C$7,3,FALSE)*'[1]Profiles, RES, Spring'!O$2</f>
        <v>12.547384382107658</v>
      </c>
      <c r="P10" s="6">
        <f>VLOOKUP($A10,'RES installed'!$A$2:$C$7,3,FALSE)*'[1]Profiles, RES, Spring'!P$2</f>
        <v>12.615617892342684</v>
      </c>
      <c r="Q10" s="6">
        <f>VLOOKUP($A10,'RES installed'!$A$2:$C$7,3,FALSE)*'[1]Profiles, RES, Spring'!Q$2</f>
        <v>11.539044730856709</v>
      </c>
      <c r="R10" s="6">
        <f>VLOOKUP($A10,'RES installed'!$A$2:$C$7,3,FALSE)*'[1]Profiles, RES, Spring'!R$2</f>
        <v>9.1811978771796827</v>
      </c>
      <c r="S10" s="6">
        <f>VLOOKUP($A10,'RES installed'!$A$2:$C$7,3,FALSE)*'[1]Profiles, RES, Spring'!S$2</f>
        <v>6.0500379075056863</v>
      </c>
      <c r="T10" s="6">
        <f>VLOOKUP($A10,'RES installed'!$A$2:$C$7,3,FALSE)*'[1]Profiles, RES, Spring'!T$2</f>
        <v>2.2289613343442003</v>
      </c>
      <c r="U10" s="6">
        <f>VLOOKUP($A10,'RES installed'!$A$2:$C$7,3,FALSE)*'[1]Profiles, RES, Spring'!U$2</f>
        <v>0.19711902956785443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F42AE-FA04-479C-87E0-280EEE6608D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10.152549177037335</v>
      </c>
      <c r="C5" s="9">
        <f>VLOOKUP($A5,'RES installed'!$A$2:$C$7,3,FALSE)*'[1]Profiles, RES, Spring'!C$6</f>
        <v>9.2131674026495389</v>
      </c>
      <c r="D5" s="9">
        <f>VLOOKUP($A5,'RES installed'!$A$2:$C$7,3,FALSE)*'[1]Profiles, RES, Spring'!D$6</f>
        <v>8.0389401846647939</v>
      </c>
      <c r="E5" s="9">
        <f>VLOOKUP($A5,'RES installed'!$A$2:$C$7,3,FALSE)*'[1]Profiles, RES, Spring'!E$6</f>
        <v>7.2380570052187876</v>
      </c>
      <c r="F5" s="9">
        <f>VLOOKUP($A5,'RES installed'!$A$2:$C$7,3,FALSE)*'[1]Profiles, RES, Spring'!F$6</f>
        <v>7.0754716981132075</v>
      </c>
      <c r="G5" s="9">
        <f>VLOOKUP($A5,'RES installed'!$A$2:$C$7,3,FALSE)*'[1]Profiles, RES, Spring'!G$6</f>
        <v>7.1537535126455243</v>
      </c>
      <c r="H5" s="9">
        <f>VLOOKUP($A5,'RES installed'!$A$2:$C$7,3,FALSE)*'[1]Profiles, RES, Spring'!H$6</f>
        <v>6.1059815335206746</v>
      </c>
      <c r="I5" s="9">
        <f>VLOOKUP($A5,'RES installed'!$A$2:$C$7,3,FALSE)*'[1]Profiles, RES, Spring'!I$6</f>
        <v>4.5945403452428746</v>
      </c>
      <c r="J5" s="9">
        <f>VLOOKUP($A5,'RES installed'!$A$2:$C$7,3,FALSE)*'[1]Profiles, RES, Spring'!J$6</f>
        <v>4.1850662384584503</v>
      </c>
      <c r="K5" s="9">
        <f>VLOOKUP($A5,'RES installed'!$A$2:$C$7,3,FALSE)*'[1]Profiles, RES, Spring'!K$6</f>
        <v>4.3596949016459252</v>
      </c>
      <c r="L5" s="9">
        <f>VLOOKUP($A5,'RES installed'!$A$2:$C$7,3,FALSE)*'[1]Profiles, RES, Spring'!L$6</f>
        <v>4.88358089120835</v>
      </c>
      <c r="M5" s="9">
        <f>VLOOKUP($A5,'RES installed'!$A$2:$C$7,3,FALSE)*'[1]Profiles, RES, Spring'!M$6</f>
        <v>5.6001605780810921</v>
      </c>
      <c r="N5" s="9">
        <f>VLOOKUP($A5,'RES installed'!$A$2:$C$7,3,FALSE)*'[1]Profiles, RES, Spring'!N$6</f>
        <v>7.2802087515054197</v>
      </c>
      <c r="O5" s="9">
        <f>VLOOKUP($A5,'RES installed'!$A$2:$C$7,3,FALSE)*'[1]Profiles, RES, Spring'!O$6</f>
        <v>9.038538739462064</v>
      </c>
      <c r="P5" s="9">
        <f>VLOOKUP($A5,'RES installed'!$A$2:$C$7,3,FALSE)*'[1]Profiles, RES, Spring'!P$6</f>
        <v>10.266961059815335</v>
      </c>
      <c r="Q5" s="9">
        <f>VLOOKUP($A5,'RES installed'!$A$2:$C$7,3,FALSE)*'[1]Profiles, RES, Spring'!Q$6</f>
        <v>11.296668004817343</v>
      </c>
      <c r="R5" s="9">
        <f>VLOOKUP($A5,'RES installed'!$A$2:$C$7,3,FALSE)*'[1]Profiles, RES, Spring'!R$6</f>
        <v>12.380570052187876</v>
      </c>
      <c r="S5" s="9">
        <f>VLOOKUP($A5,'RES installed'!$A$2:$C$7,3,FALSE)*'[1]Profiles, RES, Spring'!S$6</f>
        <v>11.844640706543556</v>
      </c>
      <c r="T5" s="9">
        <f>VLOOKUP($A5,'RES installed'!$A$2:$C$7,3,FALSE)*'[1]Profiles, RES, Spring'!T$6</f>
        <v>10.477719791248495</v>
      </c>
      <c r="U5" s="9">
        <f>VLOOKUP($A5,'RES installed'!$A$2:$C$7,3,FALSE)*'[1]Profiles, RES, Spring'!U$6</f>
        <v>10.080289040545965</v>
      </c>
      <c r="V5" s="9">
        <f>VLOOKUP($A5,'RES installed'!$A$2:$C$7,3,FALSE)*'[1]Profiles, RES, Spring'!V$6</f>
        <v>9.375752709755119</v>
      </c>
      <c r="W5" s="9">
        <f>VLOOKUP($A5,'RES installed'!$A$2:$C$7,3,FALSE)*'[1]Profiles, RES, Spring'!W$6</f>
        <v>8.8940184664793254</v>
      </c>
      <c r="X5" s="9">
        <f>VLOOKUP($A5,'RES installed'!$A$2:$C$7,3,FALSE)*'[1]Profiles, RES, Spring'!X$6</f>
        <v>8.0630268968285819</v>
      </c>
      <c r="Y5" s="9">
        <f>VLOOKUP($A5,'RES installed'!$A$2:$C$7,3,FALSE)*'[1]Profiles, RES, Spring'!Y$6</f>
        <v>7.189883580891208</v>
      </c>
    </row>
    <row r="6" spans="1:25" x14ac:dyDescent="0.3">
      <c r="A6" s="8">
        <v>5</v>
      </c>
      <c r="B6" s="9">
        <f>VLOOKUP($A6,'RES installed'!$A$2:$C$7,3,FALSE)*'[1]Profiles, RES, Spring'!B$6</f>
        <v>6.7683661180248897</v>
      </c>
      <c r="C6" s="9">
        <f>VLOOKUP($A6,'RES installed'!$A$2:$C$7,3,FALSE)*'[1]Profiles, RES, Spring'!C$6</f>
        <v>6.1421116017663593</v>
      </c>
      <c r="D6" s="9">
        <f>VLOOKUP($A6,'RES installed'!$A$2:$C$7,3,FALSE)*'[1]Profiles, RES, Spring'!D$6</f>
        <v>5.3592934564431962</v>
      </c>
      <c r="E6" s="9">
        <f>VLOOKUP($A6,'RES installed'!$A$2:$C$7,3,FALSE)*'[1]Profiles, RES, Spring'!E$6</f>
        <v>4.8253713368125251</v>
      </c>
      <c r="F6" s="9">
        <f>VLOOKUP($A6,'RES installed'!$A$2:$C$7,3,FALSE)*'[1]Profiles, RES, Spring'!F$6</f>
        <v>4.716981132075472</v>
      </c>
      <c r="G6" s="9">
        <f>VLOOKUP($A6,'RES installed'!$A$2:$C$7,3,FALSE)*'[1]Profiles, RES, Spring'!G$6</f>
        <v>4.7691690084303495</v>
      </c>
      <c r="H6" s="9">
        <f>VLOOKUP($A6,'RES installed'!$A$2:$C$7,3,FALSE)*'[1]Profiles, RES, Spring'!H$6</f>
        <v>4.0706543556804498</v>
      </c>
      <c r="I6" s="9">
        <f>VLOOKUP($A6,'RES installed'!$A$2:$C$7,3,FALSE)*'[1]Profiles, RES, Spring'!I$6</f>
        <v>3.0630268968285828</v>
      </c>
      <c r="J6" s="9">
        <f>VLOOKUP($A6,'RES installed'!$A$2:$C$7,3,FALSE)*'[1]Profiles, RES, Spring'!J$6</f>
        <v>2.7900441589723002</v>
      </c>
      <c r="K6" s="9">
        <f>VLOOKUP($A6,'RES installed'!$A$2:$C$7,3,FALSE)*'[1]Profiles, RES, Spring'!K$6</f>
        <v>2.9064632677639501</v>
      </c>
      <c r="L6" s="9">
        <f>VLOOKUP($A6,'RES installed'!$A$2:$C$7,3,FALSE)*'[1]Profiles, RES, Spring'!L$6</f>
        <v>3.2557205941389</v>
      </c>
      <c r="M6" s="9">
        <f>VLOOKUP($A6,'RES installed'!$A$2:$C$7,3,FALSE)*'[1]Profiles, RES, Spring'!M$6</f>
        <v>3.7334403853873948</v>
      </c>
      <c r="N6" s="9">
        <f>VLOOKUP($A6,'RES installed'!$A$2:$C$7,3,FALSE)*'[1]Profiles, RES, Spring'!N$6</f>
        <v>4.8534725010036128</v>
      </c>
      <c r="O6" s="9">
        <f>VLOOKUP($A6,'RES installed'!$A$2:$C$7,3,FALSE)*'[1]Profiles, RES, Spring'!O$6</f>
        <v>6.0256924929747093</v>
      </c>
      <c r="P6" s="9">
        <f>VLOOKUP($A6,'RES installed'!$A$2:$C$7,3,FALSE)*'[1]Profiles, RES, Spring'!P$6</f>
        <v>6.8446407065435562</v>
      </c>
      <c r="Q6" s="9">
        <f>VLOOKUP($A6,'RES installed'!$A$2:$C$7,3,FALSE)*'[1]Profiles, RES, Spring'!Q$6</f>
        <v>7.5311120032115619</v>
      </c>
      <c r="R6" s="9">
        <f>VLOOKUP($A6,'RES installed'!$A$2:$C$7,3,FALSE)*'[1]Profiles, RES, Spring'!R$6</f>
        <v>8.2537133681252506</v>
      </c>
      <c r="S6" s="9">
        <f>VLOOKUP($A6,'RES installed'!$A$2:$C$7,3,FALSE)*'[1]Profiles, RES, Spring'!S$6</f>
        <v>7.8964271376957038</v>
      </c>
      <c r="T6" s="9">
        <f>VLOOKUP($A6,'RES installed'!$A$2:$C$7,3,FALSE)*'[1]Profiles, RES, Spring'!T$6</f>
        <v>6.9851465274989968</v>
      </c>
      <c r="U6" s="9">
        <f>VLOOKUP($A6,'RES installed'!$A$2:$C$7,3,FALSE)*'[1]Profiles, RES, Spring'!U$6</f>
        <v>6.7201926936973102</v>
      </c>
      <c r="V6" s="9">
        <f>VLOOKUP($A6,'RES installed'!$A$2:$C$7,3,FALSE)*'[1]Profiles, RES, Spring'!V$6</f>
        <v>6.2505018065034124</v>
      </c>
      <c r="W6" s="9">
        <f>VLOOKUP($A6,'RES installed'!$A$2:$C$7,3,FALSE)*'[1]Profiles, RES, Spring'!W$6</f>
        <v>5.9293456443195502</v>
      </c>
      <c r="X6" s="9">
        <f>VLOOKUP($A6,'RES installed'!$A$2:$C$7,3,FALSE)*'[1]Profiles, RES, Spring'!X$6</f>
        <v>5.3753512645523882</v>
      </c>
      <c r="Y6" s="9">
        <f>VLOOKUP($A6,'RES installed'!$A$2:$C$7,3,FALSE)*'[1]Profiles, RES, Spring'!Y$6</f>
        <v>4.7932557205941393</v>
      </c>
    </row>
    <row r="7" spans="1:25" x14ac:dyDescent="0.3">
      <c r="A7" s="8">
        <v>6</v>
      </c>
      <c r="B7" s="9">
        <f>VLOOKUP($A7,'RES installed'!$A$2:$C$7,3,FALSE)*'[1]Profiles, RES, Spring'!B$6</f>
        <v>10.152549177037335</v>
      </c>
      <c r="C7" s="9">
        <f>VLOOKUP($A7,'RES installed'!$A$2:$C$7,3,FALSE)*'[1]Profiles, RES, Spring'!C$6</f>
        <v>9.2131674026495389</v>
      </c>
      <c r="D7" s="9">
        <f>VLOOKUP($A7,'RES installed'!$A$2:$C$7,3,FALSE)*'[1]Profiles, RES, Spring'!D$6</f>
        <v>8.0389401846647939</v>
      </c>
      <c r="E7" s="9">
        <f>VLOOKUP($A7,'RES installed'!$A$2:$C$7,3,FALSE)*'[1]Profiles, RES, Spring'!E$6</f>
        <v>7.2380570052187876</v>
      </c>
      <c r="F7" s="9">
        <f>VLOOKUP($A7,'RES installed'!$A$2:$C$7,3,FALSE)*'[1]Profiles, RES, Spring'!F$6</f>
        <v>7.0754716981132075</v>
      </c>
      <c r="G7" s="9">
        <f>VLOOKUP($A7,'RES installed'!$A$2:$C$7,3,FALSE)*'[1]Profiles, RES, Spring'!G$6</f>
        <v>7.1537535126455243</v>
      </c>
      <c r="H7" s="9">
        <f>VLOOKUP($A7,'RES installed'!$A$2:$C$7,3,FALSE)*'[1]Profiles, RES, Spring'!H$6</f>
        <v>6.1059815335206746</v>
      </c>
      <c r="I7" s="9">
        <f>VLOOKUP($A7,'RES installed'!$A$2:$C$7,3,FALSE)*'[1]Profiles, RES, Spring'!I$6</f>
        <v>4.5945403452428746</v>
      </c>
      <c r="J7" s="9">
        <f>VLOOKUP($A7,'RES installed'!$A$2:$C$7,3,FALSE)*'[1]Profiles, RES, Spring'!J$6</f>
        <v>4.1850662384584503</v>
      </c>
      <c r="K7" s="9">
        <f>VLOOKUP($A7,'RES installed'!$A$2:$C$7,3,FALSE)*'[1]Profiles, RES, Spring'!K$6</f>
        <v>4.3596949016459252</v>
      </c>
      <c r="L7" s="9">
        <f>VLOOKUP($A7,'RES installed'!$A$2:$C$7,3,FALSE)*'[1]Profiles, RES, Spring'!L$6</f>
        <v>4.88358089120835</v>
      </c>
      <c r="M7" s="9">
        <f>VLOOKUP($A7,'RES installed'!$A$2:$C$7,3,FALSE)*'[1]Profiles, RES, Spring'!M$6</f>
        <v>5.6001605780810921</v>
      </c>
      <c r="N7" s="9">
        <f>VLOOKUP($A7,'RES installed'!$A$2:$C$7,3,FALSE)*'[1]Profiles, RES, Spring'!N$6</f>
        <v>7.2802087515054197</v>
      </c>
      <c r="O7" s="9">
        <f>VLOOKUP($A7,'RES installed'!$A$2:$C$7,3,FALSE)*'[1]Profiles, RES, Spring'!O$6</f>
        <v>9.038538739462064</v>
      </c>
      <c r="P7" s="9">
        <f>VLOOKUP($A7,'RES installed'!$A$2:$C$7,3,FALSE)*'[1]Profiles, RES, Spring'!P$6</f>
        <v>10.266961059815335</v>
      </c>
      <c r="Q7" s="9">
        <f>VLOOKUP($A7,'RES installed'!$A$2:$C$7,3,FALSE)*'[1]Profiles, RES, Spring'!Q$6</f>
        <v>11.296668004817343</v>
      </c>
      <c r="R7" s="9">
        <f>VLOOKUP($A7,'RES installed'!$A$2:$C$7,3,FALSE)*'[1]Profiles, RES, Spring'!R$6</f>
        <v>12.380570052187876</v>
      </c>
      <c r="S7" s="9">
        <f>VLOOKUP($A7,'RES installed'!$A$2:$C$7,3,FALSE)*'[1]Profiles, RES, Spring'!S$6</f>
        <v>11.844640706543556</v>
      </c>
      <c r="T7" s="9">
        <f>VLOOKUP($A7,'RES installed'!$A$2:$C$7,3,FALSE)*'[1]Profiles, RES, Spring'!T$6</f>
        <v>10.477719791248495</v>
      </c>
      <c r="U7" s="9">
        <f>VLOOKUP($A7,'RES installed'!$A$2:$C$7,3,FALSE)*'[1]Profiles, RES, Spring'!U$6</f>
        <v>10.080289040545965</v>
      </c>
      <c r="V7" s="9">
        <f>VLOOKUP($A7,'RES installed'!$A$2:$C$7,3,FALSE)*'[1]Profiles, RES, Spring'!V$6</f>
        <v>9.375752709755119</v>
      </c>
      <c r="W7" s="9">
        <f>VLOOKUP($A7,'RES installed'!$A$2:$C$7,3,FALSE)*'[1]Profiles, RES, Spring'!W$6</f>
        <v>8.8940184664793254</v>
      </c>
      <c r="X7" s="9">
        <f>VLOOKUP($A7,'RES installed'!$A$2:$C$7,3,FALSE)*'[1]Profiles, RES, Spring'!X$6</f>
        <v>8.0630268968285819</v>
      </c>
      <c r="Y7" s="9">
        <f>VLOOKUP($A7,'RES installed'!$A$2:$C$7,3,FALSE)*'[1]Profiles, RES, Spring'!Y$6</f>
        <v>7.189883580891208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0.3411675511751327</v>
      </c>
      <c r="H8" s="6">
        <f>VLOOKUP($A8,'RES installed'!$A$2:$C$7,3,FALSE)*'[1]Profiles, RES, Spring'!H$3</f>
        <v>2.9909021986353297</v>
      </c>
      <c r="I8" s="6">
        <f>VLOOKUP($A8,'RES installed'!$A$2:$C$7,3,FALSE)*'[1]Profiles, RES, Spring'!I$3</f>
        <v>7.1986353297952999</v>
      </c>
      <c r="J8" s="6">
        <f>VLOOKUP($A8,'RES installed'!$A$2:$C$7,3,FALSE)*'[1]Profiles, RES, Spring'!J$3</f>
        <v>10.860500379075058</v>
      </c>
      <c r="K8" s="6">
        <f>VLOOKUP($A8,'RES installed'!$A$2:$C$7,3,FALSE)*'[1]Profiles, RES, Spring'!K$3</f>
        <v>15.125094768764216</v>
      </c>
      <c r="L8" s="6">
        <f>VLOOKUP($A8,'RES installed'!$A$2:$C$7,3,FALSE)*'[1]Profiles, RES, Spring'!L$3</f>
        <v>17.899924184988627</v>
      </c>
      <c r="M8" s="6">
        <f>VLOOKUP($A8,'RES installed'!$A$2:$C$7,3,FALSE)*'[1]Profiles, RES, Spring'!M$3</f>
        <v>18.320697498104625</v>
      </c>
      <c r="N8" s="6">
        <f>VLOOKUP($A8,'RES installed'!$A$2:$C$7,3,FALSE)*'[1]Profiles, RES, Spring'!N$3</f>
        <v>18.752843062926459</v>
      </c>
      <c r="O8" s="6">
        <f>VLOOKUP($A8,'RES installed'!$A$2:$C$7,3,FALSE)*'[1]Profiles, RES, Spring'!O$3</f>
        <v>18.09325246398787</v>
      </c>
      <c r="P8" s="6">
        <f>VLOOKUP($A8,'RES installed'!$A$2:$C$7,3,FALSE)*'[1]Profiles, RES, Spring'!P$3</f>
        <v>19.230477634571645</v>
      </c>
      <c r="Q8" s="6">
        <f>VLOOKUP($A8,'RES installed'!$A$2:$C$7,3,FALSE)*'[1]Profiles, RES, Spring'!Q$3</f>
        <v>17.069749810462472</v>
      </c>
      <c r="R8" s="6">
        <f>VLOOKUP($A8,'RES installed'!$A$2:$C$7,3,FALSE)*'[1]Profiles, RES, Spring'!R$3</f>
        <v>14.317664897649735</v>
      </c>
      <c r="S8" s="6">
        <f>VLOOKUP($A8,'RES installed'!$A$2:$C$7,3,FALSE)*'[1]Profiles, RES, Spring'!S$3</f>
        <v>9.3593631539044733</v>
      </c>
      <c r="T8" s="6">
        <f>VLOOKUP($A8,'RES installed'!$A$2:$C$7,3,FALSE)*'[1]Profiles, RES, Spring'!T$3</f>
        <v>3.4116755117513269</v>
      </c>
      <c r="U8" s="6">
        <f>VLOOKUP($A8,'RES installed'!$A$2:$C$7,3,FALSE)*'[1]Profiles, RES, Spring'!U$3</f>
        <v>0.30705079605761937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0.11372251705837756</v>
      </c>
      <c r="H9" s="6">
        <f>VLOOKUP($A9,'RES installed'!$A$2:$C$7,3,FALSE)*'[1]Profiles, RES, Spring'!H$3</f>
        <v>0.99696739954510993</v>
      </c>
      <c r="I9" s="6">
        <f>VLOOKUP($A9,'RES installed'!$A$2:$C$7,3,FALSE)*'[1]Profiles, RES, Spring'!I$3</f>
        <v>2.3995451099317666</v>
      </c>
      <c r="J9" s="6">
        <f>VLOOKUP($A9,'RES installed'!$A$2:$C$7,3,FALSE)*'[1]Profiles, RES, Spring'!J$3</f>
        <v>3.6201667930250192</v>
      </c>
      <c r="K9" s="6">
        <f>VLOOKUP($A9,'RES installed'!$A$2:$C$7,3,FALSE)*'[1]Profiles, RES, Spring'!K$3</f>
        <v>5.0416982562547386</v>
      </c>
      <c r="L9" s="6">
        <f>VLOOKUP($A9,'RES installed'!$A$2:$C$7,3,FALSE)*'[1]Profiles, RES, Spring'!L$3</f>
        <v>5.9666413949962092</v>
      </c>
      <c r="M9" s="6">
        <f>VLOOKUP($A9,'RES installed'!$A$2:$C$7,3,FALSE)*'[1]Profiles, RES, Spring'!M$3</f>
        <v>6.106899166034875</v>
      </c>
      <c r="N9" s="6">
        <f>VLOOKUP($A9,'RES installed'!$A$2:$C$7,3,FALSE)*'[1]Profiles, RES, Spring'!N$3</f>
        <v>6.250947687642153</v>
      </c>
      <c r="O9" s="6">
        <f>VLOOKUP($A9,'RES installed'!$A$2:$C$7,3,FALSE)*'[1]Profiles, RES, Spring'!O$3</f>
        <v>6.0310841546626239</v>
      </c>
      <c r="P9" s="6">
        <f>VLOOKUP($A9,'RES installed'!$A$2:$C$7,3,FALSE)*'[1]Profiles, RES, Spring'!P$3</f>
        <v>6.4101592115238812</v>
      </c>
      <c r="Q9" s="6">
        <f>VLOOKUP($A9,'RES installed'!$A$2:$C$7,3,FALSE)*'[1]Profiles, RES, Spring'!Q$3</f>
        <v>5.6899166034874904</v>
      </c>
      <c r="R9" s="6">
        <f>VLOOKUP($A9,'RES installed'!$A$2:$C$7,3,FALSE)*'[1]Profiles, RES, Spring'!R$3</f>
        <v>4.7725549658832449</v>
      </c>
      <c r="S9" s="6">
        <f>VLOOKUP($A9,'RES installed'!$A$2:$C$7,3,FALSE)*'[1]Profiles, RES, Spring'!S$3</f>
        <v>3.1197877179681575</v>
      </c>
      <c r="T9" s="6">
        <f>VLOOKUP($A9,'RES installed'!$A$2:$C$7,3,FALSE)*'[1]Profiles, RES, Spring'!T$3</f>
        <v>1.1372251705837757</v>
      </c>
      <c r="U9" s="6">
        <f>VLOOKUP($A9,'RES installed'!$A$2:$C$7,3,FALSE)*'[1]Profiles, RES, Spring'!U$3</f>
        <v>0.1023502653525398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0.22744503411675512</v>
      </c>
      <c r="H10" s="6">
        <f>VLOOKUP($A10,'RES installed'!$A$2:$C$7,3,FALSE)*'[1]Profiles, RES, Spring'!H$3</f>
        <v>1.9939347990902199</v>
      </c>
      <c r="I10" s="6">
        <f>VLOOKUP($A10,'RES installed'!$A$2:$C$7,3,FALSE)*'[1]Profiles, RES, Spring'!I$3</f>
        <v>4.7990902198635332</v>
      </c>
      <c r="J10" s="6">
        <f>VLOOKUP($A10,'RES installed'!$A$2:$C$7,3,FALSE)*'[1]Profiles, RES, Spring'!J$3</f>
        <v>7.2403335860500384</v>
      </c>
      <c r="K10" s="6">
        <f>VLOOKUP($A10,'RES installed'!$A$2:$C$7,3,FALSE)*'[1]Profiles, RES, Spring'!K$3</f>
        <v>10.083396512509477</v>
      </c>
      <c r="L10" s="6">
        <f>VLOOKUP($A10,'RES installed'!$A$2:$C$7,3,FALSE)*'[1]Profiles, RES, Spring'!L$3</f>
        <v>11.933282789992418</v>
      </c>
      <c r="M10" s="6">
        <f>VLOOKUP($A10,'RES installed'!$A$2:$C$7,3,FALSE)*'[1]Profiles, RES, Spring'!M$3</f>
        <v>12.21379833206975</v>
      </c>
      <c r="N10" s="6">
        <f>VLOOKUP($A10,'RES installed'!$A$2:$C$7,3,FALSE)*'[1]Profiles, RES, Spring'!N$3</f>
        <v>12.501895375284306</v>
      </c>
      <c r="O10" s="6">
        <f>VLOOKUP($A10,'RES installed'!$A$2:$C$7,3,FALSE)*'[1]Profiles, RES, Spring'!O$3</f>
        <v>12.062168309325248</v>
      </c>
      <c r="P10" s="6">
        <f>VLOOKUP($A10,'RES installed'!$A$2:$C$7,3,FALSE)*'[1]Profiles, RES, Spring'!P$3</f>
        <v>12.820318423047762</v>
      </c>
      <c r="Q10" s="6">
        <f>VLOOKUP($A10,'RES installed'!$A$2:$C$7,3,FALSE)*'[1]Profiles, RES, Spring'!Q$3</f>
        <v>11.379833206974981</v>
      </c>
      <c r="R10" s="6">
        <f>VLOOKUP($A10,'RES installed'!$A$2:$C$7,3,FALSE)*'[1]Profiles, RES, Spring'!R$3</f>
        <v>9.5451099317664898</v>
      </c>
      <c r="S10" s="6">
        <f>VLOOKUP($A10,'RES installed'!$A$2:$C$7,3,FALSE)*'[1]Profiles, RES, Spring'!S$3</f>
        <v>6.2395754359363149</v>
      </c>
      <c r="T10" s="6">
        <f>VLOOKUP($A10,'RES installed'!$A$2:$C$7,3,FALSE)*'[1]Profiles, RES, Spring'!T$3</f>
        <v>2.2744503411675514</v>
      </c>
      <c r="U10" s="6">
        <f>VLOOKUP($A10,'RES installed'!$A$2:$C$7,3,FALSE)*'[1]Profiles, RES, Spring'!U$3</f>
        <v>0.2047005307050796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4C291-8F02-4CFD-8967-9A87F45EB76F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7.4307507025291049</v>
      </c>
      <c r="C5" s="9">
        <f>VLOOKUP($A5,'RES installed'!$A$2:$C$7,3,FALSE)*'[1]Profiles, RES, Spring'!C$7</f>
        <v>7.0453633079084703</v>
      </c>
      <c r="D5" s="9">
        <f>VLOOKUP($A5,'RES installed'!$A$2:$C$7,3,FALSE)*'[1]Profiles, RES, Spring'!D$7</f>
        <v>6.8526696105981539</v>
      </c>
      <c r="E5" s="9">
        <f>VLOOKUP($A5,'RES installed'!$A$2:$C$7,3,FALSE)*'[1]Profiles, RES, Spring'!E$7</f>
        <v>7.2139702930549978</v>
      </c>
      <c r="F5" s="9">
        <f>VLOOKUP($A5,'RES installed'!$A$2:$C$7,3,FALSE)*'[1]Profiles, RES, Spring'!F$7</f>
        <v>7.2320353271778401</v>
      </c>
      <c r="G5" s="9">
        <f>VLOOKUP($A5,'RES installed'!$A$2:$C$7,3,FALSE)*'[1]Profiles, RES, Spring'!G$7</f>
        <v>6.4311521477318347</v>
      </c>
      <c r="H5" s="9">
        <f>VLOOKUP($A5,'RES installed'!$A$2:$C$7,3,FALSE)*'[1]Profiles, RES, Spring'!H$7</f>
        <v>5.4737053392211967</v>
      </c>
      <c r="I5" s="9">
        <f>VLOOKUP($A5,'RES installed'!$A$2:$C$7,3,FALSE)*'[1]Profiles, RES, Spring'!I$7</f>
        <v>4.1248494580489758</v>
      </c>
      <c r="J5" s="9">
        <f>VLOOKUP($A5,'RES installed'!$A$2:$C$7,3,FALSE)*'[1]Profiles, RES, Spring'!J$7</f>
        <v>3.4745082296266561</v>
      </c>
      <c r="K5" s="9">
        <f>VLOOKUP($A5,'RES installed'!$A$2:$C$7,3,FALSE)*'[1]Profiles, RES, Spring'!K$7</f>
        <v>3.7755921316740264</v>
      </c>
      <c r="L5" s="9">
        <f>VLOOKUP($A5,'RES installed'!$A$2:$C$7,3,FALSE)*'[1]Profiles, RES, Spring'!L$7</f>
        <v>4.4620634283420308</v>
      </c>
      <c r="M5" s="9">
        <f>VLOOKUP($A5,'RES installed'!$A$2:$C$7,3,FALSE)*'[1]Profiles, RES, Spring'!M$7</f>
        <v>4.4138900040144522</v>
      </c>
      <c r="N5" s="9">
        <f>VLOOKUP($A5,'RES installed'!$A$2:$C$7,3,FALSE)*'[1]Profiles, RES, Spring'!N$7</f>
        <v>5.0702529104777199</v>
      </c>
      <c r="O5" s="9">
        <f>VLOOKUP($A5,'RES installed'!$A$2:$C$7,3,FALSE)*'[1]Profiles, RES, Spring'!O$7</f>
        <v>6.4672822159775185</v>
      </c>
      <c r="P5" s="9">
        <f>VLOOKUP($A5,'RES installed'!$A$2:$C$7,3,FALSE)*'[1]Profiles, RES, Spring'!P$7</f>
        <v>7.5511842633480528</v>
      </c>
      <c r="Q5" s="9">
        <f>VLOOKUP($A5,'RES installed'!$A$2:$C$7,3,FALSE)*'[1]Profiles, RES, Spring'!Q$7</f>
        <v>8.5086310718586908</v>
      </c>
      <c r="R5" s="9">
        <f>VLOOKUP($A5,'RES installed'!$A$2:$C$7,3,FALSE)*'[1]Profiles, RES, Spring'!R$7</f>
        <v>9.5624247290244888</v>
      </c>
      <c r="S5" s="9">
        <f>VLOOKUP($A5,'RES installed'!$A$2:$C$7,3,FALSE)*'[1]Profiles, RES, Spring'!S$7</f>
        <v>9.9538338016860699</v>
      </c>
      <c r="T5" s="9">
        <f>VLOOKUP($A5,'RES installed'!$A$2:$C$7,3,FALSE)*'[1]Profiles, RES, Spring'!T$7</f>
        <v>9.9598554797270165</v>
      </c>
      <c r="U5" s="9">
        <f>VLOOKUP($A5,'RES installed'!$A$2:$C$7,3,FALSE)*'[1]Profiles, RES, Spring'!U$7</f>
        <v>8.9060618225612203</v>
      </c>
      <c r="V5" s="9">
        <f>VLOOKUP($A5,'RES installed'!$A$2:$C$7,3,FALSE)*'[1]Profiles, RES, Spring'!V$7</f>
        <v>8.5026093938177443</v>
      </c>
      <c r="W5" s="9">
        <f>VLOOKUP($A5,'RES installed'!$A$2:$C$7,3,FALSE)*'[1]Profiles, RES, Spring'!W$7</f>
        <v>8.454435969490163</v>
      </c>
      <c r="X5" s="9">
        <f>VLOOKUP($A5,'RES installed'!$A$2:$C$7,3,FALSE)*'[1]Profiles, RES, Spring'!X$7</f>
        <v>8.592934564431955</v>
      </c>
      <c r="Y5" s="9">
        <f>VLOOKUP($A5,'RES installed'!$A$2:$C$7,3,FALSE)*'[1]Profiles, RES, Spring'!Y$7</f>
        <v>9.2794058610999599</v>
      </c>
    </row>
    <row r="6" spans="1:25" x14ac:dyDescent="0.3">
      <c r="A6" s="8">
        <v>5</v>
      </c>
      <c r="B6" s="9">
        <f>VLOOKUP($A6,'RES installed'!$A$2:$C$7,3,FALSE)*'[1]Profiles, RES, Spring'!B$7</f>
        <v>4.9538338016860699</v>
      </c>
      <c r="C6" s="9">
        <f>VLOOKUP($A6,'RES installed'!$A$2:$C$7,3,FALSE)*'[1]Profiles, RES, Spring'!C$7</f>
        <v>4.6969088719389802</v>
      </c>
      <c r="D6" s="9">
        <f>VLOOKUP($A6,'RES installed'!$A$2:$C$7,3,FALSE)*'[1]Profiles, RES, Spring'!D$7</f>
        <v>4.5684464070654354</v>
      </c>
      <c r="E6" s="9">
        <f>VLOOKUP($A6,'RES installed'!$A$2:$C$7,3,FALSE)*'[1]Profiles, RES, Spring'!E$7</f>
        <v>4.8093135287033313</v>
      </c>
      <c r="F6" s="9">
        <f>VLOOKUP($A6,'RES installed'!$A$2:$C$7,3,FALSE)*'[1]Profiles, RES, Spring'!F$7</f>
        <v>4.8213568847852271</v>
      </c>
      <c r="G6" s="9">
        <f>VLOOKUP($A6,'RES installed'!$A$2:$C$7,3,FALSE)*'[1]Profiles, RES, Spring'!G$7</f>
        <v>4.2874347651545559</v>
      </c>
      <c r="H6" s="9">
        <f>VLOOKUP($A6,'RES installed'!$A$2:$C$7,3,FALSE)*'[1]Profiles, RES, Spring'!H$7</f>
        <v>3.649136892814131</v>
      </c>
      <c r="I6" s="9">
        <f>VLOOKUP($A6,'RES installed'!$A$2:$C$7,3,FALSE)*'[1]Profiles, RES, Spring'!I$7</f>
        <v>2.7498996386993175</v>
      </c>
      <c r="J6" s="9">
        <f>VLOOKUP($A6,'RES installed'!$A$2:$C$7,3,FALSE)*'[1]Profiles, RES, Spring'!J$7</f>
        <v>2.3163388197511039</v>
      </c>
      <c r="K6" s="9">
        <f>VLOOKUP($A6,'RES installed'!$A$2:$C$7,3,FALSE)*'[1]Profiles, RES, Spring'!K$7</f>
        <v>2.5170614211160176</v>
      </c>
      <c r="L6" s="9">
        <f>VLOOKUP($A6,'RES installed'!$A$2:$C$7,3,FALSE)*'[1]Profiles, RES, Spring'!L$7</f>
        <v>2.9747089522280206</v>
      </c>
      <c r="M6" s="9">
        <f>VLOOKUP($A6,'RES installed'!$A$2:$C$7,3,FALSE)*'[1]Profiles, RES, Spring'!M$7</f>
        <v>2.9425933360096348</v>
      </c>
      <c r="N6" s="9">
        <f>VLOOKUP($A6,'RES installed'!$A$2:$C$7,3,FALSE)*'[1]Profiles, RES, Spring'!N$7</f>
        <v>3.3801686069851469</v>
      </c>
      <c r="O6" s="9">
        <f>VLOOKUP($A6,'RES installed'!$A$2:$C$7,3,FALSE)*'[1]Profiles, RES, Spring'!O$7</f>
        <v>4.3115214773183457</v>
      </c>
      <c r="P6" s="9">
        <f>VLOOKUP($A6,'RES installed'!$A$2:$C$7,3,FALSE)*'[1]Profiles, RES, Spring'!P$7</f>
        <v>5.0341228422320352</v>
      </c>
      <c r="Q6" s="9">
        <f>VLOOKUP($A6,'RES installed'!$A$2:$C$7,3,FALSE)*'[1]Profiles, RES, Spring'!Q$7</f>
        <v>5.6724207145724606</v>
      </c>
      <c r="R6" s="9">
        <f>VLOOKUP($A6,'RES installed'!$A$2:$C$7,3,FALSE)*'[1]Profiles, RES, Spring'!R$7</f>
        <v>6.3749498193496592</v>
      </c>
      <c r="S6" s="9">
        <f>VLOOKUP($A6,'RES installed'!$A$2:$C$7,3,FALSE)*'[1]Profiles, RES, Spring'!S$7</f>
        <v>6.6358892011240469</v>
      </c>
      <c r="T6" s="9">
        <f>VLOOKUP($A6,'RES installed'!$A$2:$C$7,3,FALSE)*'[1]Profiles, RES, Spring'!T$7</f>
        <v>6.6399036531513449</v>
      </c>
      <c r="U6" s="9">
        <f>VLOOKUP($A6,'RES installed'!$A$2:$C$7,3,FALSE)*'[1]Profiles, RES, Spring'!U$7</f>
        <v>5.9373745483741471</v>
      </c>
      <c r="V6" s="9">
        <f>VLOOKUP($A6,'RES installed'!$A$2:$C$7,3,FALSE)*'[1]Profiles, RES, Spring'!V$7</f>
        <v>5.6684062625451626</v>
      </c>
      <c r="W6" s="9">
        <f>VLOOKUP($A6,'RES installed'!$A$2:$C$7,3,FALSE)*'[1]Profiles, RES, Spring'!W$7</f>
        <v>5.6362906463267759</v>
      </c>
      <c r="X6" s="9">
        <f>VLOOKUP($A6,'RES installed'!$A$2:$C$7,3,FALSE)*'[1]Profiles, RES, Spring'!X$7</f>
        <v>5.728623042954637</v>
      </c>
      <c r="Y6" s="9">
        <f>VLOOKUP($A6,'RES installed'!$A$2:$C$7,3,FALSE)*'[1]Profiles, RES, Spring'!Y$7</f>
        <v>6.1862705740666399</v>
      </c>
    </row>
    <row r="7" spans="1:25" x14ac:dyDescent="0.3">
      <c r="A7" s="8">
        <v>6</v>
      </c>
      <c r="B7" s="9">
        <f>VLOOKUP($A7,'RES installed'!$A$2:$C$7,3,FALSE)*'[1]Profiles, RES, Spring'!B$7</f>
        <v>7.4307507025291049</v>
      </c>
      <c r="C7" s="9">
        <f>VLOOKUP($A7,'RES installed'!$A$2:$C$7,3,FALSE)*'[1]Profiles, RES, Spring'!C$7</f>
        <v>7.0453633079084703</v>
      </c>
      <c r="D7" s="9">
        <f>VLOOKUP($A7,'RES installed'!$A$2:$C$7,3,FALSE)*'[1]Profiles, RES, Spring'!D$7</f>
        <v>6.8526696105981539</v>
      </c>
      <c r="E7" s="9">
        <f>VLOOKUP($A7,'RES installed'!$A$2:$C$7,3,FALSE)*'[1]Profiles, RES, Spring'!E$7</f>
        <v>7.2139702930549978</v>
      </c>
      <c r="F7" s="9">
        <f>VLOOKUP($A7,'RES installed'!$A$2:$C$7,3,FALSE)*'[1]Profiles, RES, Spring'!F$7</f>
        <v>7.2320353271778401</v>
      </c>
      <c r="G7" s="9">
        <f>VLOOKUP($A7,'RES installed'!$A$2:$C$7,3,FALSE)*'[1]Profiles, RES, Spring'!G$7</f>
        <v>6.4311521477318347</v>
      </c>
      <c r="H7" s="9">
        <f>VLOOKUP($A7,'RES installed'!$A$2:$C$7,3,FALSE)*'[1]Profiles, RES, Spring'!H$7</f>
        <v>5.4737053392211967</v>
      </c>
      <c r="I7" s="9">
        <f>VLOOKUP($A7,'RES installed'!$A$2:$C$7,3,FALSE)*'[1]Profiles, RES, Spring'!I$7</f>
        <v>4.1248494580489758</v>
      </c>
      <c r="J7" s="9">
        <f>VLOOKUP($A7,'RES installed'!$A$2:$C$7,3,FALSE)*'[1]Profiles, RES, Spring'!J$7</f>
        <v>3.4745082296266561</v>
      </c>
      <c r="K7" s="9">
        <f>VLOOKUP($A7,'RES installed'!$A$2:$C$7,3,FALSE)*'[1]Profiles, RES, Spring'!K$7</f>
        <v>3.7755921316740264</v>
      </c>
      <c r="L7" s="9">
        <f>VLOOKUP($A7,'RES installed'!$A$2:$C$7,3,FALSE)*'[1]Profiles, RES, Spring'!L$7</f>
        <v>4.4620634283420308</v>
      </c>
      <c r="M7" s="9">
        <f>VLOOKUP($A7,'RES installed'!$A$2:$C$7,3,FALSE)*'[1]Profiles, RES, Spring'!M$7</f>
        <v>4.4138900040144522</v>
      </c>
      <c r="N7" s="9">
        <f>VLOOKUP($A7,'RES installed'!$A$2:$C$7,3,FALSE)*'[1]Profiles, RES, Spring'!N$7</f>
        <v>5.0702529104777199</v>
      </c>
      <c r="O7" s="9">
        <f>VLOOKUP($A7,'RES installed'!$A$2:$C$7,3,FALSE)*'[1]Profiles, RES, Spring'!O$7</f>
        <v>6.4672822159775185</v>
      </c>
      <c r="P7" s="9">
        <f>VLOOKUP($A7,'RES installed'!$A$2:$C$7,3,FALSE)*'[1]Profiles, RES, Spring'!P$7</f>
        <v>7.5511842633480528</v>
      </c>
      <c r="Q7" s="9">
        <f>VLOOKUP($A7,'RES installed'!$A$2:$C$7,3,FALSE)*'[1]Profiles, RES, Spring'!Q$7</f>
        <v>8.5086310718586908</v>
      </c>
      <c r="R7" s="9">
        <f>VLOOKUP($A7,'RES installed'!$A$2:$C$7,3,FALSE)*'[1]Profiles, RES, Spring'!R$7</f>
        <v>9.5624247290244888</v>
      </c>
      <c r="S7" s="9">
        <f>VLOOKUP($A7,'RES installed'!$A$2:$C$7,3,FALSE)*'[1]Profiles, RES, Spring'!S$7</f>
        <v>9.9538338016860699</v>
      </c>
      <c r="T7" s="9">
        <f>VLOOKUP($A7,'RES installed'!$A$2:$C$7,3,FALSE)*'[1]Profiles, RES, Spring'!T$7</f>
        <v>9.9598554797270165</v>
      </c>
      <c r="U7" s="9">
        <f>VLOOKUP($A7,'RES installed'!$A$2:$C$7,3,FALSE)*'[1]Profiles, RES, Spring'!U$7</f>
        <v>8.9060618225612203</v>
      </c>
      <c r="V7" s="9">
        <f>VLOOKUP($A7,'RES installed'!$A$2:$C$7,3,FALSE)*'[1]Profiles, RES, Spring'!V$7</f>
        <v>8.5026093938177443</v>
      </c>
      <c r="W7" s="9">
        <f>VLOOKUP($A7,'RES installed'!$A$2:$C$7,3,FALSE)*'[1]Profiles, RES, Spring'!W$7</f>
        <v>8.454435969490163</v>
      </c>
      <c r="X7" s="9">
        <f>VLOOKUP($A7,'RES installed'!$A$2:$C$7,3,FALSE)*'[1]Profiles, RES, Spring'!X$7</f>
        <v>8.592934564431955</v>
      </c>
      <c r="Y7" s="9">
        <f>VLOOKUP($A7,'RES installed'!$A$2:$C$7,3,FALSE)*'[1]Profiles, RES, Spring'!Y$7</f>
        <v>9.2794058610999599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0.32979529946929492</v>
      </c>
      <c r="H8" s="6">
        <f>VLOOKUP($A8,'RES installed'!$A$2:$C$7,3,FALSE)*'[1]Profiles, RES, Spring'!H$4</f>
        <v>3.161485974222896</v>
      </c>
      <c r="I8" s="6">
        <f>VLOOKUP($A8,'RES installed'!$A$2:$C$7,3,FALSE)*'[1]Profiles, RES, Spring'!I$4</f>
        <v>8.7793783169067474</v>
      </c>
      <c r="J8" s="6">
        <f>VLOOKUP($A8,'RES installed'!$A$2:$C$7,3,FALSE)*'[1]Profiles, RES, Spring'!J$4</f>
        <v>14.09021986353298</v>
      </c>
      <c r="K8" s="6">
        <f>VLOOKUP($A8,'RES installed'!$A$2:$C$7,3,FALSE)*'[1]Profiles, RES, Spring'!K$4</f>
        <v>16.705837755875663</v>
      </c>
      <c r="L8" s="6">
        <f>VLOOKUP($A8,'RES installed'!$A$2:$C$7,3,FALSE)*'[1]Profiles, RES, Spring'!L$4</f>
        <v>18.468536770280515</v>
      </c>
      <c r="M8" s="6">
        <f>VLOOKUP($A8,'RES installed'!$A$2:$C$7,3,FALSE)*'[1]Profiles, RES, Spring'!M$4</f>
        <v>20.538286580742987</v>
      </c>
      <c r="N8" s="6">
        <f>VLOOKUP($A8,'RES installed'!$A$2:$C$7,3,FALSE)*'[1]Profiles, RES, Spring'!N$4</f>
        <v>20.049279757391961</v>
      </c>
      <c r="O8" s="6">
        <f>VLOOKUP($A8,'RES installed'!$A$2:$C$7,3,FALSE)*'[1]Profiles, RES, Spring'!O$4</f>
        <v>19.946929492039423</v>
      </c>
      <c r="P8" s="6">
        <f>VLOOKUP($A8,'RES installed'!$A$2:$C$7,3,FALSE)*'[1]Profiles, RES, Spring'!P$4</f>
        <v>20.083396512509477</v>
      </c>
      <c r="Q8" s="6">
        <f>VLOOKUP($A8,'RES installed'!$A$2:$C$7,3,FALSE)*'[1]Profiles, RES, Spring'!Q$4</f>
        <v>18.559514783927217</v>
      </c>
      <c r="R8" s="6">
        <f>VLOOKUP($A8,'RES installed'!$A$2:$C$7,3,FALSE)*'[1]Profiles, RES, Spring'!R$4</f>
        <v>15.090978013646701</v>
      </c>
      <c r="S8" s="6">
        <f>VLOOKUP($A8,'RES installed'!$A$2:$C$7,3,FALSE)*'[1]Profiles, RES, Spring'!S$4</f>
        <v>9.8938589840788485</v>
      </c>
      <c r="T8" s="6">
        <f>VLOOKUP($A8,'RES installed'!$A$2:$C$7,3,FALSE)*'[1]Profiles, RES, Spring'!T$4</f>
        <v>3.5140257771038668</v>
      </c>
      <c r="U8" s="6">
        <f>VLOOKUP($A8,'RES installed'!$A$2:$C$7,3,FALSE)*'[1]Profiles, RES, Spring'!U$4</f>
        <v>0.3639120545868082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0.10993176648976498</v>
      </c>
      <c r="H9" s="6">
        <f>VLOOKUP($A9,'RES installed'!$A$2:$C$7,3,FALSE)*'[1]Profiles, RES, Spring'!H$4</f>
        <v>1.0538286580742986</v>
      </c>
      <c r="I9" s="6">
        <f>VLOOKUP($A9,'RES installed'!$A$2:$C$7,3,FALSE)*'[1]Profiles, RES, Spring'!I$4</f>
        <v>2.9264594389689158</v>
      </c>
      <c r="J9" s="6">
        <f>VLOOKUP($A9,'RES installed'!$A$2:$C$7,3,FALSE)*'[1]Profiles, RES, Spring'!J$4</f>
        <v>4.6967399545109938</v>
      </c>
      <c r="K9" s="6">
        <f>VLOOKUP($A9,'RES installed'!$A$2:$C$7,3,FALSE)*'[1]Profiles, RES, Spring'!K$4</f>
        <v>5.5686125852918877</v>
      </c>
      <c r="L9" s="6">
        <f>VLOOKUP($A9,'RES installed'!$A$2:$C$7,3,FALSE)*'[1]Profiles, RES, Spring'!L$4</f>
        <v>6.1561789234268378</v>
      </c>
      <c r="M9" s="6">
        <f>VLOOKUP($A9,'RES installed'!$A$2:$C$7,3,FALSE)*'[1]Profiles, RES, Spring'!M$4</f>
        <v>6.8460955269143291</v>
      </c>
      <c r="N9" s="6">
        <f>VLOOKUP($A9,'RES installed'!$A$2:$C$7,3,FALSE)*'[1]Profiles, RES, Spring'!N$4</f>
        <v>6.683093252463987</v>
      </c>
      <c r="O9" s="6">
        <f>VLOOKUP($A9,'RES installed'!$A$2:$C$7,3,FALSE)*'[1]Profiles, RES, Spring'!O$4</f>
        <v>6.6489764973464744</v>
      </c>
      <c r="P9" s="6">
        <f>VLOOKUP($A9,'RES installed'!$A$2:$C$7,3,FALSE)*'[1]Profiles, RES, Spring'!P$4</f>
        <v>6.6944655041698251</v>
      </c>
      <c r="Q9" s="6">
        <f>VLOOKUP($A9,'RES installed'!$A$2:$C$7,3,FALSE)*'[1]Profiles, RES, Spring'!Q$4</f>
        <v>6.1865049279757391</v>
      </c>
      <c r="R9" s="6">
        <f>VLOOKUP($A9,'RES installed'!$A$2:$C$7,3,FALSE)*'[1]Profiles, RES, Spring'!R$4</f>
        <v>5.0303260045489004</v>
      </c>
      <c r="S9" s="6">
        <f>VLOOKUP($A9,'RES installed'!$A$2:$C$7,3,FALSE)*'[1]Profiles, RES, Spring'!S$4</f>
        <v>3.2979529946929493</v>
      </c>
      <c r="T9" s="6">
        <f>VLOOKUP($A9,'RES installed'!$A$2:$C$7,3,FALSE)*'[1]Profiles, RES, Spring'!T$4</f>
        <v>1.1713419257012889</v>
      </c>
      <c r="U9" s="6">
        <f>VLOOKUP($A9,'RES installed'!$A$2:$C$7,3,FALSE)*'[1]Profiles, RES, Spring'!U$4</f>
        <v>0.12130401819560273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0.21986353297952996</v>
      </c>
      <c r="H10" s="6">
        <f>VLOOKUP($A10,'RES installed'!$A$2:$C$7,3,FALSE)*'[1]Profiles, RES, Spring'!H$4</f>
        <v>2.1076573161485972</v>
      </c>
      <c r="I10" s="6">
        <f>VLOOKUP($A10,'RES installed'!$A$2:$C$7,3,FALSE)*'[1]Profiles, RES, Spring'!I$4</f>
        <v>5.8529188779378316</v>
      </c>
      <c r="J10" s="6">
        <f>VLOOKUP($A10,'RES installed'!$A$2:$C$7,3,FALSE)*'[1]Profiles, RES, Spring'!J$4</f>
        <v>9.3934799090219876</v>
      </c>
      <c r="K10" s="6">
        <f>VLOOKUP($A10,'RES installed'!$A$2:$C$7,3,FALSE)*'[1]Profiles, RES, Spring'!K$4</f>
        <v>11.137225170583775</v>
      </c>
      <c r="L10" s="6">
        <f>VLOOKUP($A10,'RES installed'!$A$2:$C$7,3,FALSE)*'[1]Profiles, RES, Spring'!L$4</f>
        <v>12.312357846853676</v>
      </c>
      <c r="M10" s="6">
        <f>VLOOKUP($A10,'RES installed'!$A$2:$C$7,3,FALSE)*'[1]Profiles, RES, Spring'!M$4</f>
        <v>13.692191053828658</v>
      </c>
      <c r="N10" s="6">
        <f>VLOOKUP($A10,'RES installed'!$A$2:$C$7,3,FALSE)*'[1]Profiles, RES, Spring'!N$4</f>
        <v>13.366186504927974</v>
      </c>
      <c r="O10" s="6">
        <f>VLOOKUP($A10,'RES installed'!$A$2:$C$7,3,FALSE)*'[1]Profiles, RES, Spring'!O$4</f>
        <v>13.297952994692949</v>
      </c>
      <c r="P10" s="6">
        <f>VLOOKUP($A10,'RES installed'!$A$2:$C$7,3,FALSE)*'[1]Profiles, RES, Spring'!P$4</f>
        <v>13.38893100833965</v>
      </c>
      <c r="Q10" s="6">
        <f>VLOOKUP($A10,'RES installed'!$A$2:$C$7,3,FALSE)*'[1]Profiles, RES, Spring'!Q$4</f>
        <v>12.373009855951478</v>
      </c>
      <c r="R10" s="6">
        <f>VLOOKUP($A10,'RES installed'!$A$2:$C$7,3,FALSE)*'[1]Profiles, RES, Spring'!R$4</f>
        <v>10.060652009097801</v>
      </c>
      <c r="S10" s="6">
        <f>VLOOKUP($A10,'RES installed'!$A$2:$C$7,3,FALSE)*'[1]Profiles, RES, Spring'!S$4</f>
        <v>6.5959059893858987</v>
      </c>
      <c r="T10" s="6">
        <f>VLOOKUP($A10,'RES installed'!$A$2:$C$7,3,FALSE)*'[1]Profiles, RES, Spring'!T$4</f>
        <v>2.3426838514025778</v>
      </c>
      <c r="U10" s="6">
        <f>VLOOKUP($A10,'RES installed'!$A$2:$C$7,3,FALSE)*'[1]Profiles, RES, Spring'!U$4</f>
        <v>0.24260803639120546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1504A-A722-4235-A916-8500BF5DCFD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2B266-9AF9-4D1C-8001-16512D48BE2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6446D-A4B7-4C21-9AB7-EEB0420E813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1F037-2461-4625-B59F-B0FEB5F9D26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FB5D3-9FFF-47C8-A462-6DD6471A166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A0660-12AF-4198-BF2A-456BAD655B2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7CBB4-4605-4586-A136-29D57872046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87C91-FD0F-41E9-AAF2-509FDA62714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7D011-67AD-4857-A72E-FFBE2D347BCB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BB815-0429-42A9-92EF-4B1286E2BDE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34.83630585565713</v>
      </c>
      <c r="C2" s="2">
        <f>('[1]Pc, Summer, S1'!C2*Main!$B$5)+(_xlfn.IFNA(VLOOKUP($A2,'FL Ratio'!$A$3:$B$10,2,FALSE),0)*'FL Characterization'!C$2)</f>
        <v>31.650342819843548</v>
      </c>
      <c r="D2" s="2">
        <f>('[1]Pc, Summer, S1'!D2*Main!$B$5)+(_xlfn.IFNA(VLOOKUP($A2,'FL Ratio'!$A$3:$B$10,2,FALSE),0)*'FL Characterization'!D$2)</f>
        <v>31.097493589892466</v>
      </c>
      <c r="E2" s="2">
        <f>('[1]Pc, Summer, S1'!E2*Main!$B$5)+(_xlfn.IFNA(VLOOKUP($A2,'FL Ratio'!$A$3:$B$10,2,FALSE),0)*'FL Characterization'!E$2)</f>
        <v>31.018053050770316</v>
      </c>
      <c r="F2" s="2">
        <f>('[1]Pc, Summer, S1'!F2*Main!$B$5)+(_xlfn.IFNA(VLOOKUP($A2,'FL Ratio'!$A$3:$B$10,2,FALSE),0)*'FL Characterization'!F$2)</f>
        <v>31.020498517496343</v>
      </c>
      <c r="G2" s="2">
        <f>('[1]Pc, Summer, S1'!G2*Main!$B$5)+(_xlfn.IFNA(VLOOKUP($A2,'FL Ratio'!$A$3:$B$10,2,FALSE),0)*'FL Characterization'!G$2)</f>
        <v>30.746162292600836</v>
      </c>
      <c r="H2" s="2">
        <f>('[1]Pc, Summer, S1'!H2*Main!$B$5)+(_xlfn.IFNA(VLOOKUP($A2,'FL Ratio'!$A$3:$B$10,2,FALSE),0)*'FL Characterization'!H$2)</f>
        <v>33.193226808756371</v>
      </c>
      <c r="I2" s="2">
        <f>('[1]Pc, Summer, S1'!I2*Main!$B$5)+(_xlfn.IFNA(VLOOKUP($A2,'FL Ratio'!$A$3:$B$10,2,FALSE),0)*'FL Characterization'!I$2)</f>
        <v>39.408469590285883</v>
      </c>
      <c r="J2" s="2">
        <f>('[1]Pc, Summer, S1'!J2*Main!$B$5)+(_xlfn.IFNA(VLOOKUP($A2,'FL Ratio'!$A$3:$B$10,2,FALSE),0)*'FL Characterization'!J$2)</f>
        <v>44.914449660761804</v>
      </c>
      <c r="K2" s="2">
        <f>('[1]Pc, Summer, S1'!K2*Main!$B$5)+(_xlfn.IFNA(VLOOKUP($A2,'FL Ratio'!$A$3:$B$10,2,FALSE),0)*'FL Characterization'!K$2)</f>
        <v>46.294583082290451</v>
      </c>
      <c r="L2" s="2">
        <f>('[1]Pc, Summer, S1'!L2*Main!$B$5)+(_xlfn.IFNA(VLOOKUP($A2,'FL Ratio'!$A$3:$B$10,2,FALSE),0)*'FL Characterization'!L$2)</f>
        <v>45.826094251986547</v>
      </c>
      <c r="M2" s="2">
        <f>('[1]Pc, Summer, S1'!M2*Main!$B$5)+(_xlfn.IFNA(VLOOKUP($A2,'FL Ratio'!$A$3:$B$10,2,FALSE),0)*'FL Characterization'!M$2)</f>
        <v>47.121992398408707</v>
      </c>
      <c r="N2" s="2">
        <f>('[1]Pc, Summer, S1'!N2*Main!$B$5)+(_xlfn.IFNA(VLOOKUP($A2,'FL Ratio'!$A$3:$B$10,2,FALSE),0)*'FL Characterization'!N$2)</f>
        <v>47.768406777045008</v>
      </c>
      <c r="O2" s="2">
        <f>('[1]Pc, Summer, S1'!O2*Main!$B$5)+(_xlfn.IFNA(VLOOKUP($A2,'FL Ratio'!$A$3:$B$10,2,FALSE),0)*'FL Characterization'!O$2)</f>
        <v>46.884780742554817</v>
      </c>
      <c r="P2" s="2">
        <f>('[1]Pc, Summer, S1'!P2*Main!$B$5)+(_xlfn.IFNA(VLOOKUP($A2,'FL Ratio'!$A$3:$B$10,2,FALSE),0)*'FL Characterization'!P$2)</f>
        <v>45.052748149238518</v>
      </c>
      <c r="Q2" s="2">
        <f>('[1]Pc, Summer, S1'!Q2*Main!$B$5)+(_xlfn.IFNA(VLOOKUP($A2,'FL Ratio'!$A$3:$B$10,2,FALSE),0)*'FL Characterization'!Q$2)</f>
        <v>43.239452761766202</v>
      </c>
      <c r="R2" s="2">
        <f>('[1]Pc, Summer, S1'!R2*Main!$B$5)+(_xlfn.IFNA(VLOOKUP($A2,'FL Ratio'!$A$3:$B$10,2,FALSE),0)*'FL Characterization'!R$2)</f>
        <v>43.993839502141213</v>
      </c>
      <c r="S2" s="2">
        <f>('[1]Pc, Summer, S1'!S2*Main!$B$5)+(_xlfn.IFNA(VLOOKUP($A2,'FL Ratio'!$A$3:$B$10,2,FALSE),0)*'FL Characterization'!S$2)</f>
        <v>44.428487646665509</v>
      </c>
      <c r="T2" s="2">
        <f>('[1]Pc, Summer, S1'!T2*Main!$B$5)+(_xlfn.IFNA(VLOOKUP($A2,'FL Ratio'!$A$3:$B$10,2,FALSE),0)*'FL Characterization'!T$2)</f>
        <v>44.617070072390234</v>
      </c>
      <c r="U2" s="2">
        <f>('[1]Pc, Summer, S1'!U2*Main!$B$5)+(_xlfn.IFNA(VLOOKUP($A2,'FL Ratio'!$A$3:$B$10,2,FALSE),0)*'FL Characterization'!U$2)</f>
        <v>43.878452442554618</v>
      </c>
      <c r="V2" s="2">
        <f>('[1]Pc, Summer, S1'!V2*Main!$B$5)+(_xlfn.IFNA(VLOOKUP($A2,'FL Ratio'!$A$3:$B$10,2,FALSE),0)*'FL Characterization'!V$2)</f>
        <v>44.01028786337492</v>
      </c>
      <c r="W2" s="2">
        <f>('[1]Pc, Summer, S1'!W2*Main!$B$5)+(_xlfn.IFNA(VLOOKUP($A2,'FL Ratio'!$A$3:$B$10,2,FALSE),0)*'FL Characterization'!W$2)</f>
        <v>45.833104640213968</v>
      </c>
      <c r="X2" s="2">
        <f>('[1]Pc, Summer, S1'!X2*Main!$B$5)+(_xlfn.IFNA(VLOOKUP($A2,'FL Ratio'!$A$3:$B$10,2,FALSE),0)*'FL Characterization'!X$2)</f>
        <v>42.722001035891267</v>
      </c>
      <c r="Y2" s="2">
        <f>('[1]Pc, Summer, S1'!Y2*Main!$B$5)+(_xlfn.IFNA(VLOOKUP($A2,'FL Ratio'!$A$3:$B$10,2,FALSE),0)*'FL Characterization'!Y$2)</f>
        <v>39.163020135955954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37.222379732808825</v>
      </c>
      <c r="C3" s="2">
        <f>('[1]Pc, Summer, S1'!C3*Main!$B$5)+(_xlfn.IFNA(VLOOKUP($A3,'FL Ratio'!$A$3:$B$10,2,FALSE),0)*'FL Characterization'!C$2)</f>
        <v>34.125529800763829</v>
      </c>
      <c r="D3" s="2">
        <f>('[1]Pc, Summer, S1'!D3*Main!$B$5)+(_xlfn.IFNA(VLOOKUP($A3,'FL Ratio'!$A$3:$B$10,2,FALSE),0)*'FL Characterization'!D$2)</f>
        <v>32.34598431475689</v>
      </c>
      <c r="E3" s="2">
        <f>('[1]Pc, Summer, S1'!E3*Main!$B$5)+(_xlfn.IFNA(VLOOKUP($A3,'FL Ratio'!$A$3:$B$10,2,FALSE),0)*'FL Characterization'!E$2)</f>
        <v>31.16537454543932</v>
      </c>
      <c r="F3" s="2">
        <f>('[1]Pc, Summer, S1'!F3*Main!$B$5)+(_xlfn.IFNA(VLOOKUP($A3,'FL Ratio'!$A$3:$B$10,2,FALSE),0)*'FL Characterization'!F$2)</f>
        <v>30.864163508282161</v>
      </c>
      <c r="G3" s="2">
        <f>('[1]Pc, Summer, S1'!G3*Main!$B$5)+(_xlfn.IFNA(VLOOKUP($A3,'FL Ratio'!$A$3:$B$10,2,FALSE),0)*'FL Characterization'!G$2)</f>
        <v>32.788080771564964</v>
      </c>
      <c r="H3" s="2">
        <f>('[1]Pc, Summer, S1'!H3*Main!$B$5)+(_xlfn.IFNA(VLOOKUP($A3,'FL Ratio'!$A$3:$B$10,2,FALSE),0)*'FL Characterization'!H$2)</f>
        <v>41.047661987038062</v>
      </c>
      <c r="I3" s="2">
        <f>('[1]Pc, Summer, S1'!I3*Main!$B$5)+(_xlfn.IFNA(VLOOKUP($A3,'FL Ratio'!$A$3:$B$10,2,FALSE),0)*'FL Characterization'!I$2)</f>
        <v>49.013820776681428</v>
      </c>
      <c r="J3" s="2">
        <f>('[1]Pc, Summer, S1'!J3*Main!$B$5)+(_xlfn.IFNA(VLOOKUP($A3,'FL Ratio'!$A$3:$B$10,2,FALSE),0)*'FL Characterization'!J$2)</f>
        <v>51.114632495101077</v>
      </c>
      <c r="K3" s="2">
        <f>('[1]Pc, Summer, S1'!K3*Main!$B$5)+(_xlfn.IFNA(VLOOKUP($A3,'FL Ratio'!$A$3:$B$10,2,FALSE),0)*'FL Characterization'!K$2)</f>
        <v>50.148496421406264</v>
      </c>
      <c r="L3" s="2">
        <f>('[1]Pc, Summer, S1'!L3*Main!$B$5)+(_xlfn.IFNA(VLOOKUP($A3,'FL Ratio'!$A$3:$B$10,2,FALSE),0)*'FL Characterization'!L$2)</f>
        <v>49.995097373392461</v>
      </c>
      <c r="M3" s="2">
        <f>('[1]Pc, Summer, S1'!M3*Main!$B$5)+(_xlfn.IFNA(VLOOKUP($A3,'FL Ratio'!$A$3:$B$10,2,FALSE),0)*'FL Characterization'!M$2)</f>
        <v>53.308255465270776</v>
      </c>
      <c r="N3" s="2">
        <f>('[1]Pc, Summer, S1'!N3*Main!$B$5)+(_xlfn.IFNA(VLOOKUP($A3,'FL Ratio'!$A$3:$B$10,2,FALSE),0)*'FL Characterization'!N$2)</f>
        <v>53.446027043354462</v>
      </c>
      <c r="O3" s="2">
        <f>('[1]Pc, Summer, S1'!O3*Main!$B$5)+(_xlfn.IFNA(VLOOKUP($A3,'FL Ratio'!$A$3:$B$10,2,FALSE),0)*'FL Characterization'!O$2)</f>
        <v>53.757752634170089</v>
      </c>
      <c r="P3" s="2">
        <f>('[1]Pc, Summer, S1'!P3*Main!$B$5)+(_xlfn.IFNA(VLOOKUP($A3,'FL Ratio'!$A$3:$B$10,2,FALSE),0)*'FL Characterization'!P$2)</f>
        <v>51.140240500233077</v>
      </c>
      <c r="Q3" s="2">
        <f>('[1]Pc, Summer, S1'!Q3*Main!$B$5)+(_xlfn.IFNA(VLOOKUP($A3,'FL Ratio'!$A$3:$B$10,2,FALSE),0)*'FL Characterization'!Q$2)</f>
        <v>48.441379854501257</v>
      </c>
      <c r="R3" s="2">
        <f>('[1]Pc, Summer, S1'!R3*Main!$B$5)+(_xlfn.IFNA(VLOOKUP($A3,'FL Ratio'!$A$3:$B$10,2,FALSE),0)*'FL Characterization'!R$2)</f>
        <v>44.860569603198719</v>
      </c>
      <c r="S3" s="2">
        <f>('[1]Pc, Summer, S1'!S3*Main!$B$5)+(_xlfn.IFNA(VLOOKUP($A3,'FL Ratio'!$A$3:$B$10,2,FALSE),0)*'FL Characterization'!S$2)</f>
        <v>45.2766676016535</v>
      </c>
      <c r="T3" s="2">
        <f>('[1]Pc, Summer, S1'!T3*Main!$B$5)+(_xlfn.IFNA(VLOOKUP($A3,'FL Ratio'!$A$3:$B$10,2,FALSE),0)*'FL Characterization'!T$2)</f>
        <v>44.938964878269907</v>
      </c>
      <c r="U3" s="2">
        <f>('[1]Pc, Summer, S1'!U3*Main!$B$5)+(_xlfn.IFNA(VLOOKUP($A3,'FL Ratio'!$A$3:$B$10,2,FALSE),0)*'FL Characterization'!U$2)</f>
        <v>44.796554526513361</v>
      </c>
      <c r="V3" s="2">
        <f>('[1]Pc, Summer, S1'!V3*Main!$B$5)+(_xlfn.IFNA(VLOOKUP($A3,'FL Ratio'!$A$3:$B$10,2,FALSE),0)*'FL Characterization'!V$2)</f>
        <v>44.97143629397987</v>
      </c>
      <c r="W3" s="2">
        <f>('[1]Pc, Summer, S1'!W3*Main!$B$5)+(_xlfn.IFNA(VLOOKUP($A3,'FL Ratio'!$A$3:$B$10,2,FALSE),0)*'FL Characterization'!W$2)</f>
        <v>44.775834670774628</v>
      </c>
      <c r="X3" s="2">
        <f>('[1]Pc, Summer, S1'!X3*Main!$B$5)+(_xlfn.IFNA(VLOOKUP($A3,'FL Ratio'!$A$3:$B$10,2,FALSE),0)*'FL Characterization'!X$2)</f>
        <v>44.306119057127532</v>
      </c>
      <c r="Y3" s="2">
        <f>('[1]Pc, Summer, S1'!Y3*Main!$B$5)+(_xlfn.IFNA(VLOOKUP($A3,'FL Ratio'!$A$3:$B$10,2,FALSE),0)*'FL Characterization'!Y$2)</f>
        <v>41.845194152706384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49.526525332022558</v>
      </c>
      <c r="C4" s="2">
        <f>('[1]Pc, Summer, S1'!C4*Main!$B$5)+(_xlfn.IFNA(VLOOKUP($A4,'FL Ratio'!$A$3:$B$10,2,FALSE),0)*'FL Characterization'!C$2)</f>
        <v>43.889195681300777</v>
      </c>
      <c r="D4" s="2">
        <f>('[1]Pc, Summer, S1'!D4*Main!$B$5)+(_xlfn.IFNA(VLOOKUP($A4,'FL Ratio'!$A$3:$B$10,2,FALSE),0)*'FL Characterization'!D$2)</f>
        <v>41.403419518075125</v>
      </c>
      <c r="E4" s="2">
        <f>('[1]Pc, Summer, S1'!E4*Main!$B$5)+(_xlfn.IFNA(VLOOKUP($A4,'FL Ratio'!$A$3:$B$10,2,FALSE),0)*'FL Characterization'!E$2)</f>
        <v>40.05434395030025</v>
      </c>
      <c r="F4" s="2">
        <f>('[1]Pc, Summer, S1'!F4*Main!$B$5)+(_xlfn.IFNA(VLOOKUP($A4,'FL Ratio'!$A$3:$B$10,2,FALSE),0)*'FL Characterization'!F$2)</f>
        <v>42.05997485987529</v>
      </c>
      <c r="G4" s="2">
        <f>('[1]Pc, Summer, S1'!G4*Main!$B$5)+(_xlfn.IFNA(VLOOKUP($A4,'FL Ratio'!$A$3:$B$10,2,FALSE),0)*'FL Characterization'!G$2)</f>
        <v>38.432456960986499</v>
      </c>
      <c r="H4" s="2">
        <f>('[1]Pc, Summer, S1'!H4*Main!$B$5)+(_xlfn.IFNA(VLOOKUP($A4,'FL Ratio'!$A$3:$B$10,2,FALSE),0)*'FL Characterization'!H$2)</f>
        <v>45.132330850458459</v>
      </c>
      <c r="I4" s="2">
        <f>('[1]Pc, Summer, S1'!I4*Main!$B$5)+(_xlfn.IFNA(VLOOKUP($A4,'FL Ratio'!$A$3:$B$10,2,FALSE),0)*'FL Characterization'!I$2)</f>
        <v>50.985272870213869</v>
      </c>
      <c r="J4" s="2">
        <f>('[1]Pc, Summer, S1'!J4*Main!$B$5)+(_xlfn.IFNA(VLOOKUP($A4,'FL Ratio'!$A$3:$B$10,2,FALSE),0)*'FL Characterization'!J$2)</f>
        <v>57.377507042889107</v>
      </c>
      <c r="K4" s="2">
        <f>('[1]Pc, Summer, S1'!K4*Main!$B$5)+(_xlfn.IFNA(VLOOKUP($A4,'FL Ratio'!$A$3:$B$10,2,FALSE),0)*'FL Characterization'!K$2)</f>
        <v>61.664592736341241</v>
      </c>
      <c r="L4" s="2">
        <f>('[1]Pc, Summer, S1'!L4*Main!$B$5)+(_xlfn.IFNA(VLOOKUP($A4,'FL Ratio'!$A$3:$B$10,2,FALSE),0)*'FL Characterization'!L$2)</f>
        <v>63.498162438181552</v>
      </c>
      <c r="M4" s="2">
        <f>('[1]Pc, Summer, S1'!M4*Main!$B$5)+(_xlfn.IFNA(VLOOKUP($A4,'FL Ratio'!$A$3:$B$10,2,FALSE),0)*'FL Characterization'!M$2)</f>
        <v>64.546560224530367</v>
      </c>
      <c r="N4" s="2">
        <f>('[1]Pc, Summer, S1'!N4*Main!$B$5)+(_xlfn.IFNA(VLOOKUP($A4,'FL Ratio'!$A$3:$B$10,2,FALSE),0)*'FL Characterization'!N$2)</f>
        <v>65.947153846436223</v>
      </c>
      <c r="O4" s="2">
        <f>('[1]Pc, Summer, S1'!O4*Main!$B$5)+(_xlfn.IFNA(VLOOKUP($A4,'FL Ratio'!$A$3:$B$10,2,FALSE),0)*'FL Characterization'!O$2)</f>
        <v>66.795980208504773</v>
      </c>
      <c r="P4" s="2">
        <f>('[1]Pc, Summer, S1'!P4*Main!$B$5)+(_xlfn.IFNA(VLOOKUP($A4,'FL Ratio'!$A$3:$B$10,2,FALSE),0)*'FL Characterization'!P$2)</f>
        <v>67.072369124465624</v>
      </c>
      <c r="Q4" s="2">
        <f>('[1]Pc, Summer, S1'!Q4*Main!$B$5)+(_xlfn.IFNA(VLOOKUP($A4,'FL Ratio'!$A$3:$B$10,2,FALSE),0)*'FL Characterization'!Q$2)</f>
        <v>64.559154285383954</v>
      </c>
      <c r="R4" s="2">
        <f>('[1]Pc, Summer, S1'!R4*Main!$B$5)+(_xlfn.IFNA(VLOOKUP($A4,'FL Ratio'!$A$3:$B$10,2,FALSE),0)*'FL Characterization'!R$2)</f>
        <v>64.277064459124603</v>
      </c>
      <c r="S4" s="2">
        <f>('[1]Pc, Summer, S1'!S4*Main!$B$5)+(_xlfn.IFNA(VLOOKUP($A4,'FL Ratio'!$A$3:$B$10,2,FALSE),0)*'FL Characterization'!S$2)</f>
        <v>62.202816098919662</v>
      </c>
      <c r="T4" s="2">
        <f>('[1]Pc, Summer, S1'!T4*Main!$B$5)+(_xlfn.IFNA(VLOOKUP($A4,'FL Ratio'!$A$3:$B$10,2,FALSE),0)*'FL Characterization'!T$2)</f>
        <v>62.188097014446761</v>
      </c>
      <c r="U4" s="2">
        <f>('[1]Pc, Summer, S1'!U4*Main!$B$5)+(_xlfn.IFNA(VLOOKUP($A4,'FL Ratio'!$A$3:$B$10,2,FALSE),0)*'FL Characterization'!U$2)</f>
        <v>62.553036159496777</v>
      </c>
      <c r="V4" s="2">
        <f>('[1]Pc, Summer, S1'!V4*Main!$B$5)+(_xlfn.IFNA(VLOOKUP($A4,'FL Ratio'!$A$3:$B$10,2,FALSE),0)*'FL Characterization'!V$2)</f>
        <v>62.216491129046638</v>
      </c>
      <c r="W4" s="2">
        <f>('[1]Pc, Summer, S1'!W4*Main!$B$5)+(_xlfn.IFNA(VLOOKUP($A4,'FL Ratio'!$A$3:$B$10,2,FALSE),0)*'FL Characterization'!W$2)</f>
        <v>64.232869792266825</v>
      </c>
      <c r="X4" s="2">
        <f>('[1]Pc, Summer, S1'!X4*Main!$B$5)+(_xlfn.IFNA(VLOOKUP($A4,'FL Ratio'!$A$3:$B$10,2,FALSE),0)*'FL Characterization'!X$2)</f>
        <v>63.891841510211776</v>
      </c>
      <c r="Y4" s="2">
        <f>('[1]Pc, Summer, S1'!Y4*Main!$B$5)+(_xlfn.IFNA(VLOOKUP($A4,'FL Ratio'!$A$3:$B$10,2,FALSE),0)*'FL Characterization'!Y$2)</f>
        <v>57.552612108837046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34.83630585565713</v>
      </c>
      <c r="C2" s="2">
        <f>('[1]Pc, Summer, S1'!C2*Main!$B$5)+(_xlfn.IFNA(VLOOKUP($A2,'FL Ratio'!$A$3:$B$10,2,FALSE),0)*'FL Characterization'!C$2)</f>
        <v>31.650342819843548</v>
      </c>
      <c r="D2" s="2">
        <f>('[1]Pc, Summer, S1'!D2*Main!$B$5)+(_xlfn.IFNA(VLOOKUP($A2,'FL Ratio'!$A$3:$B$10,2,FALSE),0)*'FL Characterization'!D$2)</f>
        <v>31.097493589892466</v>
      </c>
      <c r="E2" s="2">
        <f>('[1]Pc, Summer, S1'!E2*Main!$B$5)+(_xlfn.IFNA(VLOOKUP($A2,'FL Ratio'!$A$3:$B$10,2,FALSE),0)*'FL Characterization'!E$2)</f>
        <v>31.018053050770316</v>
      </c>
      <c r="F2" s="2">
        <f>('[1]Pc, Summer, S1'!F2*Main!$B$5)+(_xlfn.IFNA(VLOOKUP($A2,'FL Ratio'!$A$3:$B$10,2,FALSE),0)*'FL Characterization'!F$2)</f>
        <v>31.020498517496343</v>
      </c>
      <c r="G2" s="2">
        <f>('[1]Pc, Summer, S1'!G2*Main!$B$5)+(_xlfn.IFNA(VLOOKUP($A2,'FL Ratio'!$A$3:$B$10,2,FALSE),0)*'FL Characterization'!G$2)</f>
        <v>30.746162292600836</v>
      </c>
      <c r="H2" s="2">
        <f>('[1]Pc, Summer, S1'!H2*Main!$B$5)+(_xlfn.IFNA(VLOOKUP($A2,'FL Ratio'!$A$3:$B$10,2,FALSE),0)*'FL Characterization'!H$2)</f>
        <v>33.193226808756371</v>
      </c>
      <c r="I2" s="2">
        <f>('[1]Pc, Summer, S1'!I2*Main!$B$5)+(_xlfn.IFNA(VLOOKUP($A2,'FL Ratio'!$A$3:$B$10,2,FALSE),0)*'FL Characterization'!I$2)</f>
        <v>39.408469590285883</v>
      </c>
      <c r="J2" s="2">
        <f>('[1]Pc, Summer, S1'!J2*Main!$B$5)+(_xlfn.IFNA(VLOOKUP($A2,'FL Ratio'!$A$3:$B$10,2,FALSE),0)*'FL Characterization'!J$2)</f>
        <v>44.914449660761804</v>
      </c>
      <c r="K2" s="2">
        <f>('[1]Pc, Summer, S1'!K2*Main!$B$5)+(_xlfn.IFNA(VLOOKUP($A2,'FL Ratio'!$A$3:$B$10,2,FALSE),0)*'FL Characterization'!K$2)</f>
        <v>46.294583082290451</v>
      </c>
      <c r="L2" s="2">
        <f>('[1]Pc, Summer, S1'!L2*Main!$B$5)+(_xlfn.IFNA(VLOOKUP($A2,'FL Ratio'!$A$3:$B$10,2,FALSE),0)*'FL Characterization'!L$2)</f>
        <v>45.826094251986547</v>
      </c>
      <c r="M2" s="2">
        <f>('[1]Pc, Summer, S1'!M2*Main!$B$5)+(_xlfn.IFNA(VLOOKUP($A2,'FL Ratio'!$A$3:$B$10,2,FALSE),0)*'FL Characterization'!M$2)</f>
        <v>47.121992398408707</v>
      </c>
      <c r="N2" s="2">
        <f>('[1]Pc, Summer, S1'!N2*Main!$B$5)+(_xlfn.IFNA(VLOOKUP($A2,'FL Ratio'!$A$3:$B$10,2,FALSE),0)*'FL Characterization'!N$2)</f>
        <v>47.768406777045008</v>
      </c>
      <c r="O2" s="2">
        <f>('[1]Pc, Summer, S1'!O2*Main!$B$5)+(_xlfn.IFNA(VLOOKUP($A2,'FL Ratio'!$A$3:$B$10,2,FALSE),0)*'FL Characterization'!O$2)</f>
        <v>46.884780742554817</v>
      </c>
      <c r="P2" s="2">
        <f>('[1]Pc, Summer, S1'!P2*Main!$B$5)+(_xlfn.IFNA(VLOOKUP($A2,'FL Ratio'!$A$3:$B$10,2,FALSE),0)*'FL Characterization'!P$2)</f>
        <v>45.052748149238518</v>
      </c>
      <c r="Q2" s="2">
        <f>('[1]Pc, Summer, S1'!Q2*Main!$B$5)+(_xlfn.IFNA(VLOOKUP($A2,'FL Ratio'!$A$3:$B$10,2,FALSE),0)*'FL Characterization'!Q$2)</f>
        <v>43.239452761766202</v>
      </c>
      <c r="R2" s="2">
        <f>('[1]Pc, Summer, S1'!R2*Main!$B$5)+(_xlfn.IFNA(VLOOKUP($A2,'FL Ratio'!$A$3:$B$10,2,FALSE),0)*'FL Characterization'!R$2)</f>
        <v>43.993839502141213</v>
      </c>
      <c r="S2" s="2">
        <f>('[1]Pc, Summer, S1'!S2*Main!$B$5)+(_xlfn.IFNA(VLOOKUP($A2,'FL Ratio'!$A$3:$B$10,2,FALSE),0)*'FL Characterization'!S$2)</f>
        <v>44.428487646665509</v>
      </c>
      <c r="T2" s="2">
        <f>('[1]Pc, Summer, S1'!T2*Main!$B$5)+(_xlfn.IFNA(VLOOKUP($A2,'FL Ratio'!$A$3:$B$10,2,FALSE),0)*'FL Characterization'!T$2)</f>
        <v>44.617070072390234</v>
      </c>
      <c r="U2" s="2">
        <f>('[1]Pc, Summer, S1'!U2*Main!$B$5)+(_xlfn.IFNA(VLOOKUP($A2,'FL Ratio'!$A$3:$B$10,2,FALSE),0)*'FL Characterization'!U$2)</f>
        <v>43.878452442554618</v>
      </c>
      <c r="V2" s="2">
        <f>('[1]Pc, Summer, S1'!V2*Main!$B$5)+(_xlfn.IFNA(VLOOKUP($A2,'FL Ratio'!$A$3:$B$10,2,FALSE),0)*'FL Characterization'!V$2)</f>
        <v>44.01028786337492</v>
      </c>
      <c r="W2" s="2">
        <f>('[1]Pc, Summer, S1'!W2*Main!$B$5)+(_xlfn.IFNA(VLOOKUP($A2,'FL Ratio'!$A$3:$B$10,2,FALSE),0)*'FL Characterization'!W$2)</f>
        <v>45.833104640213968</v>
      </c>
      <c r="X2" s="2">
        <f>('[1]Pc, Summer, S1'!X2*Main!$B$5)+(_xlfn.IFNA(VLOOKUP($A2,'FL Ratio'!$A$3:$B$10,2,FALSE),0)*'FL Characterization'!X$2)</f>
        <v>42.722001035891267</v>
      </c>
      <c r="Y2" s="2">
        <f>('[1]Pc, Summer, S1'!Y2*Main!$B$5)+(_xlfn.IFNA(VLOOKUP($A2,'FL Ratio'!$A$3:$B$10,2,FALSE),0)*'FL Characterization'!Y$2)</f>
        <v>39.163020135955954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37.222379732808825</v>
      </c>
      <c r="C3" s="2">
        <f>('[1]Pc, Summer, S1'!C3*Main!$B$5)+(_xlfn.IFNA(VLOOKUP($A3,'FL Ratio'!$A$3:$B$10,2,FALSE),0)*'FL Characterization'!C$2)</f>
        <v>34.125529800763829</v>
      </c>
      <c r="D3" s="2">
        <f>('[1]Pc, Summer, S1'!D3*Main!$B$5)+(_xlfn.IFNA(VLOOKUP($A3,'FL Ratio'!$A$3:$B$10,2,FALSE),0)*'FL Characterization'!D$2)</f>
        <v>32.34598431475689</v>
      </c>
      <c r="E3" s="2">
        <f>('[1]Pc, Summer, S1'!E3*Main!$B$5)+(_xlfn.IFNA(VLOOKUP($A3,'FL Ratio'!$A$3:$B$10,2,FALSE),0)*'FL Characterization'!E$2)</f>
        <v>31.16537454543932</v>
      </c>
      <c r="F3" s="2">
        <f>('[1]Pc, Summer, S1'!F3*Main!$B$5)+(_xlfn.IFNA(VLOOKUP($A3,'FL Ratio'!$A$3:$B$10,2,FALSE),0)*'FL Characterization'!F$2)</f>
        <v>30.864163508282161</v>
      </c>
      <c r="G3" s="2">
        <f>('[1]Pc, Summer, S1'!G3*Main!$B$5)+(_xlfn.IFNA(VLOOKUP($A3,'FL Ratio'!$A$3:$B$10,2,FALSE),0)*'FL Characterization'!G$2)</f>
        <v>32.788080771564964</v>
      </c>
      <c r="H3" s="2">
        <f>('[1]Pc, Summer, S1'!H3*Main!$B$5)+(_xlfn.IFNA(VLOOKUP($A3,'FL Ratio'!$A$3:$B$10,2,FALSE),0)*'FL Characterization'!H$2)</f>
        <v>41.047661987038062</v>
      </c>
      <c r="I3" s="2">
        <f>('[1]Pc, Summer, S1'!I3*Main!$B$5)+(_xlfn.IFNA(VLOOKUP($A3,'FL Ratio'!$A$3:$B$10,2,FALSE),0)*'FL Characterization'!I$2)</f>
        <v>49.013820776681428</v>
      </c>
      <c r="J3" s="2">
        <f>('[1]Pc, Summer, S1'!J3*Main!$B$5)+(_xlfn.IFNA(VLOOKUP($A3,'FL Ratio'!$A$3:$B$10,2,FALSE),0)*'FL Characterization'!J$2)</f>
        <v>51.114632495101077</v>
      </c>
      <c r="K3" s="2">
        <f>('[1]Pc, Summer, S1'!K3*Main!$B$5)+(_xlfn.IFNA(VLOOKUP($A3,'FL Ratio'!$A$3:$B$10,2,FALSE),0)*'FL Characterization'!K$2)</f>
        <v>50.148496421406264</v>
      </c>
      <c r="L3" s="2">
        <f>('[1]Pc, Summer, S1'!L3*Main!$B$5)+(_xlfn.IFNA(VLOOKUP($A3,'FL Ratio'!$A$3:$B$10,2,FALSE),0)*'FL Characterization'!L$2)</f>
        <v>49.995097373392461</v>
      </c>
      <c r="M3" s="2">
        <f>('[1]Pc, Summer, S1'!M3*Main!$B$5)+(_xlfn.IFNA(VLOOKUP($A3,'FL Ratio'!$A$3:$B$10,2,FALSE),0)*'FL Characterization'!M$2)</f>
        <v>53.308255465270776</v>
      </c>
      <c r="N3" s="2">
        <f>('[1]Pc, Summer, S1'!N3*Main!$B$5)+(_xlfn.IFNA(VLOOKUP($A3,'FL Ratio'!$A$3:$B$10,2,FALSE),0)*'FL Characterization'!N$2)</f>
        <v>53.446027043354462</v>
      </c>
      <c r="O3" s="2">
        <f>('[1]Pc, Summer, S1'!O3*Main!$B$5)+(_xlfn.IFNA(VLOOKUP($A3,'FL Ratio'!$A$3:$B$10,2,FALSE),0)*'FL Characterization'!O$2)</f>
        <v>53.757752634170089</v>
      </c>
      <c r="P3" s="2">
        <f>('[1]Pc, Summer, S1'!P3*Main!$B$5)+(_xlfn.IFNA(VLOOKUP($A3,'FL Ratio'!$A$3:$B$10,2,FALSE),0)*'FL Characterization'!P$2)</f>
        <v>51.140240500233077</v>
      </c>
      <c r="Q3" s="2">
        <f>('[1]Pc, Summer, S1'!Q3*Main!$B$5)+(_xlfn.IFNA(VLOOKUP($A3,'FL Ratio'!$A$3:$B$10,2,FALSE),0)*'FL Characterization'!Q$2)</f>
        <v>48.441379854501257</v>
      </c>
      <c r="R3" s="2">
        <f>('[1]Pc, Summer, S1'!R3*Main!$B$5)+(_xlfn.IFNA(VLOOKUP($A3,'FL Ratio'!$A$3:$B$10,2,FALSE),0)*'FL Characterization'!R$2)</f>
        <v>44.860569603198719</v>
      </c>
      <c r="S3" s="2">
        <f>('[1]Pc, Summer, S1'!S3*Main!$B$5)+(_xlfn.IFNA(VLOOKUP($A3,'FL Ratio'!$A$3:$B$10,2,FALSE),0)*'FL Characterization'!S$2)</f>
        <v>45.2766676016535</v>
      </c>
      <c r="T3" s="2">
        <f>('[1]Pc, Summer, S1'!T3*Main!$B$5)+(_xlfn.IFNA(VLOOKUP($A3,'FL Ratio'!$A$3:$B$10,2,FALSE),0)*'FL Characterization'!T$2)</f>
        <v>44.938964878269907</v>
      </c>
      <c r="U3" s="2">
        <f>('[1]Pc, Summer, S1'!U3*Main!$B$5)+(_xlfn.IFNA(VLOOKUP($A3,'FL Ratio'!$A$3:$B$10,2,FALSE),0)*'FL Characterization'!U$2)</f>
        <v>44.796554526513361</v>
      </c>
      <c r="V3" s="2">
        <f>('[1]Pc, Summer, S1'!V3*Main!$B$5)+(_xlfn.IFNA(VLOOKUP($A3,'FL Ratio'!$A$3:$B$10,2,FALSE),0)*'FL Characterization'!V$2)</f>
        <v>44.97143629397987</v>
      </c>
      <c r="W3" s="2">
        <f>('[1]Pc, Summer, S1'!W3*Main!$B$5)+(_xlfn.IFNA(VLOOKUP($A3,'FL Ratio'!$A$3:$B$10,2,FALSE),0)*'FL Characterization'!W$2)</f>
        <v>44.775834670774628</v>
      </c>
      <c r="X3" s="2">
        <f>('[1]Pc, Summer, S1'!X3*Main!$B$5)+(_xlfn.IFNA(VLOOKUP($A3,'FL Ratio'!$A$3:$B$10,2,FALSE),0)*'FL Characterization'!X$2)</f>
        <v>44.306119057127532</v>
      </c>
      <c r="Y3" s="2">
        <f>('[1]Pc, Summer, S1'!Y3*Main!$B$5)+(_xlfn.IFNA(VLOOKUP($A3,'FL Ratio'!$A$3:$B$10,2,FALSE),0)*'FL Characterization'!Y$2)</f>
        <v>41.845194152706384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49.526525332022558</v>
      </c>
      <c r="C4" s="2">
        <f>('[1]Pc, Summer, S1'!C4*Main!$B$5)+(_xlfn.IFNA(VLOOKUP($A4,'FL Ratio'!$A$3:$B$10,2,FALSE),0)*'FL Characterization'!C$2)</f>
        <v>43.889195681300777</v>
      </c>
      <c r="D4" s="2">
        <f>('[1]Pc, Summer, S1'!D4*Main!$B$5)+(_xlfn.IFNA(VLOOKUP($A4,'FL Ratio'!$A$3:$B$10,2,FALSE),0)*'FL Characterization'!D$2)</f>
        <v>41.403419518075125</v>
      </c>
      <c r="E4" s="2">
        <f>('[1]Pc, Summer, S1'!E4*Main!$B$5)+(_xlfn.IFNA(VLOOKUP($A4,'FL Ratio'!$A$3:$B$10,2,FALSE),0)*'FL Characterization'!E$2)</f>
        <v>40.05434395030025</v>
      </c>
      <c r="F4" s="2">
        <f>('[1]Pc, Summer, S1'!F4*Main!$B$5)+(_xlfn.IFNA(VLOOKUP($A4,'FL Ratio'!$A$3:$B$10,2,FALSE),0)*'FL Characterization'!F$2)</f>
        <v>42.05997485987529</v>
      </c>
      <c r="G4" s="2">
        <f>('[1]Pc, Summer, S1'!G4*Main!$B$5)+(_xlfn.IFNA(VLOOKUP($A4,'FL Ratio'!$A$3:$B$10,2,FALSE),0)*'FL Characterization'!G$2)</f>
        <v>38.432456960986499</v>
      </c>
      <c r="H4" s="2">
        <f>('[1]Pc, Summer, S1'!H4*Main!$B$5)+(_xlfn.IFNA(VLOOKUP($A4,'FL Ratio'!$A$3:$B$10,2,FALSE),0)*'FL Characterization'!H$2)</f>
        <v>45.132330850458459</v>
      </c>
      <c r="I4" s="2">
        <f>('[1]Pc, Summer, S1'!I4*Main!$B$5)+(_xlfn.IFNA(VLOOKUP($A4,'FL Ratio'!$A$3:$B$10,2,FALSE),0)*'FL Characterization'!I$2)</f>
        <v>50.985272870213869</v>
      </c>
      <c r="J4" s="2">
        <f>('[1]Pc, Summer, S1'!J4*Main!$B$5)+(_xlfn.IFNA(VLOOKUP($A4,'FL Ratio'!$A$3:$B$10,2,FALSE),0)*'FL Characterization'!J$2)</f>
        <v>57.377507042889107</v>
      </c>
      <c r="K4" s="2">
        <f>('[1]Pc, Summer, S1'!K4*Main!$B$5)+(_xlfn.IFNA(VLOOKUP($A4,'FL Ratio'!$A$3:$B$10,2,FALSE),0)*'FL Characterization'!K$2)</f>
        <v>61.664592736341241</v>
      </c>
      <c r="L4" s="2">
        <f>('[1]Pc, Summer, S1'!L4*Main!$B$5)+(_xlfn.IFNA(VLOOKUP($A4,'FL Ratio'!$A$3:$B$10,2,FALSE),0)*'FL Characterization'!L$2)</f>
        <v>63.498162438181552</v>
      </c>
      <c r="M4" s="2">
        <f>('[1]Pc, Summer, S1'!M4*Main!$B$5)+(_xlfn.IFNA(VLOOKUP($A4,'FL Ratio'!$A$3:$B$10,2,FALSE),0)*'FL Characterization'!M$2)</f>
        <v>64.546560224530367</v>
      </c>
      <c r="N4" s="2">
        <f>('[1]Pc, Summer, S1'!N4*Main!$B$5)+(_xlfn.IFNA(VLOOKUP($A4,'FL Ratio'!$A$3:$B$10,2,FALSE),0)*'FL Characterization'!N$2)</f>
        <v>65.947153846436223</v>
      </c>
      <c r="O4" s="2">
        <f>('[1]Pc, Summer, S1'!O4*Main!$B$5)+(_xlfn.IFNA(VLOOKUP($A4,'FL Ratio'!$A$3:$B$10,2,FALSE),0)*'FL Characterization'!O$2)</f>
        <v>66.795980208504773</v>
      </c>
      <c r="P4" s="2">
        <f>('[1]Pc, Summer, S1'!P4*Main!$B$5)+(_xlfn.IFNA(VLOOKUP($A4,'FL Ratio'!$A$3:$B$10,2,FALSE),0)*'FL Characterization'!P$2)</f>
        <v>67.072369124465624</v>
      </c>
      <c r="Q4" s="2">
        <f>('[1]Pc, Summer, S1'!Q4*Main!$B$5)+(_xlfn.IFNA(VLOOKUP($A4,'FL Ratio'!$A$3:$B$10,2,FALSE),0)*'FL Characterization'!Q$2)</f>
        <v>64.559154285383954</v>
      </c>
      <c r="R4" s="2">
        <f>('[1]Pc, Summer, S1'!R4*Main!$B$5)+(_xlfn.IFNA(VLOOKUP($A4,'FL Ratio'!$A$3:$B$10,2,FALSE),0)*'FL Characterization'!R$2)</f>
        <v>64.277064459124603</v>
      </c>
      <c r="S4" s="2">
        <f>('[1]Pc, Summer, S1'!S4*Main!$B$5)+(_xlfn.IFNA(VLOOKUP($A4,'FL Ratio'!$A$3:$B$10,2,FALSE),0)*'FL Characterization'!S$2)</f>
        <v>62.202816098919662</v>
      </c>
      <c r="T4" s="2">
        <f>('[1]Pc, Summer, S1'!T4*Main!$B$5)+(_xlfn.IFNA(VLOOKUP($A4,'FL Ratio'!$A$3:$B$10,2,FALSE),0)*'FL Characterization'!T$2)</f>
        <v>62.188097014446761</v>
      </c>
      <c r="U4" s="2">
        <f>('[1]Pc, Summer, S1'!U4*Main!$B$5)+(_xlfn.IFNA(VLOOKUP($A4,'FL Ratio'!$A$3:$B$10,2,FALSE),0)*'FL Characterization'!U$2)</f>
        <v>62.553036159496777</v>
      </c>
      <c r="V4" s="2">
        <f>('[1]Pc, Summer, S1'!V4*Main!$B$5)+(_xlfn.IFNA(VLOOKUP($A4,'FL Ratio'!$A$3:$B$10,2,FALSE),0)*'FL Characterization'!V$2)</f>
        <v>62.216491129046638</v>
      </c>
      <c r="W4" s="2">
        <f>('[1]Pc, Summer, S1'!W4*Main!$B$5)+(_xlfn.IFNA(VLOOKUP($A4,'FL Ratio'!$A$3:$B$10,2,FALSE),0)*'FL Characterization'!W$2)</f>
        <v>64.232869792266825</v>
      </c>
      <c r="X4" s="2">
        <f>('[1]Pc, Summer, S1'!X4*Main!$B$5)+(_xlfn.IFNA(VLOOKUP($A4,'FL Ratio'!$A$3:$B$10,2,FALSE),0)*'FL Characterization'!X$2)</f>
        <v>63.891841510211776</v>
      </c>
      <c r="Y4" s="2">
        <f>('[1]Pc, Summer, S1'!Y4*Main!$B$5)+(_xlfn.IFNA(VLOOKUP($A4,'FL Ratio'!$A$3:$B$10,2,FALSE),0)*'FL Characterization'!Y$2)</f>
        <v>57.552612108837046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34.83630585565713</v>
      </c>
      <c r="C2" s="2">
        <f>('[1]Pc, Summer, S1'!C2*Main!$B$5)+(_xlfn.IFNA(VLOOKUP($A2,'FL Ratio'!$A$3:$B$10,2,FALSE),0)*'FL Characterization'!C$2)</f>
        <v>31.650342819843548</v>
      </c>
      <c r="D2" s="2">
        <f>('[1]Pc, Summer, S1'!D2*Main!$B$5)+(_xlfn.IFNA(VLOOKUP($A2,'FL Ratio'!$A$3:$B$10,2,FALSE),0)*'FL Characterization'!D$2)</f>
        <v>31.097493589892466</v>
      </c>
      <c r="E2" s="2">
        <f>('[1]Pc, Summer, S1'!E2*Main!$B$5)+(_xlfn.IFNA(VLOOKUP($A2,'FL Ratio'!$A$3:$B$10,2,FALSE),0)*'FL Characterization'!E$2)</f>
        <v>31.018053050770316</v>
      </c>
      <c r="F2" s="2">
        <f>('[1]Pc, Summer, S1'!F2*Main!$B$5)+(_xlfn.IFNA(VLOOKUP($A2,'FL Ratio'!$A$3:$B$10,2,FALSE),0)*'FL Characterization'!F$2)</f>
        <v>31.020498517496343</v>
      </c>
      <c r="G2" s="2">
        <f>('[1]Pc, Summer, S1'!G2*Main!$B$5)+(_xlfn.IFNA(VLOOKUP($A2,'FL Ratio'!$A$3:$B$10,2,FALSE),0)*'FL Characterization'!G$2)</f>
        <v>30.746162292600836</v>
      </c>
      <c r="H2" s="2">
        <f>('[1]Pc, Summer, S1'!H2*Main!$B$5)+(_xlfn.IFNA(VLOOKUP($A2,'FL Ratio'!$A$3:$B$10,2,FALSE),0)*'FL Characterization'!H$2)</f>
        <v>33.193226808756371</v>
      </c>
      <c r="I2" s="2">
        <f>('[1]Pc, Summer, S1'!I2*Main!$B$5)+(_xlfn.IFNA(VLOOKUP($A2,'FL Ratio'!$A$3:$B$10,2,FALSE),0)*'FL Characterization'!I$2)</f>
        <v>39.408469590285883</v>
      </c>
      <c r="J2" s="2">
        <f>('[1]Pc, Summer, S1'!J2*Main!$B$5)+(_xlfn.IFNA(VLOOKUP($A2,'FL Ratio'!$A$3:$B$10,2,FALSE),0)*'FL Characterization'!J$2)</f>
        <v>44.914449660761804</v>
      </c>
      <c r="K2" s="2">
        <f>('[1]Pc, Summer, S1'!K2*Main!$B$5)+(_xlfn.IFNA(VLOOKUP($A2,'FL Ratio'!$A$3:$B$10,2,FALSE),0)*'FL Characterization'!K$2)</f>
        <v>46.294583082290451</v>
      </c>
      <c r="L2" s="2">
        <f>('[1]Pc, Summer, S1'!L2*Main!$B$5)+(_xlfn.IFNA(VLOOKUP($A2,'FL Ratio'!$A$3:$B$10,2,FALSE),0)*'FL Characterization'!L$2)</f>
        <v>45.826094251986547</v>
      </c>
      <c r="M2" s="2">
        <f>('[1]Pc, Summer, S1'!M2*Main!$B$5)+(_xlfn.IFNA(VLOOKUP($A2,'FL Ratio'!$A$3:$B$10,2,FALSE),0)*'FL Characterization'!M$2)</f>
        <v>47.121992398408707</v>
      </c>
      <c r="N2" s="2">
        <f>('[1]Pc, Summer, S1'!N2*Main!$B$5)+(_xlfn.IFNA(VLOOKUP($A2,'FL Ratio'!$A$3:$B$10,2,FALSE),0)*'FL Characterization'!N$2)</f>
        <v>47.768406777045008</v>
      </c>
      <c r="O2" s="2">
        <f>('[1]Pc, Summer, S1'!O2*Main!$B$5)+(_xlfn.IFNA(VLOOKUP($A2,'FL Ratio'!$A$3:$B$10,2,FALSE),0)*'FL Characterization'!O$2)</f>
        <v>46.884780742554817</v>
      </c>
      <c r="P2" s="2">
        <f>('[1]Pc, Summer, S1'!P2*Main!$B$5)+(_xlfn.IFNA(VLOOKUP($A2,'FL Ratio'!$A$3:$B$10,2,FALSE),0)*'FL Characterization'!P$2)</f>
        <v>45.052748149238518</v>
      </c>
      <c r="Q2" s="2">
        <f>('[1]Pc, Summer, S1'!Q2*Main!$B$5)+(_xlfn.IFNA(VLOOKUP($A2,'FL Ratio'!$A$3:$B$10,2,FALSE),0)*'FL Characterization'!Q$2)</f>
        <v>43.239452761766202</v>
      </c>
      <c r="R2" s="2">
        <f>('[1]Pc, Summer, S1'!R2*Main!$B$5)+(_xlfn.IFNA(VLOOKUP($A2,'FL Ratio'!$A$3:$B$10,2,FALSE),0)*'FL Characterization'!R$2)</f>
        <v>43.993839502141213</v>
      </c>
      <c r="S2" s="2">
        <f>('[1]Pc, Summer, S1'!S2*Main!$B$5)+(_xlfn.IFNA(VLOOKUP($A2,'FL Ratio'!$A$3:$B$10,2,FALSE),0)*'FL Characterization'!S$2)</f>
        <v>44.428487646665509</v>
      </c>
      <c r="T2" s="2">
        <f>('[1]Pc, Summer, S1'!T2*Main!$B$5)+(_xlfn.IFNA(VLOOKUP($A2,'FL Ratio'!$A$3:$B$10,2,FALSE),0)*'FL Characterization'!T$2)</f>
        <v>44.617070072390234</v>
      </c>
      <c r="U2" s="2">
        <f>('[1]Pc, Summer, S1'!U2*Main!$B$5)+(_xlfn.IFNA(VLOOKUP($A2,'FL Ratio'!$A$3:$B$10,2,FALSE),0)*'FL Characterization'!U$2)</f>
        <v>43.878452442554618</v>
      </c>
      <c r="V2" s="2">
        <f>('[1]Pc, Summer, S1'!V2*Main!$B$5)+(_xlfn.IFNA(VLOOKUP($A2,'FL Ratio'!$A$3:$B$10,2,FALSE),0)*'FL Characterization'!V$2)</f>
        <v>44.01028786337492</v>
      </c>
      <c r="W2" s="2">
        <f>('[1]Pc, Summer, S1'!W2*Main!$B$5)+(_xlfn.IFNA(VLOOKUP($A2,'FL Ratio'!$A$3:$B$10,2,FALSE),0)*'FL Characterization'!W$2)</f>
        <v>45.833104640213968</v>
      </c>
      <c r="X2" s="2">
        <f>('[1]Pc, Summer, S1'!X2*Main!$B$5)+(_xlfn.IFNA(VLOOKUP($A2,'FL Ratio'!$A$3:$B$10,2,FALSE),0)*'FL Characterization'!X$2)</f>
        <v>42.722001035891267</v>
      </c>
      <c r="Y2" s="2">
        <f>('[1]Pc, Summer, S1'!Y2*Main!$B$5)+(_xlfn.IFNA(VLOOKUP($A2,'FL Ratio'!$A$3:$B$10,2,FALSE),0)*'FL Characterization'!Y$2)</f>
        <v>39.163020135955954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37.222379732808825</v>
      </c>
      <c r="C3" s="2">
        <f>('[1]Pc, Summer, S1'!C3*Main!$B$5)+(_xlfn.IFNA(VLOOKUP($A3,'FL Ratio'!$A$3:$B$10,2,FALSE),0)*'FL Characterization'!C$2)</f>
        <v>34.125529800763829</v>
      </c>
      <c r="D3" s="2">
        <f>('[1]Pc, Summer, S1'!D3*Main!$B$5)+(_xlfn.IFNA(VLOOKUP($A3,'FL Ratio'!$A$3:$B$10,2,FALSE),0)*'FL Characterization'!D$2)</f>
        <v>32.34598431475689</v>
      </c>
      <c r="E3" s="2">
        <f>('[1]Pc, Summer, S1'!E3*Main!$B$5)+(_xlfn.IFNA(VLOOKUP($A3,'FL Ratio'!$A$3:$B$10,2,FALSE),0)*'FL Characterization'!E$2)</f>
        <v>31.16537454543932</v>
      </c>
      <c r="F3" s="2">
        <f>('[1]Pc, Summer, S1'!F3*Main!$B$5)+(_xlfn.IFNA(VLOOKUP($A3,'FL Ratio'!$A$3:$B$10,2,FALSE),0)*'FL Characterization'!F$2)</f>
        <v>30.864163508282161</v>
      </c>
      <c r="G3" s="2">
        <f>('[1]Pc, Summer, S1'!G3*Main!$B$5)+(_xlfn.IFNA(VLOOKUP($A3,'FL Ratio'!$A$3:$B$10,2,FALSE),0)*'FL Characterization'!G$2)</f>
        <v>32.788080771564964</v>
      </c>
      <c r="H3" s="2">
        <f>('[1]Pc, Summer, S1'!H3*Main!$B$5)+(_xlfn.IFNA(VLOOKUP($A3,'FL Ratio'!$A$3:$B$10,2,FALSE),0)*'FL Characterization'!H$2)</f>
        <v>41.047661987038062</v>
      </c>
      <c r="I3" s="2">
        <f>('[1]Pc, Summer, S1'!I3*Main!$B$5)+(_xlfn.IFNA(VLOOKUP($A3,'FL Ratio'!$A$3:$B$10,2,FALSE),0)*'FL Characterization'!I$2)</f>
        <v>49.013820776681428</v>
      </c>
      <c r="J3" s="2">
        <f>('[1]Pc, Summer, S1'!J3*Main!$B$5)+(_xlfn.IFNA(VLOOKUP($A3,'FL Ratio'!$A$3:$B$10,2,FALSE),0)*'FL Characterization'!J$2)</f>
        <v>51.114632495101077</v>
      </c>
      <c r="K3" s="2">
        <f>('[1]Pc, Summer, S1'!K3*Main!$B$5)+(_xlfn.IFNA(VLOOKUP($A3,'FL Ratio'!$A$3:$B$10,2,FALSE),0)*'FL Characterization'!K$2)</f>
        <v>50.148496421406264</v>
      </c>
      <c r="L3" s="2">
        <f>('[1]Pc, Summer, S1'!L3*Main!$B$5)+(_xlfn.IFNA(VLOOKUP($A3,'FL Ratio'!$A$3:$B$10,2,FALSE),0)*'FL Characterization'!L$2)</f>
        <v>49.995097373392461</v>
      </c>
      <c r="M3" s="2">
        <f>('[1]Pc, Summer, S1'!M3*Main!$B$5)+(_xlfn.IFNA(VLOOKUP($A3,'FL Ratio'!$A$3:$B$10,2,FALSE),0)*'FL Characterization'!M$2)</f>
        <v>53.308255465270776</v>
      </c>
      <c r="N3" s="2">
        <f>('[1]Pc, Summer, S1'!N3*Main!$B$5)+(_xlfn.IFNA(VLOOKUP($A3,'FL Ratio'!$A$3:$B$10,2,FALSE),0)*'FL Characterization'!N$2)</f>
        <v>53.446027043354462</v>
      </c>
      <c r="O3" s="2">
        <f>('[1]Pc, Summer, S1'!O3*Main!$B$5)+(_xlfn.IFNA(VLOOKUP($A3,'FL Ratio'!$A$3:$B$10,2,FALSE),0)*'FL Characterization'!O$2)</f>
        <v>53.757752634170089</v>
      </c>
      <c r="P3" s="2">
        <f>('[1]Pc, Summer, S1'!P3*Main!$B$5)+(_xlfn.IFNA(VLOOKUP($A3,'FL Ratio'!$A$3:$B$10,2,FALSE),0)*'FL Characterization'!P$2)</f>
        <v>51.140240500233077</v>
      </c>
      <c r="Q3" s="2">
        <f>('[1]Pc, Summer, S1'!Q3*Main!$B$5)+(_xlfn.IFNA(VLOOKUP($A3,'FL Ratio'!$A$3:$B$10,2,FALSE),0)*'FL Characterization'!Q$2)</f>
        <v>48.441379854501257</v>
      </c>
      <c r="R3" s="2">
        <f>('[1]Pc, Summer, S1'!R3*Main!$B$5)+(_xlfn.IFNA(VLOOKUP($A3,'FL Ratio'!$A$3:$B$10,2,FALSE),0)*'FL Characterization'!R$2)</f>
        <v>44.860569603198719</v>
      </c>
      <c r="S3" s="2">
        <f>('[1]Pc, Summer, S1'!S3*Main!$B$5)+(_xlfn.IFNA(VLOOKUP($A3,'FL Ratio'!$A$3:$B$10,2,FALSE),0)*'FL Characterization'!S$2)</f>
        <v>45.2766676016535</v>
      </c>
      <c r="T3" s="2">
        <f>('[1]Pc, Summer, S1'!T3*Main!$B$5)+(_xlfn.IFNA(VLOOKUP($A3,'FL Ratio'!$A$3:$B$10,2,FALSE),0)*'FL Characterization'!T$2)</f>
        <v>44.938964878269907</v>
      </c>
      <c r="U3" s="2">
        <f>('[1]Pc, Summer, S1'!U3*Main!$B$5)+(_xlfn.IFNA(VLOOKUP($A3,'FL Ratio'!$A$3:$B$10,2,FALSE),0)*'FL Characterization'!U$2)</f>
        <v>44.796554526513361</v>
      </c>
      <c r="V3" s="2">
        <f>('[1]Pc, Summer, S1'!V3*Main!$B$5)+(_xlfn.IFNA(VLOOKUP($A3,'FL Ratio'!$A$3:$B$10,2,FALSE),0)*'FL Characterization'!V$2)</f>
        <v>44.97143629397987</v>
      </c>
      <c r="W3" s="2">
        <f>('[1]Pc, Summer, S1'!W3*Main!$B$5)+(_xlfn.IFNA(VLOOKUP($A3,'FL Ratio'!$A$3:$B$10,2,FALSE),0)*'FL Characterization'!W$2)</f>
        <v>44.775834670774628</v>
      </c>
      <c r="X3" s="2">
        <f>('[1]Pc, Summer, S1'!X3*Main!$B$5)+(_xlfn.IFNA(VLOOKUP($A3,'FL Ratio'!$A$3:$B$10,2,FALSE),0)*'FL Characterization'!X$2)</f>
        <v>44.306119057127532</v>
      </c>
      <c r="Y3" s="2">
        <f>('[1]Pc, Summer, S1'!Y3*Main!$B$5)+(_xlfn.IFNA(VLOOKUP($A3,'FL Ratio'!$A$3:$B$10,2,FALSE),0)*'FL Characterization'!Y$2)</f>
        <v>41.845194152706384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49.526525332022558</v>
      </c>
      <c r="C4" s="2">
        <f>('[1]Pc, Summer, S1'!C4*Main!$B$5)+(_xlfn.IFNA(VLOOKUP($A4,'FL Ratio'!$A$3:$B$10,2,FALSE),0)*'FL Characterization'!C$2)</f>
        <v>43.889195681300777</v>
      </c>
      <c r="D4" s="2">
        <f>('[1]Pc, Summer, S1'!D4*Main!$B$5)+(_xlfn.IFNA(VLOOKUP($A4,'FL Ratio'!$A$3:$B$10,2,FALSE),0)*'FL Characterization'!D$2)</f>
        <v>41.403419518075125</v>
      </c>
      <c r="E4" s="2">
        <f>('[1]Pc, Summer, S1'!E4*Main!$B$5)+(_xlfn.IFNA(VLOOKUP($A4,'FL Ratio'!$A$3:$B$10,2,FALSE),0)*'FL Characterization'!E$2)</f>
        <v>40.05434395030025</v>
      </c>
      <c r="F4" s="2">
        <f>('[1]Pc, Summer, S1'!F4*Main!$B$5)+(_xlfn.IFNA(VLOOKUP($A4,'FL Ratio'!$A$3:$B$10,2,FALSE),0)*'FL Characterization'!F$2)</f>
        <v>42.05997485987529</v>
      </c>
      <c r="G4" s="2">
        <f>('[1]Pc, Summer, S1'!G4*Main!$B$5)+(_xlfn.IFNA(VLOOKUP($A4,'FL Ratio'!$A$3:$B$10,2,FALSE),0)*'FL Characterization'!G$2)</f>
        <v>38.432456960986499</v>
      </c>
      <c r="H4" s="2">
        <f>('[1]Pc, Summer, S1'!H4*Main!$B$5)+(_xlfn.IFNA(VLOOKUP($A4,'FL Ratio'!$A$3:$B$10,2,FALSE),0)*'FL Characterization'!H$2)</f>
        <v>45.132330850458459</v>
      </c>
      <c r="I4" s="2">
        <f>('[1]Pc, Summer, S1'!I4*Main!$B$5)+(_xlfn.IFNA(VLOOKUP($A4,'FL Ratio'!$A$3:$B$10,2,FALSE),0)*'FL Characterization'!I$2)</f>
        <v>50.985272870213869</v>
      </c>
      <c r="J4" s="2">
        <f>('[1]Pc, Summer, S1'!J4*Main!$B$5)+(_xlfn.IFNA(VLOOKUP($A4,'FL Ratio'!$A$3:$B$10,2,FALSE),0)*'FL Characterization'!J$2)</f>
        <v>57.377507042889107</v>
      </c>
      <c r="K4" s="2">
        <f>('[1]Pc, Summer, S1'!K4*Main!$B$5)+(_xlfn.IFNA(VLOOKUP($A4,'FL Ratio'!$A$3:$B$10,2,FALSE),0)*'FL Characterization'!K$2)</f>
        <v>61.664592736341241</v>
      </c>
      <c r="L4" s="2">
        <f>('[1]Pc, Summer, S1'!L4*Main!$B$5)+(_xlfn.IFNA(VLOOKUP($A4,'FL Ratio'!$A$3:$B$10,2,FALSE),0)*'FL Characterization'!L$2)</f>
        <v>63.498162438181552</v>
      </c>
      <c r="M4" s="2">
        <f>('[1]Pc, Summer, S1'!M4*Main!$B$5)+(_xlfn.IFNA(VLOOKUP($A4,'FL Ratio'!$A$3:$B$10,2,FALSE),0)*'FL Characterization'!M$2)</f>
        <v>64.546560224530367</v>
      </c>
      <c r="N4" s="2">
        <f>('[1]Pc, Summer, S1'!N4*Main!$B$5)+(_xlfn.IFNA(VLOOKUP($A4,'FL Ratio'!$A$3:$B$10,2,FALSE),0)*'FL Characterization'!N$2)</f>
        <v>65.947153846436223</v>
      </c>
      <c r="O4" s="2">
        <f>('[1]Pc, Summer, S1'!O4*Main!$B$5)+(_xlfn.IFNA(VLOOKUP($A4,'FL Ratio'!$A$3:$B$10,2,FALSE),0)*'FL Characterization'!O$2)</f>
        <v>66.795980208504773</v>
      </c>
      <c r="P4" s="2">
        <f>('[1]Pc, Summer, S1'!P4*Main!$B$5)+(_xlfn.IFNA(VLOOKUP($A4,'FL Ratio'!$A$3:$B$10,2,FALSE),0)*'FL Characterization'!P$2)</f>
        <v>67.072369124465624</v>
      </c>
      <c r="Q4" s="2">
        <f>('[1]Pc, Summer, S1'!Q4*Main!$B$5)+(_xlfn.IFNA(VLOOKUP($A4,'FL Ratio'!$A$3:$B$10,2,FALSE),0)*'FL Characterization'!Q$2)</f>
        <v>64.559154285383954</v>
      </c>
      <c r="R4" s="2">
        <f>('[1]Pc, Summer, S1'!R4*Main!$B$5)+(_xlfn.IFNA(VLOOKUP($A4,'FL Ratio'!$A$3:$B$10,2,FALSE),0)*'FL Characterization'!R$2)</f>
        <v>64.277064459124603</v>
      </c>
      <c r="S4" s="2">
        <f>('[1]Pc, Summer, S1'!S4*Main!$B$5)+(_xlfn.IFNA(VLOOKUP($A4,'FL Ratio'!$A$3:$B$10,2,FALSE),0)*'FL Characterization'!S$2)</f>
        <v>62.202816098919662</v>
      </c>
      <c r="T4" s="2">
        <f>('[1]Pc, Summer, S1'!T4*Main!$B$5)+(_xlfn.IFNA(VLOOKUP($A4,'FL Ratio'!$A$3:$B$10,2,FALSE),0)*'FL Characterization'!T$2)</f>
        <v>62.188097014446761</v>
      </c>
      <c r="U4" s="2">
        <f>('[1]Pc, Summer, S1'!U4*Main!$B$5)+(_xlfn.IFNA(VLOOKUP($A4,'FL Ratio'!$A$3:$B$10,2,FALSE),0)*'FL Characterization'!U$2)</f>
        <v>62.553036159496777</v>
      </c>
      <c r="V4" s="2">
        <f>('[1]Pc, Summer, S1'!V4*Main!$B$5)+(_xlfn.IFNA(VLOOKUP($A4,'FL Ratio'!$A$3:$B$10,2,FALSE),0)*'FL Characterization'!V$2)</f>
        <v>62.216491129046638</v>
      </c>
      <c r="W4" s="2">
        <f>('[1]Pc, Summer, S1'!W4*Main!$B$5)+(_xlfn.IFNA(VLOOKUP($A4,'FL Ratio'!$A$3:$B$10,2,FALSE),0)*'FL Characterization'!W$2)</f>
        <v>64.232869792266825</v>
      </c>
      <c r="X4" s="2">
        <f>('[1]Pc, Summer, S1'!X4*Main!$B$5)+(_xlfn.IFNA(VLOOKUP($A4,'FL Ratio'!$A$3:$B$10,2,FALSE),0)*'FL Characterization'!X$2)</f>
        <v>63.891841510211776</v>
      </c>
      <c r="Y4" s="2">
        <f>('[1]Pc, Summer, S1'!Y4*Main!$B$5)+(_xlfn.IFNA(VLOOKUP($A4,'FL Ratio'!$A$3:$B$10,2,FALSE),0)*'FL Characterization'!Y$2)</f>
        <v>57.552612108837046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35.881395031326846</v>
      </c>
      <c r="C2" s="2">
        <f>('[1]Pc, Summer, S2'!C2*Main!$B$5)+(_xlfn.IFNA(VLOOKUP($A2,'FL Ratio'!$A$3:$B$10,2,FALSE),0)*'FL Characterization'!C$2)</f>
        <v>32.599853104438857</v>
      </c>
      <c r="D2" s="2">
        <f>('[1]Pc, Summer, S2'!D2*Main!$B$5)+(_xlfn.IFNA(VLOOKUP($A2,'FL Ratio'!$A$3:$B$10,2,FALSE),0)*'FL Characterization'!D$2)</f>
        <v>32.030418397589237</v>
      </c>
      <c r="E2" s="2">
        <f>('[1]Pc, Summer, S2'!E2*Main!$B$5)+(_xlfn.IFNA(VLOOKUP($A2,'FL Ratio'!$A$3:$B$10,2,FALSE),0)*'FL Characterization'!E$2)</f>
        <v>31.948594642293425</v>
      </c>
      <c r="F2" s="2">
        <f>('[1]Pc, Summer, S2'!F2*Main!$B$5)+(_xlfn.IFNA(VLOOKUP($A2,'FL Ratio'!$A$3:$B$10,2,FALSE),0)*'FL Characterization'!F$2)</f>
        <v>31.951113473021234</v>
      </c>
      <c r="G2" s="2">
        <f>('[1]Pc, Summer, S2'!G2*Main!$B$5)+(_xlfn.IFNA(VLOOKUP($A2,'FL Ratio'!$A$3:$B$10,2,FALSE),0)*'FL Characterization'!G$2)</f>
        <v>31.668547161378864</v>
      </c>
      <c r="H2" s="2">
        <f>('[1]Pc, Summer, S2'!H2*Main!$B$5)+(_xlfn.IFNA(VLOOKUP($A2,'FL Ratio'!$A$3:$B$10,2,FALSE),0)*'FL Characterization'!H$2)</f>
        <v>34.18902361301906</v>
      </c>
      <c r="I2" s="2">
        <f>('[1]Pc, Summer, S2'!I2*Main!$B$5)+(_xlfn.IFNA(VLOOKUP($A2,'FL Ratio'!$A$3:$B$10,2,FALSE),0)*'FL Characterization'!I$2)</f>
        <v>40.590723677994461</v>
      </c>
      <c r="J2" s="2">
        <f>('[1]Pc, Summer, S2'!J2*Main!$B$5)+(_xlfn.IFNA(VLOOKUP($A2,'FL Ratio'!$A$3:$B$10,2,FALSE),0)*'FL Characterization'!J$2)</f>
        <v>46.261883150584659</v>
      </c>
      <c r="K2" s="2">
        <f>('[1]Pc, Summer, S2'!K2*Main!$B$5)+(_xlfn.IFNA(VLOOKUP($A2,'FL Ratio'!$A$3:$B$10,2,FALSE),0)*'FL Characterization'!K$2)</f>
        <v>47.683420574759168</v>
      </c>
      <c r="L2" s="2">
        <f>('[1]Pc, Summer, S2'!L2*Main!$B$5)+(_xlfn.IFNA(VLOOKUP($A2,'FL Ratio'!$A$3:$B$10,2,FALSE),0)*'FL Characterization'!L$2)</f>
        <v>47.200877079546139</v>
      </c>
      <c r="M2" s="2">
        <f>('[1]Pc, Summer, S2'!M2*Main!$B$5)+(_xlfn.IFNA(VLOOKUP($A2,'FL Ratio'!$A$3:$B$10,2,FALSE),0)*'FL Characterization'!M$2)</f>
        <v>48.535652170360976</v>
      </c>
      <c r="N2" s="2">
        <f>('[1]Pc, Summer, S2'!N2*Main!$B$5)+(_xlfn.IFNA(VLOOKUP($A2,'FL Ratio'!$A$3:$B$10,2,FALSE),0)*'FL Characterization'!N$2)</f>
        <v>49.201458980356357</v>
      </c>
      <c r="O2" s="2">
        <f>('[1]Pc, Summer, S2'!O2*Main!$B$5)+(_xlfn.IFNA(VLOOKUP($A2,'FL Ratio'!$A$3:$B$10,2,FALSE),0)*'FL Characterization'!O$2)</f>
        <v>48.291324164831458</v>
      </c>
      <c r="P2" s="2">
        <f>('[1]Pc, Summer, S2'!P2*Main!$B$5)+(_xlfn.IFNA(VLOOKUP($A2,'FL Ratio'!$A$3:$B$10,2,FALSE),0)*'FL Characterization'!P$2)</f>
        <v>46.404330593715677</v>
      </c>
      <c r="Q2" s="2">
        <f>('[1]Pc, Summer, S2'!Q2*Main!$B$5)+(_xlfn.IFNA(VLOOKUP($A2,'FL Ratio'!$A$3:$B$10,2,FALSE),0)*'FL Characterization'!Q$2)</f>
        <v>44.53663634461919</v>
      </c>
      <c r="R2" s="2">
        <f>('[1]Pc, Summer, S2'!R2*Main!$B$5)+(_xlfn.IFNA(VLOOKUP($A2,'FL Ratio'!$A$3:$B$10,2,FALSE),0)*'FL Characterization'!R$2)</f>
        <v>45.31365468720545</v>
      </c>
      <c r="S2" s="2">
        <f>('[1]Pc, Summer, S2'!S2*Main!$B$5)+(_xlfn.IFNA(VLOOKUP($A2,'FL Ratio'!$A$3:$B$10,2,FALSE),0)*'FL Characterization'!S$2)</f>
        <v>45.761342276065477</v>
      </c>
      <c r="T2" s="2">
        <f>('[1]Pc, Summer, S2'!T2*Main!$B$5)+(_xlfn.IFNA(VLOOKUP($A2,'FL Ratio'!$A$3:$B$10,2,FALSE),0)*'FL Characterization'!T$2)</f>
        <v>45.955582174561947</v>
      </c>
      <c r="U2" s="2">
        <f>('[1]Pc, Summer, S2'!U2*Main!$B$5)+(_xlfn.IFNA(VLOOKUP($A2,'FL Ratio'!$A$3:$B$10,2,FALSE),0)*'FL Characterization'!U$2)</f>
        <v>45.194806015831247</v>
      </c>
      <c r="V2" s="2">
        <f>('[1]Pc, Summer, S2'!V2*Main!$B$5)+(_xlfn.IFNA(VLOOKUP($A2,'FL Ratio'!$A$3:$B$10,2,FALSE),0)*'FL Characterization'!V$2)</f>
        <v>45.330596499276169</v>
      </c>
      <c r="W2" s="2">
        <f>('[1]Pc, Summer, S2'!W2*Main!$B$5)+(_xlfn.IFNA(VLOOKUP($A2,'FL Ratio'!$A$3:$B$10,2,FALSE),0)*'FL Characterization'!W$2)</f>
        <v>47.208097779420385</v>
      </c>
      <c r="X2" s="2">
        <f>('[1]Pc, Summer, S2'!X2*Main!$B$5)+(_xlfn.IFNA(VLOOKUP($A2,'FL Ratio'!$A$3:$B$10,2,FALSE),0)*'FL Characterization'!X$2)</f>
        <v>44.003661066968007</v>
      </c>
      <c r="Y2" s="2">
        <f>('[1]Pc, Summer, S2'!Y2*Main!$B$5)+(_xlfn.IFNA(VLOOKUP($A2,'FL Ratio'!$A$3:$B$10,2,FALSE),0)*'FL Characterization'!Y$2)</f>
        <v>40.337910740034623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38.282035957580071</v>
      </c>
      <c r="C3" s="2">
        <f>('[1]Pc, Summer, S2'!C3*Main!$B$5)+(_xlfn.IFNA(VLOOKUP($A3,'FL Ratio'!$A$3:$B$10,2,FALSE),0)*'FL Characterization'!C$2)</f>
        <v>35.090378630367852</v>
      </c>
      <c r="D3" s="2">
        <f>('[1]Pc, Summer, S2'!D3*Main!$B$5)+(_xlfn.IFNA(VLOOKUP($A3,'FL Ratio'!$A$3:$B$10,2,FALSE),0)*'FL Characterization'!D$2)</f>
        <v>33.26360707121826</v>
      </c>
      <c r="E3" s="2">
        <f>('[1]Pc, Summer, S2'!E3*Main!$B$5)+(_xlfn.IFNA(VLOOKUP($A3,'FL Ratio'!$A$3:$B$10,2,FALSE),0)*'FL Characterization'!E$2)</f>
        <v>32.050329801609166</v>
      </c>
      <c r="F3" s="2">
        <f>('[1]Pc, Summer, S2'!F3*Main!$B$5)+(_xlfn.IFNA(VLOOKUP($A3,'FL Ratio'!$A$3:$B$10,2,FALSE),0)*'FL Characterization'!F$2)</f>
        <v>31.749118764452003</v>
      </c>
      <c r="G3" s="2">
        <f>('[1]Pc, Summer, S2'!G3*Main!$B$5)+(_xlfn.IFNA(VLOOKUP($A3,'FL Ratio'!$A$3:$B$10,2,FALSE),0)*'FL Characterization'!G$2)</f>
        <v>33.736950947260219</v>
      </c>
      <c r="H3" s="2">
        <f>('[1]Pc, Summer, S2'!H3*Main!$B$5)+(_xlfn.IFNA(VLOOKUP($A3,'FL Ratio'!$A$3:$B$10,2,FALSE),0)*'FL Characterization'!H$2)</f>
        <v>42.236568208390167</v>
      </c>
      <c r="I3" s="2">
        <f>('[1]Pc, Summer, S2'!I3*Main!$B$5)+(_xlfn.IFNA(VLOOKUP($A3,'FL Ratio'!$A$3:$B$10,2,FALSE),0)*'FL Characterization'!I$2)</f>
        <v>50.4768504722947</v>
      </c>
      <c r="J3" s="2">
        <f>('[1]Pc, Summer, S2'!J3*Main!$B$5)+(_xlfn.IFNA(VLOOKUP($A3,'FL Ratio'!$A$3:$B$10,2,FALSE),0)*'FL Characterization'!J$2)</f>
        <v>52.641577186812121</v>
      </c>
      <c r="K3" s="2">
        <f>('[1]Pc, Summer, S2'!K3*Main!$B$5)+(_xlfn.IFNA(VLOOKUP($A3,'FL Ratio'!$A$3:$B$10,2,FALSE),0)*'FL Characterization'!K$2)</f>
        <v>51.64348357698217</v>
      </c>
      <c r="L3" s="2">
        <f>('[1]Pc, Summer, S2'!L3*Main!$B$5)+(_xlfn.IFNA(VLOOKUP($A3,'FL Ratio'!$A$3:$B$10,2,FALSE),0)*'FL Characterization'!L$2)</f>
        <v>51.489374488639477</v>
      </c>
      <c r="M3" s="2">
        <f>('[1]Pc, Summer, S2'!M3*Main!$B$5)+(_xlfn.IFNA(VLOOKUP($A3,'FL Ratio'!$A$3:$B$10,2,FALSE),0)*'FL Characterization'!M$2)</f>
        <v>54.900535691172273</v>
      </c>
      <c r="N3" s="2">
        <f>('[1]Pc, Summer, S2'!N3*Main!$B$5)+(_xlfn.IFNA(VLOOKUP($A3,'FL Ratio'!$A$3:$B$10,2,FALSE),0)*'FL Characterization'!N$2)</f>
        <v>55.038307269255967</v>
      </c>
      <c r="O3" s="2">
        <f>('[1]Pc, Summer, S2'!O3*Main!$B$5)+(_xlfn.IFNA(VLOOKUP($A3,'FL Ratio'!$A$3:$B$10,2,FALSE),0)*'FL Characterization'!O$2)</f>
        <v>55.350032860071586</v>
      </c>
      <c r="P3" s="2">
        <f>('[1]Pc, Summer, S2'!P3*Main!$B$5)+(_xlfn.IFNA(VLOOKUP($A3,'FL Ratio'!$A$3:$B$10,2,FALSE),0)*'FL Characterization'!P$2)</f>
        <v>52.652626923882977</v>
      </c>
      <c r="Q3" s="2">
        <f>('[1]Pc, Summer, S2'!Q3*Main!$B$5)+(_xlfn.IFNA(VLOOKUP($A3,'FL Ratio'!$A$3:$B$10,2,FALSE),0)*'FL Characterization'!Q$2)</f>
        <v>49.873162283125687</v>
      </c>
      <c r="R3" s="2">
        <f>('[1]Pc, Summer, S2'!R3*Main!$B$5)+(_xlfn.IFNA(VLOOKUP($A3,'FL Ratio'!$A$3:$B$10,2,FALSE),0)*'FL Characterization'!R$2)</f>
        <v>46.19434907361363</v>
      </c>
      <c r="S3" s="2">
        <f>('[1]Pc, Summer, S2'!S3*Main!$B$5)+(_xlfn.IFNA(VLOOKUP($A3,'FL Ratio'!$A$3:$B$10,2,FALSE),0)*'FL Characterization'!S$2)</f>
        <v>46.610447072068411</v>
      </c>
      <c r="T3" s="2">
        <f>('[1]Pc, Summer, S2'!T3*Main!$B$5)+(_xlfn.IFNA(VLOOKUP($A3,'FL Ratio'!$A$3:$B$10,2,FALSE),0)*'FL Characterization'!T$2)</f>
        <v>46.272744348684817</v>
      </c>
      <c r="U3" s="2">
        <f>('[1]Pc, Summer, S2'!U3*Main!$B$5)+(_xlfn.IFNA(VLOOKUP($A3,'FL Ratio'!$A$3:$B$10,2,FALSE),0)*'FL Characterization'!U$2)</f>
        <v>46.130333996928272</v>
      </c>
      <c r="V3" s="2">
        <f>('[1]Pc, Summer, S2'!V3*Main!$B$5)+(_xlfn.IFNA(VLOOKUP($A3,'FL Ratio'!$A$3:$B$10,2,FALSE),0)*'FL Characterization'!V$2)</f>
        <v>46.305215764394781</v>
      </c>
      <c r="W3" s="2">
        <f>('[1]Pc, Summer, S2'!W3*Main!$B$5)+(_xlfn.IFNA(VLOOKUP($A3,'FL Ratio'!$A$3:$B$10,2,FALSE),0)*'FL Characterization'!W$2)</f>
        <v>46.109614141189539</v>
      </c>
      <c r="X3" s="2">
        <f>('[1]Pc, Summer, S2'!X3*Main!$B$5)+(_xlfn.IFNA(VLOOKUP($A3,'FL Ratio'!$A$3:$B$10,2,FALSE),0)*'FL Characterization'!X$2)</f>
        <v>45.591962566415901</v>
      </c>
      <c r="Y3" s="2">
        <f>('[1]Pc, Summer, S2'!Y3*Main!$B$5)+(_xlfn.IFNA(VLOOKUP($A3,'FL Ratio'!$A$3:$B$10,2,FALSE),0)*'FL Characterization'!Y$2)</f>
        <v>43.04830346941025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50.955305924770222</v>
      </c>
      <c r="C4" s="2">
        <f>('[1]Pc, Summer, S2'!C4*Main!$B$5)+(_xlfn.IFNA(VLOOKUP($A4,'FL Ratio'!$A$3:$B$10,2,FALSE),0)*'FL Characterization'!C$2)</f>
        <v>45.146954487320912</v>
      </c>
      <c r="D4" s="2">
        <f>('[1]Pc, Summer, S2'!D4*Main!$B$5)+(_xlfn.IFNA(VLOOKUP($A4,'FL Ratio'!$A$3:$B$10,2,FALSE),0)*'FL Characterization'!D$2)</f>
        <v>42.592765330636041</v>
      </c>
      <c r="E4" s="2">
        <f>('[1]Pc, Summer, S2'!E4*Main!$B$5)+(_xlfn.IFNA(VLOOKUP($A4,'FL Ratio'!$A$3:$B$10,2,FALSE),0)*'FL Characterization'!E$2)</f>
        <v>41.205968288615921</v>
      </c>
      <c r="F4" s="2">
        <f>('[1]Pc, Summer, S2'!F4*Main!$B$5)+(_xlfn.IFNA(VLOOKUP($A4,'FL Ratio'!$A$3:$B$10,2,FALSE),0)*'FL Characterization'!F$2)</f>
        <v>43.280804456592918</v>
      </c>
      <c r="G4" s="2">
        <f>('[1]Pc, Summer, S2'!G4*Main!$B$5)+(_xlfn.IFNA(VLOOKUP($A4,'FL Ratio'!$A$3:$B$10,2,FALSE),0)*'FL Characterization'!G$2)</f>
        <v>39.550658422364407</v>
      </c>
      <c r="H4" s="2">
        <f>('[1]Pc, Summer, S2'!H4*Main!$B$5)+(_xlfn.IFNA(VLOOKUP($A4,'FL Ratio'!$A$3:$B$10,2,FALSE),0)*'FL Characterization'!H$2)</f>
        <v>46.443777137713177</v>
      </c>
      <c r="I4" s="2">
        <f>('[1]Pc, Summer, S2'!I4*Main!$B$5)+(_xlfn.IFNA(VLOOKUP($A4,'FL Ratio'!$A$3:$B$10,2,FALSE),0)*'FL Characterization'!I$2)</f>
        <v>52.507446128633106</v>
      </c>
      <c r="J4" s="2">
        <f>('[1]Pc, Summer, S2'!J4*Main!$B$5)+(_xlfn.IFNA(VLOOKUP($A4,'FL Ratio'!$A$3:$B$10,2,FALSE),0)*'FL Characterization'!J$2)</f>
        <v>59.092337971033793</v>
      </c>
      <c r="K4" s="2">
        <f>('[1]Pc, Summer, S2'!K4*Main!$B$5)+(_xlfn.IFNA(VLOOKUP($A4,'FL Ratio'!$A$3:$B$10,2,FALSE),0)*'FL Characterization'!K$2)</f>
        <v>63.50506278136519</v>
      </c>
      <c r="L4" s="2">
        <f>('[1]Pc, Summer, S2'!L4*Main!$B$5)+(_xlfn.IFNA(VLOOKUP($A4,'FL Ratio'!$A$3:$B$10,2,FALSE),0)*'FL Characterization'!L$2)</f>
        <v>65.397531505372243</v>
      </c>
      <c r="M4" s="2">
        <f>('[1]Pc, Summer, S2'!M4*Main!$B$5)+(_xlfn.IFNA(VLOOKUP($A4,'FL Ratio'!$A$3:$B$10,2,FALSE),0)*'FL Characterization'!M$2)</f>
        <v>66.475989593209661</v>
      </c>
      <c r="N4" s="2">
        <f>('[1]Pc, Summer, S2'!N4*Main!$B$5)+(_xlfn.IFNA(VLOOKUP($A4,'FL Ratio'!$A$3:$B$10,2,FALSE),0)*'FL Characterization'!N$2)</f>
        <v>67.91446787643018</v>
      </c>
      <c r="O4" s="2">
        <f>('[1]Pc, Summer, S2'!O4*Main!$B$5)+(_xlfn.IFNA(VLOOKUP($A4,'FL Ratio'!$A$3:$B$10,2,FALSE),0)*'FL Characterization'!O$2)</f>
        <v>68.779407261636322</v>
      </c>
      <c r="P4" s="2">
        <f>('[1]Pc, Summer, S2'!P4*Main!$B$5)+(_xlfn.IFNA(VLOOKUP($A4,'FL Ratio'!$A$3:$B$10,2,FALSE),0)*'FL Characterization'!P$2)</f>
        <v>69.062719406842504</v>
      </c>
      <c r="Q4" s="2">
        <f>('[1]Pc, Summer, S2'!Q4*Main!$B$5)+(_xlfn.IFNA(VLOOKUP($A4,'FL Ratio'!$A$3:$B$10,2,FALSE),0)*'FL Characterization'!Q$2)</f>
        <v>66.47446994693486</v>
      </c>
      <c r="R4" s="2">
        <f>('[1]Pc, Summer, S2'!R4*Main!$B$5)+(_xlfn.IFNA(VLOOKUP($A4,'FL Ratio'!$A$3:$B$10,2,FALSE),0)*'FL Characterization'!R$2)</f>
        <v>66.193338775217285</v>
      </c>
      <c r="S4" s="2">
        <f>('[1]Pc, Summer, S2'!S4*Main!$B$5)+(_xlfn.IFNA(VLOOKUP($A4,'FL Ratio'!$A$3:$B$10,2,FALSE),0)*'FL Characterization'!S$2)</f>
        <v>64.044380024252561</v>
      </c>
      <c r="T4" s="2">
        <f>('[1]Pc, Summer, S2'!T4*Main!$B$5)+(_xlfn.IFNA(VLOOKUP($A4,'FL Ratio'!$A$3:$B$10,2,FALSE),0)*'FL Characterization'!T$2)</f>
        <v>64.039350448946976</v>
      </c>
      <c r="U4" s="2">
        <f>('[1]Pc, Summer, S2'!U4*Main!$B$5)+(_xlfn.IFNA(VLOOKUP($A4,'FL Ratio'!$A$3:$B$10,2,FALSE),0)*'FL Characterization'!U$2)</f>
        <v>64.419510078901197</v>
      </c>
      <c r="V4" s="2">
        <f>('[1]Pc, Summer, S2'!V4*Main!$B$5)+(_xlfn.IFNA(VLOOKUP($A4,'FL Ratio'!$A$3:$B$10,2,FALSE),0)*'FL Characterization'!V$2)</f>
        <v>64.067622244513544</v>
      </c>
      <c r="W4" s="2">
        <f>('[1]Pc, Summer, S2'!W4*Main!$B$5)+(_xlfn.IFNA(VLOOKUP($A4,'FL Ratio'!$A$3:$B$10,2,FALSE),0)*'FL Characterization'!W$2)</f>
        <v>66.150360316326513</v>
      </c>
      <c r="X4" s="2">
        <f>('[1]Pc, Summer, S2'!X4*Main!$B$5)+(_xlfn.IFNA(VLOOKUP($A4,'FL Ratio'!$A$3:$B$10,2,FALSE),0)*'FL Characterization'!X$2)</f>
        <v>65.765256693092667</v>
      </c>
      <c r="Y4" s="2">
        <f>('[1]Pc, Summer, S2'!Y4*Main!$B$5)+(_xlfn.IFNA(VLOOKUP($A4,'FL Ratio'!$A$3:$B$10,2,FALSE),0)*'FL Characterization'!Y$2)</f>
        <v>59.226943964224823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35.881395031326846</v>
      </c>
      <c r="C2" s="2">
        <f>('[1]Pc, Summer, S2'!C2*Main!$B$5)+(_xlfn.IFNA(VLOOKUP($A2,'FL Ratio'!$A$3:$B$10,2,FALSE),0)*'FL Characterization'!C$2)</f>
        <v>32.599853104438857</v>
      </c>
      <c r="D2" s="2">
        <f>('[1]Pc, Summer, S2'!D2*Main!$B$5)+(_xlfn.IFNA(VLOOKUP($A2,'FL Ratio'!$A$3:$B$10,2,FALSE),0)*'FL Characterization'!D$2)</f>
        <v>32.030418397589237</v>
      </c>
      <c r="E2" s="2">
        <f>('[1]Pc, Summer, S2'!E2*Main!$B$5)+(_xlfn.IFNA(VLOOKUP($A2,'FL Ratio'!$A$3:$B$10,2,FALSE),0)*'FL Characterization'!E$2)</f>
        <v>31.948594642293425</v>
      </c>
      <c r="F2" s="2">
        <f>('[1]Pc, Summer, S2'!F2*Main!$B$5)+(_xlfn.IFNA(VLOOKUP($A2,'FL Ratio'!$A$3:$B$10,2,FALSE),0)*'FL Characterization'!F$2)</f>
        <v>31.951113473021234</v>
      </c>
      <c r="G2" s="2">
        <f>('[1]Pc, Summer, S2'!G2*Main!$B$5)+(_xlfn.IFNA(VLOOKUP($A2,'FL Ratio'!$A$3:$B$10,2,FALSE),0)*'FL Characterization'!G$2)</f>
        <v>31.668547161378864</v>
      </c>
      <c r="H2" s="2">
        <f>('[1]Pc, Summer, S2'!H2*Main!$B$5)+(_xlfn.IFNA(VLOOKUP($A2,'FL Ratio'!$A$3:$B$10,2,FALSE),0)*'FL Characterization'!H$2)</f>
        <v>34.18902361301906</v>
      </c>
      <c r="I2" s="2">
        <f>('[1]Pc, Summer, S2'!I2*Main!$B$5)+(_xlfn.IFNA(VLOOKUP($A2,'FL Ratio'!$A$3:$B$10,2,FALSE),0)*'FL Characterization'!I$2)</f>
        <v>40.590723677994461</v>
      </c>
      <c r="J2" s="2">
        <f>('[1]Pc, Summer, S2'!J2*Main!$B$5)+(_xlfn.IFNA(VLOOKUP($A2,'FL Ratio'!$A$3:$B$10,2,FALSE),0)*'FL Characterization'!J$2)</f>
        <v>46.261883150584659</v>
      </c>
      <c r="K2" s="2">
        <f>('[1]Pc, Summer, S2'!K2*Main!$B$5)+(_xlfn.IFNA(VLOOKUP($A2,'FL Ratio'!$A$3:$B$10,2,FALSE),0)*'FL Characterization'!K$2)</f>
        <v>47.683420574759168</v>
      </c>
      <c r="L2" s="2">
        <f>('[1]Pc, Summer, S2'!L2*Main!$B$5)+(_xlfn.IFNA(VLOOKUP($A2,'FL Ratio'!$A$3:$B$10,2,FALSE),0)*'FL Characterization'!L$2)</f>
        <v>47.200877079546139</v>
      </c>
      <c r="M2" s="2">
        <f>('[1]Pc, Summer, S2'!M2*Main!$B$5)+(_xlfn.IFNA(VLOOKUP($A2,'FL Ratio'!$A$3:$B$10,2,FALSE),0)*'FL Characterization'!M$2)</f>
        <v>48.535652170360976</v>
      </c>
      <c r="N2" s="2">
        <f>('[1]Pc, Summer, S2'!N2*Main!$B$5)+(_xlfn.IFNA(VLOOKUP($A2,'FL Ratio'!$A$3:$B$10,2,FALSE),0)*'FL Characterization'!N$2)</f>
        <v>49.201458980356357</v>
      </c>
      <c r="O2" s="2">
        <f>('[1]Pc, Summer, S2'!O2*Main!$B$5)+(_xlfn.IFNA(VLOOKUP($A2,'FL Ratio'!$A$3:$B$10,2,FALSE),0)*'FL Characterization'!O$2)</f>
        <v>48.291324164831458</v>
      </c>
      <c r="P2" s="2">
        <f>('[1]Pc, Summer, S2'!P2*Main!$B$5)+(_xlfn.IFNA(VLOOKUP($A2,'FL Ratio'!$A$3:$B$10,2,FALSE),0)*'FL Characterization'!P$2)</f>
        <v>46.404330593715677</v>
      </c>
      <c r="Q2" s="2">
        <f>('[1]Pc, Summer, S2'!Q2*Main!$B$5)+(_xlfn.IFNA(VLOOKUP($A2,'FL Ratio'!$A$3:$B$10,2,FALSE),0)*'FL Characterization'!Q$2)</f>
        <v>44.53663634461919</v>
      </c>
      <c r="R2" s="2">
        <f>('[1]Pc, Summer, S2'!R2*Main!$B$5)+(_xlfn.IFNA(VLOOKUP($A2,'FL Ratio'!$A$3:$B$10,2,FALSE),0)*'FL Characterization'!R$2)</f>
        <v>45.31365468720545</v>
      </c>
      <c r="S2" s="2">
        <f>('[1]Pc, Summer, S2'!S2*Main!$B$5)+(_xlfn.IFNA(VLOOKUP($A2,'FL Ratio'!$A$3:$B$10,2,FALSE),0)*'FL Characterization'!S$2)</f>
        <v>45.761342276065477</v>
      </c>
      <c r="T2" s="2">
        <f>('[1]Pc, Summer, S2'!T2*Main!$B$5)+(_xlfn.IFNA(VLOOKUP($A2,'FL Ratio'!$A$3:$B$10,2,FALSE),0)*'FL Characterization'!T$2)</f>
        <v>45.955582174561947</v>
      </c>
      <c r="U2" s="2">
        <f>('[1]Pc, Summer, S2'!U2*Main!$B$5)+(_xlfn.IFNA(VLOOKUP($A2,'FL Ratio'!$A$3:$B$10,2,FALSE),0)*'FL Characterization'!U$2)</f>
        <v>45.194806015831247</v>
      </c>
      <c r="V2" s="2">
        <f>('[1]Pc, Summer, S2'!V2*Main!$B$5)+(_xlfn.IFNA(VLOOKUP($A2,'FL Ratio'!$A$3:$B$10,2,FALSE),0)*'FL Characterization'!V$2)</f>
        <v>45.330596499276169</v>
      </c>
      <c r="W2" s="2">
        <f>('[1]Pc, Summer, S2'!W2*Main!$B$5)+(_xlfn.IFNA(VLOOKUP($A2,'FL Ratio'!$A$3:$B$10,2,FALSE),0)*'FL Characterization'!W$2)</f>
        <v>47.208097779420385</v>
      </c>
      <c r="X2" s="2">
        <f>('[1]Pc, Summer, S2'!X2*Main!$B$5)+(_xlfn.IFNA(VLOOKUP($A2,'FL Ratio'!$A$3:$B$10,2,FALSE),0)*'FL Characterization'!X$2)</f>
        <v>44.003661066968007</v>
      </c>
      <c r="Y2" s="2">
        <f>('[1]Pc, Summer, S2'!Y2*Main!$B$5)+(_xlfn.IFNA(VLOOKUP($A2,'FL Ratio'!$A$3:$B$10,2,FALSE),0)*'FL Characterization'!Y$2)</f>
        <v>40.337910740034623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38.282035957580071</v>
      </c>
      <c r="C3" s="2">
        <f>('[1]Pc, Summer, S2'!C3*Main!$B$5)+(_xlfn.IFNA(VLOOKUP($A3,'FL Ratio'!$A$3:$B$10,2,FALSE),0)*'FL Characterization'!C$2)</f>
        <v>35.090378630367852</v>
      </c>
      <c r="D3" s="2">
        <f>('[1]Pc, Summer, S2'!D3*Main!$B$5)+(_xlfn.IFNA(VLOOKUP($A3,'FL Ratio'!$A$3:$B$10,2,FALSE),0)*'FL Characterization'!D$2)</f>
        <v>33.26360707121826</v>
      </c>
      <c r="E3" s="2">
        <f>('[1]Pc, Summer, S2'!E3*Main!$B$5)+(_xlfn.IFNA(VLOOKUP($A3,'FL Ratio'!$A$3:$B$10,2,FALSE),0)*'FL Characterization'!E$2)</f>
        <v>32.050329801609166</v>
      </c>
      <c r="F3" s="2">
        <f>('[1]Pc, Summer, S2'!F3*Main!$B$5)+(_xlfn.IFNA(VLOOKUP($A3,'FL Ratio'!$A$3:$B$10,2,FALSE),0)*'FL Characterization'!F$2)</f>
        <v>31.749118764452003</v>
      </c>
      <c r="G3" s="2">
        <f>('[1]Pc, Summer, S2'!G3*Main!$B$5)+(_xlfn.IFNA(VLOOKUP($A3,'FL Ratio'!$A$3:$B$10,2,FALSE),0)*'FL Characterization'!G$2)</f>
        <v>33.736950947260219</v>
      </c>
      <c r="H3" s="2">
        <f>('[1]Pc, Summer, S2'!H3*Main!$B$5)+(_xlfn.IFNA(VLOOKUP($A3,'FL Ratio'!$A$3:$B$10,2,FALSE),0)*'FL Characterization'!H$2)</f>
        <v>42.236568208390167</v>
      </c>
      <c r="I3" s="2">
        <f>('[1]Pc, Summer, S2'!I3*Main!$B$5)+(_xlfn.IFNA(VLOOKUP($A3,'FL Ratio'!$A$3:$B$10,2,FALSE),0)*'FL Characterization'!I$2)</f>
        <v>50.4768504722947</v>
      </c>
      <c r="J3" s="2">
        <f>('[1]Pc, Summer, S2'!J3*Main!$B$5)+(_xlfn.IFNA(VLOOKUP($A3,'FL Ratio'!$A$3:$B$10,2,FALSE),0)*'FL Characterization'!J$2)</f>
        <v>52.641577186812121</v>
      </c>
      <c r="K3" s="2">
        <f>('[1]Pc, Summer, S2'!K3*Main!$B$5)+(_xlfn.IFNA(VLOOKUP($A3,'FL Ratio'!$A$3:$B$10,2,FALSE),0)*'FL Characterization'!K$2)</f>
        <v>51.64348357698217</v>
      </c>
      <c r="L3" s="2">
        <f>('[1]Pc, Summer, S2'!L3*Main!$B$5)+(_xlfn.IFNA(VLOOKUP($A3,'FL Ratio'!$A$3:$B$10,2,FALSE),0)*'FL Characterization'!L$2)</f>
        <v>51.489374488639477</v>
      </c>
      <c r="M3" s="2">
        <f>('[1]Pc, Summer, S2'!M3*Main!$B$5)+(_xlfn.IFNA(VLOOKUP($A3,'FL Ratio'!$A$3:$B$10,2,FALSE),0)*'FL Characterization'!M$2)</f>
        <v>54.900535691172273</v>
      </c>
      <c r="N3" s="2">
        <f>('[1]Pc, Summer, S2'!N3*Main!$B$5)+(_xlfn.IFNA(VLOOKUP($A3,'FL Ratio'!$A$3:$B$10,2,FALSE),0)*'FL Characterization'!N$2)</f>
        <v>55.038307269255967</v>
      </c>
      <c r="O3" s="2">
        <f>('[1]Pc, Summer, S2'!O3*Main!$B$5)+(_xlfn.IFNA(VLOOKUP($A3,'FL Ratio'!$A$3:$B$10,2,FALSE),0)*'FL Characterization'!O$2)</f>
        <v>55.350032860071586</v>
      </c>
      <c r="P3" s="2">
        <f>('[1]Pc, Summer, S2'!P3*Main!$B$5)+(_xlfn.IFNA(VLOOKUP($A3,'FL Ratio'!$A$3:$B$10,2,FALSE),0)*'FL Characterization'!P$2)</f>
        <v>52.652626923882977</v>
      </c>
      <c r="Q3" s="2">
        <f>('[1]Pc, Summer, S2'!Q3*Main!$B$5)+(_xlfn.IFNA(VLOOKUP($A3,'FL Ratio'!$A$3:$B$10,2,FALSE),0)*'FL Characterization'!Q$2)</f>
        <v>49.873162283125687</v>
      </c>
      <c r="R3" s="2">
        <f>('[1]Pc, Summer, S2'!R3*Main!$B$5)+(_xlfn.IFNA(VLOOKUP($A3,'FL Ratio'!$A$3:$B$10,2,FALSE),0)*'FL Characterization'!R$2)</f>
        <v>46.19434907361363</v>
      </c>
      <c r="S3" s="2">
        <f>('[1]Pc, Summer, S2'!S3*Main!$B$5)+(_xlfn.IFNA(VLOOKUP($A3,'FL Ratio'!$A$3:$B$10,2,FALSE),0)*'FL Characterization'!S$2)</f>
        <v>46.610447072068411</v>
      </c>
      <c r="T3" s="2">
        <f>('[1]Pc, Summer, S2'!T3*Main!$B$5)+(_xlfn.IFNA(VLOOKUP($A3,'FL Ratio'!$A$3:$B$10,2,FALSE),0)*'FL Characterization'!T$2)</f>
        <v>46.272744348684817</v>
      </c>
      <c r="U3" s="2">
        <f>('[1]Pc, Summer, S2'!U3*Main!$B$5)+(_xlfn.IFNA(VLOOKUP($A3,'FL Ratio'!$A$3:$B$10,2,FALSE),0)*'FL Characterization'!U$2)</f>
        <v>46.130333996928272</v>
      </c>
      <c r="V3" s="2">
        <f>('[1]Pc, Summer, S2'!V3*Main!$B$5)+(_xlfn.IFNA(VLOOKUP($A3,'FL Ratio'!$A$3:$B$10,2,FALSE),0)*'FL Characterization'!V$2)</f>
        <v>46.305215764394781</v>
      </c>
      <c r="W3" s="2">
        <f>('[1]Pc, Summer, S2'!W3*Main!$B$5)+(_xlfn.IFNA(VLOOKUP($A3,'FL Ratio'!$A$3:$B$10,2,FALSE),0)*'FL Characterization'!W$2)</f>
        <v>46.109614141189539</v>
      </c>
      <c r="X3" s="2">
        <f>('[1]Pc, Summer, S2'!X3*Main!$B$5)+(_xlfn.IFNA(VLOOKUP($A3,'FL Ratio'!$A$3:$B$10,2,FALSE),0)*'FL Characterization'!X$2)</f>
        <v>45.591962566415901</v>
      </c>
      <c r="Y3" s="2">
        <f>('[1]Pc, Summer, S2'!Y3*Main!$B$5)+(_xlfn.IFNA(VLOOKUP($A3,'FL Ratio'!$A$3:$B$10,2,FALSE),0)*'FL Characterization'!Y$2)</f>
        <v>43.04830346941025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50.955305924770222</v>
      </c>
      <c r="C4" s="2">
        <f>('[1]Pc, Summer, S2'!C4*Main!$B$5)+(_xlfn.IFNA(VLOOKUP($A4,'FL Ratio'!$A$3:$B$10,2,FALSE),0)*'FL Characterization'!C$2)</f>
        <v>45.146954487320912</v>
      </c>
      <c r="D4" s="2">
        <f>('[1]Pc, Summer, S2'!D4*Main!$B$5)+(_xlfn.IFNA(VLOOKUP($A4,'FL Ratio'!$A$3:$B$10,2,FALSE),0)*'FL Characterization'!D$2)</f>
        <v>42.592765330636041</v>
      </c>
      <c r="E4" s="2">
        <f>('[1]Pc, Summer, S2'!E4*Main!$B$5)+(_xlfn.IFNA(VLOOKUP($A4,'FL Ratio'!$A$3:$B$10,2,FALSE),0)*'FL Characterization'!E$2)</f>
        <v>41.205968288615921</v>
      </c>
      <c r="F4" s="2">
        <f>('[1]Pc, Summer, S2'!F4*Main!$B$5)+(_xlfn.IFNA(VLOOKUP($A4,'FL Ratio'!$A$3:$B$10,2,FALSE),0)*'FL Characterization'!F$2)</f>
        <v>43.280804456592918</v>
      </c>
      <c r="G4" s="2">
        <f>('[1]Pc, Summer, S2'!G4*Main!$B$5)+(_xlfn.IFNA(VLOOKUP($A4,'FL Ratio'!$A$3:$B$10,2,FALSE),0)*'FL Characterization'!G$2)</f>
        <v>39.550658422364407</v>
      </c>
      <c r="H4" s="2">
        <f>('[1]Pc, Summer, S2'!H4*Main!$B$5)+(_xlfn.IFNA(VLOOKUP($A4,'FL Ratio'!$A$3:$B$10,2,FALSE),0)*'FL Characterization'!H$2)</f>
        <v>46.443777137713177</v>
      </c>
      <c r="I4" s="2">
        <f>('[1]Pc, Summer, S2'!I4*Main!$B$5)+(_xlfn.IFNA(VLOOKUP($A4,'FL Ratio'!$A$3:$B$10,2,FALSE),0)*'FL Characterization'!I$2)</f>
        <v>52.507446128633106</v>
      </c>
      <c r="J4" s="2">
        <f>('[1]Pc, Summer, S2'!J4*Main!$B$5)+(_xlfn.IFNA(VLOOKUP($A4,'FL Ratio'!$A$3:$B$10,2,FALSE),0)*'FL Characterization'!J$2)</f>
        <v>59.092337971033793</v>
      </c>
      <c r="K4" s="2">
        <f>('[1]Pc, Summer, S2'!K4*Main!$B$5)+(_xlfn.IFNA(VLOOKUP($A4,'FL Ratio'!$A$3:$B$10,2,FALSE),0)*'FL Characterization'!K$2)</f>
        <v>63.50506278136519</v>
      </c>
      <c r="L4" s="2">
        <f>('[1]Pc, Summer, S2'!L4*Main!$B$5)+(_xlfn.IFNA(VLOOKUP($A4,'FL Ratio'!$A$3:$B$10,2,FALSE),0)*'FL Characterization'!L$2)</f>
        <v>65.397531505372243</v>
      </c>
      <c r="M4" s="2">
        <f>('[1]Pc, Summer, S2'!M4*Main!$B$5)+(_xlfn.IFNA(VLOOKUP($A4,'FL Ratio'!$A$3:$B$10,2,FALSE),0)*'FL Characterization'!M$2)</f>
        <v>66.475989593209661</v>
      </c>
      <c r="N4" s="2">
        <f>('[1]Pc, Summer, S2'!N4*Main!$B$5)+(_xlfn.IFNA(VLOOKUP($A4,'FL Ratio'!$A$3:$B$10,2,FALSE),0)*'FL Characterization'!N$2)</f>
        <v>67.91446787643018</v>
      </c>
      <c r="O4" s="2">
        <f>('[1]Pc, Summer, S2'!O4*Main!$B$5)+(_xlfn.IFNA(VLOOKUP($A4,'FL Ratio'!$A$3:$B$10,2,FALSE),0)*'FL Characterization'!O$2)</f>
        <v>68.779407261636322</v>
      </c>
      <c r="P4" s="2">
        <f>('[1]Pc, Summer, S2'!P4*Main!$B$5)+(_xlfn.IFNA(VLOOKUP($A4,'FL Ratio'!$A$3:$B$10,2,FALSE),0)*'FL Characterization'!P$2)</f>
        <v>69.062719406842504</v>
      </c>
      <c r="Q4" s="2">
        <f>('[1]Pc, Summer, S2'!Q4*Main!$B$5)+(_xlfn.IFNA(VLOOKUP($A4,'FL Ratio'!$A$3:$B$10,2,FALSE),0)*'FL Characterization'!Q$2)</f>
        <v>66.47446994693486</v>
      </c>
      <c r="R4" s="2">
        <f>('[1]Pc, Summer, S2'!R4*Main!$B$5)+(_xlfn.IFNA(VLOOKUP($A4,'FL Ratio'!$A$3:$B$10,2,FALSE),0)*'FL Characterization'!R$2)</f>
        <v>66.193338775217285</v>
      </c>
      <c r="S4" s="2">
        <f>('[1]Pc, Summer, S2'!S4*Main!$B$5)+(_xlfn.IFNA(VLOOKUP($A4,'FL Ratio'!$A$3:$B$10,2,FALSE),0)*'FL Characterization'!S$2)</f>
        <v>64.044380024252561</v>
      </c>
      <c r="T4" s="2">
        <f>('[1]Pc, Summer, S2'!T4*Main!$B$5)+(_xlfn.IFNA(VLOOKUP($A4,'FL Ratio'!$A$3:$B$10,2,FALSE),0)*'FL Characterization'!T$2)</f>
        <v>64.039350448946976</v>
      </c>
      <c r="U4" s="2">
        <f>('[1]Pc, Summer, S2'!U4*Main!$B$5)+(_xlfn.IFNA(VLOOKUP($A4,'FL Ratio'!$A$3:$B$10,2,FALSE),0)*'FL Characterization'!U$2)</f>
        <v>64.419510078901197</v>
      </c>
      <c r="V4" s="2">
        <f>('[1]Pc, Summer, S2'!V4*Main!$B$5)+(_xlfn.IFNA(VLOOKUP($A4,'FL Ratio'!$A$3:$B$10,2,FALSE),0)*'FL Characterization'!V$2)</f>
        <v>64.067622244513544</v>
      </c>
      <c r="W4" s="2">
        <f>('[1]Pc, Summer, S2'!W4*Main!$B$5)+(_xlfn.IFNA(VLOOKUP($A4,'FL Ratio'!$A$3:$B$10,2,FALSE),0)*'FL Characterization'!W$2)</f>
        <v>66.150360316326513</v>
      </c>
      <c r="X4" s="2">
        <f>('[1]Pc, Summer, S2'!X4*Main!$B$5)+(_xlfn.IFNA(VLOOKUP($A4,'FL Ratio'!$A$3:$B$10,2,FALSE),0)*'FL Characterization'!X$2)</f>
        <v>65.765256693092667</v>
      </c>
      <c r="Y4" s="2">
        <f>('[1]Pc, Summer, S2'!Y4*Main!$B$5)+(_xlfn.IFNA(VLOOKUP($A4,'FL Ratio'!$A$3:$B$10,2,FALSE),0)*'FL Characterization'!Y$2)</f>
        <v>59.226943964224823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35.881395031326846</v>
      </c>
      <c r="C2" s="2">
        <f>('[1]Pc, Summer, S2'!C2*Main!$B$5)+(_xlfn.IFNA(VLOOKUP($A2,'FL Ratio'!$A$3:$B$10,2,FALSE),0)*'FL Characterization'!C$2)</f>
        <v>32.599853104438857</v>
      </c>
      <c r="D2" s="2">
        <f>('[1]Pc, Summer, S2'!D2*Main!$B$5)+(_xlfn.IFNA(VLOOKUP($A2,'FL Ratio'!$A$3:$B$10,2,FALSE),0)*'FL Characterization'!D$2)</f>
        <v>32.030418397589237</v>
      </c>
      <c r="E2" s="2">
        <f>('[1]Pc, Summer, S2'!E2*Main!$B$5)+(_xlfn.IFNA(VLOOKUP($A2,'FL Ratio'!$A$3:$B$10,2,FALSE),0)*'FL Characterization'!E$2)</f>
        <v>31.948594642293425</v>
      </c>
      <c r="F2" s="2">
        <f>('[1]Pc, Summer, S2'!F2*Main!$B$5)+(_xlfn.IFNA(VLOOKUP($A2,'FL Ratio'!$A$3:$B$10,2,FALSE),0)*'FL Characterization'!F$2)</f>
        <v>31.951113473021234</v>
      </c>
      <c r="G2" s="2">
        <f>('[1]Pc, Summer, S2'!G2*Main!$B$5)+(_xlfn.IFNA(VLOOKUP($A2,'FL Ratio'!$A$3:$B$10,2,FALSE),0)*'FL Characterization'!G$2)</f>
        <v>31.668547161378864</v>
      </c>
      <c r="H2" s="2">
        <f>('[1]Pc, Summer, S2'!H2*Main!$B$5)+(_xlfn.IFNA(VLOOKUP($A2,'FL Ratio'!$A$3:$B$10,2,FALSE),0)*'FL Characterization'!H$2)</f>
        <v>34.18902361301906</v>
      </c>
      <c r="I2" s="2">
        <f>('[1]Pc, Summer, S2'!I2*Main!$B$5)+(_xlfn.IFNA(VLOOKUP($A2,'FL Ratio'!$A$3:$B$10,2,FALSE),0)*'FL Characterization'!I$2)</f>
        <v>40.590723677994461</v>
      </c>
      <c r="J2" s="2">
        <f>('[1]Pc, Summer, S2'!J2*Main!$B$5)+(_xlfn.IFNA(VLOOKUP($A2,'FL Ratio'!$A$3:$B$10,2,FALSE),0)*'FL Characterization'!J$2)</f>
        <v>46.261883150584659</v>
      </c>
      <c r="K2" s="2">
        <f>('[1]Pc, Summer, S2'!K2*Main!$B$5)+(_xlfn.IFNA(VLOOKUP($A2,'FL Ratio'!$A$3:$B$10,2,FALSE),0)*'FL Characterization'!K$2)</f>
        <v>47.683420574759168</v>
      </c>
      <c r="L2" s="2">
        <f>('[1]Pc, Summer, S2'!L2*Main!$B$5)+(_xlfn.IFNA(VLOOKUP($A2,'FL Ratio'!$A$3:$B$10,2,FALSE),0)*'FL Characterization'!L$2)</f>
        <v>47.200877079546139</v>
      </c>
      <c r="M2" s="2">
        <f>('[1]Pc, Summer, S2'!M2*Main!$B$5)+(_xlfn.IFNA(VLOOKUP($A2,'FL Ratio'!$A$3:$B$10,2,FALSE),0)*'FL Characterization'!M$2)</f>
        <v>48.535652170360976</v>
      </c>
      <c r="N2" s="2">
        <f>('[1]Pc, Summer, S2'!N2*Main!$B$5)+(_xlfn.IFNA(VLOOKUP($A2,'FL Ratio'!$A$3:$B$10,2,FALSE),0)*'FL Characterization'!N$2)</f>
        <v>49.201458980356357</v>
      </c>
      <c r="O2" s="2">
        <f>('[1]Pc, Summer, S2'!O2*Main!$B$5)+(_xlfn.IFNA(VLOOKUP($A2,'FL Ratio'!$A$3:$B$10,2,FALSE),0)*'FL Characterization'!O$2)</f>
        <v>48.291324164831458</v>
      </c>
      <c r="P2" s="2">
        <f>('[1]Pc, Summer, S2'!P2*Main!$B$5)+(_xlfn.IFNA(VLOOKUP($A2,'FL Ratio'!$A$3:$B$10,2,FALSE),0)*'FL Characterization'!P$2)</f>
        <v>46.404330593715677</v>
      </c>
      <c r="Q2" s="2">
        <f>('[1]Pc, Summer, S2'!Q2*Main!$B$5)+(_xlfn.IFNA(VLOOKUP($A2,'FL Ratio'!$A$3:$B$10,2,FALSE),0)*'FL Characterization'!Q$2)</f>
        <v>44.53663634461919</v>
      </c>
      <c r="R2" s="2">
        <f>('[1]Pc, Summer, S2'!R2*Main!$B$5)+(_xlfn.IFNA(VLOOKUP($A2,'FL Ratio'!$A$3:$B$10,2,FALSE),0)*'FL Characterization'!R$2)</f>
        <v>45.31365468720545</v>
      </c>
      <c r="S2" s="2">
        <f>('[1]Pc, Summer, S2'!S2*Main!$B$5)+(_xlfn.IFNA(VLOOKUP($A2,'FL Ratio'!$A$3:$B$10,2,FALSE),0)*'FL Characterization'!S$2)</f>
        <v>45.761342276065477</v>
      </c>
      <c r="T2" s="2">
        <f>('[1]Pc, Summer, S2'!T2*Main!$B$5)+(_xlfn.IFNA(VLOOKUP($A2,'FL Ratio'!$A$3:$B$10,2,FALSE),0)*'FL Characterization'!T$2)</f>
        <v>45.955582174561947</v>
      </c>
      <c r="U2" s="2">
        <f>('[1]Pc, Summer, S2'!U2*Main!$B$5)+(_xlfn.IFNA(VLOOKUP($A2,'FL Ratio'!$A$3:$B$10,2,FALSE),0)*'FL Characterization'!U$2)</f>
        <v>45.194806015831247</v>
      </c>
      <c r="V2" s="2">
        <f>('[1]Pc, Summer, S2'!V2*Main!$B$5)+(_xlfn.IFNA(VLOOKUP($A2,'FL Ratio'!$A$3:$B$10,2,FALSE),0)*'FL Characterization'!V$2)</f>
        <v>45.330596499276169</v>
      </c>
      <c r="W2" s="2">
        <f>('[1]Pc, Summer, S2'!W2*Main!$B$5)+(_xlfn.IFNA(VLOOKUP($A2,'FL Ratio'!$A$3:$B$10,2,FALSE),0)*'FL Characterization'!W$2)</f>
        <v>47.208097779420385</v>
      </c>
      <c r="X2" s="2">
        <f>('[1]Pc, Summer, S2'!X2*Main!$B$5)+(_xlfn.IFNA(VLOOKUP($A2,'FL Ratio'!$A$3:$B$10,2,FALSE),0)*'FL Characterization'!X$2)</f>
        <v>44.003661066968007</v>
      </c>
      <c r="Y2" s="2">
        <f>('[1]Pc, Summer, S2'!Y2*Main!$B$5)+(_xlfn.IFNA(VLOOKUP($A2,'FL Ratio'!$A$3:$B$10,2,FALSE),0)*'FL Characterization'!Y$2)</f>
        <v>40.337910740034623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38.282035957580071</v>
      </c>
      <c r="C3" s="2">
        <f>('[1]Pc, Summer, S2'!C3*Main!$B$5)+(_xlfn.IFNA(VLOOKUP($A3,'FL Ratio'!$A$3:$B$10,2,FALSE),0)*'FL Characterization'!C$2)</f>
        <v>35.090378630367852</v>
      </c>
      <c r="D3" s="2">
        <f>('[1]Pc, Summer, S2'!D3*Main!$B$5)+(_xlfn.IFNA(VLOOKUP($A3,'FL Ratio'!$A$3:$B$10,2,FALSE),0)*'FL Characterization'!D$2)</f>
        <v>33.26360707121826</v>
      </c>
      <c r="E3" s="2">
        <f>('[1]Pc, Summer, S2'!E3*Main!$B$5)+(_xlfn.IFNA(VLOOKUP($A3,'FL Ratio'!$A$3:$B$10,2,FALSE),0)*'FL Characterization'!E$2)</f>
        <v>32.050329801609166</v>
      </c>
      <c r="F3" s="2">
        <f>('[1]Pc, Summer, S2'!F3*Main!$B$5)+(_xlfn.IFNA(VLOOKUP($A3,'FL Ratio'!$A$3:$B$10,2,FALSE),0)*'FL Characterization'!F$2)</f>
        <v>31.749118764452003</v>
      </c>
      <c r="G3" s="2">
        <f>('[1]Pc, Summer, S2'!G3*Main!$B$5)+(_xlfn.IFNA(VLOOKUP($A3,'FL Ratio'!$A$3:$B$10,2,FALSE),0)*'FL Characterization'!G$2)</f>
        <v>33.736950947260219</v>
      </c>
      <c r="H3" s="2">
        <f>('[1]Pc, Summer, S2'!H3*Main!$B$5)+(_xlfn.IFNA(VLOOKUP($A3,'FL Ratio'!$A$3:$B$10,2,FALSE),0)*'FL Characterization'!H$2)</f>
        <v>42.236568208390167</v>
      </c>
      <c r="I3" s="2">
        <f>('[1]Pc, Summer, S2'!I3*Main!$B$5)+(_xlfn.IFNA(VLOOKUP($A3,'FL Ratio'!$A$3:$B$10,2,FALSE),0)*'FL Characterization'!I$2)</f>
        <v>50.4768504722947</v>
      </c>
      <c r="J3" s="2">
        <f>('[1]Pc, Summer, S2'!J3*Main!$B$5)+(_xlfn.IFNA(VLOOKUP($A3,'FL Ratio'!$A$3:$B$10,2,FALSE),0)*'FL Characterization'!J$2)</f>
        <v>52.641577186812121</v>
      </c>
      <c r="K3" s="2">
        <f>('[1]Pc, Summer, S2'!K3*Main!$B$5)+(_xlfn.IFNA(VLOOKUP($A3,'FL Ratio'!$A$3:$B$10,2,FALSE),0)*'FL Characterization'!K$2)</f>
        <v>51.64348357698217</v>
      </c>
      <c r="L3" s="2">
        <f>('[1]Pc, Summer, S2'!L3*Main!$B$5)+(_xlfn.IFNA(VLOOKUP($A3,'FL Ratio'!$A$3:$B$10,2,FALSE),0)*'FL Characterization'!L$2)</f>
        <v>51.489374488639477</v>
      </c>
      <c r="M3" s="2">
        <f>('[1]Pc, Summer, S2'!M3*Main!$B$5)+(_xlfn.IFNA(VLOOKUP($A3,'FL Ratio'!$A$3:$B$10,2,FALSE),0)*'FL Characterization'!M$2)</f>
        <v>54.900535691172273</v>
      </c>
      <c r="N3" s="2">
        <f>('[1]Pc, Summer, S2'!N3*Main!$B$5)+(_xlfn.IFNA(VLOOKUP($A3,'FL Ratio'!$A$3:$B$10,2,FALSE),0)*'FL Characterization'!N$2)</f>
        <v>55.038307269255967</v>
      </c>
      <c r="O3" s="2">
        <f>('[1]Pc, Summer, S2'!O3*Main!$B$5)+(_xlfn.IFNA(VLOOKUP($A3,'FL Ratio'!$A$3:$B$10,2,FALSE),0)*'FL Characterization'!O$2)</f>
        <v>55.350032860071586</v>
      </c>
      <c r="P3" s="2">
        <f>('[1]Pc, Summer, S2'!P3*Main!$B$5)+(_xlfn.IFNA(VLOOKUP($A3,'FL Ratio'!$A$3:$B$10,2,FALSE),0)*'FL Characterization'!P$2)</f>
        <v>52.652626923882977</v>
      </c>
      <c r="Q3" s="2">
        <f>('[1]Pc, Summer, S2'!Q3*Main!$B$5)+(_xlfn.IFNA(VLOOKUP($A3,'FL Ratio'!$A$3:$B$10,2,FALSE),0)*'FL Characterization'!Q$2)</f>
        <v>49.873162283125687</v>
      </c>
      <c r="R3" s="2">
        <f>('[1]Pc, Summer, S2'!R3*Main!$B$5)+(_xlfn.IFNA(VLOOKUP($A3,'FL Ratio'!$A$3:$B$10,2,FALSE),0)*'FL Characterization'!R$2)</f>
        <v>46.19434907361363</v>
      </c>
      <c r="S3" s="2">
        <f>('[1]Pc, Summer, S2'!S3*Main!$B$5)+(_xlfn.IFNA(VLOOKUP($A3,'FL Ratio'!$A$3:$B$10,2,FALSE),0)*'FL Characterization'!S$2)</f>
        <v>46.610447072068411</v>
      </c>
      <c r="T3" s="2">
        <f>('[1]Pc, Summer, S2'!T3*Main!$B$5)+(_xlfn.IFNA(VLOOKUP($A3,'FL Ratio'!$A$3:$B$10,2,FALSE),0)*'FL Characterization'!T$2)</f>
        <v>46.272744348684817</v>
      </c>
      <c r="U3" s="2">
        <f>('[1]Pc, Summer, S2'!U3*Main!$B$5)+(_xlfn.IFNA(VLOOKUP($A3,'FL Ratio'!$A$3:$B$10,2,FALSE),0)*'FL Characterization'!U$2)</f>
        <v>46.130333996928272</v>
      </c>
      <c r="V3" s="2">
        <f>('[1]Pc, Summer, S2'!V3*Main!$B$5)+(_xlfn.IFNA(VLOOKUP($A3,'FL Ratio'!$A$3:$B$10,2,FALSE),0)*'FL Characterization'!V$2)</f>
        <v>46.305215764394781</v>
      </c>
      <c r="W3" s="2">
        <f>('[1]Pc, Summer, S2'!W3*Main!$B$5)+(_xlfn.IFNA(VLOOKUP($A3,'FL Ratio'!$A$3:$B$10,2,FALSE),0)*'FL Characterization'!W$2)</f>
        <v>46.109614141189539</v>
      </c>
      <c r="X3" s="2">
        <f>('[1]Pc, Summer, S2'!X3*Main!$B$5)+(_xlfn.IFNA(VLOOKUP($A3,'FL Ratio'!$A$3:$B$10,2,FALSE),0)*'FL Characterization'!X$2)</f>
        <v>45.591962566415901</v>
      </c>
      <c r="Y3" s="2">
        <f>('[1]Pc, Summer, S2'!Y3*Main!$B$5)+(_xlfn.IFNA(VLOOKUP($A3,'FL Ratio'!$A$3:$B$10,2,FALSE),0)*'FL Characterization'!Y$2)</f>
        <v>43.04830346941025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50.955305924770222</v>
      </c>
      <c r="C4" s="2">
        <f>('[1]Pc, Summer, S2'!C4*Main!$B$5)+(_xlfn.IFNA(VLOOKUP($A4,'FL Ratio'!$A$3:$B$10,2,FALSE),0)*'FL Characterization'!C$2)</f>
        <v>45.146954487320912</v>
      </c>
      <c r="D4" s="2">
        <f>('[1]Pc, Summer, S2'!D4*Main!$B$5)+(_xlfn.IFNA(VLOOKUP($A4,'FL Ratio'!$A$3:$B$10,2,FALSE),0)*'FL Characterization'!D$2)</f>
        <v>42.592765330636041</v>
      </c>
      <c r="E4" s="2">
        <f>('[1]Pc, Summer, S2'!E4*Main!$B$5)+(_xlfn.IFNA(VLOOKUP($A4,'FL Ratio'!$A$3:$B$10,2,FALSE),0)*'FL Characterization'!E$2)</f>
        <v>41.205968288615921</v>
      </c>
      <c r="F4" s="2">
        <f>('[1]Pc, Summer, S2'!F4*Main!$B$5)+(_xlfn.IFNA(VLOOKUP($A4,'FL Ratio'!$A$3:$B$10,2,FALSE),0)*'FL Characterization'!F$2)</f>
        <v>43.280804456592918</v>
      </c>
      <c r="G4" s="2">
        <f>('[1]Pc, Summer, S2'!G4*Main!$B$5)+(_xlfn.IFNA(VLOOKUP($A4,'FL Ratio'!$A$3:$B$10,2,FALSE),0)*'FL Characterization'!G$2)</f>
        <v>39.550658422364407</v>
      </c>
      <c r="H4" s="2">
        <f>('[1]Pc, Summer, S2'!H4*Main!$B$5)+(_xlfn.IFNA(VLOOKUP($A4,'FL Ratio'!$A$3:$B$10,2,FALSE),0)*'FL Characterization'!H$2)</f>
        <v>46.443777137713177</v>
      </c>
      <c r="I4" s="2">
        <f>('[1]Pc, Summer, S2'!I4*Main!$B$5)+(_xlfn.IFNA(VLOOKUP($A4,'FL Ratio'!$A$3:$B$10,2,FALSE),0)*'FL Characterization'!I$2)</f>
        <v>52.507446128633106</v>
      </c>
      <c r="J4" s="2">
        <f>('[1]Pc, Summer, S2'!J4*Main!$B$5)+(_xlfn.IFNA(VLOOKUP($A4,'FL Ratio'!$A$3:$B$10,2,FALSE),0)*'FL Characterization'!J$2)</f>
        <v>59.092337971033793</v>
      </c>
      <c r="K4" s="2">
        <f>('[1]Pc, Summer, S2'!K4*Main!$B$5)+(_xlfn.IFNA(VLOOKUP($A4,'FL Ratio'!$A$3:$B$10,2,FALSE),0)*'FL Characterization'!K$2)</f>
        <v>63.50506278136519</v>
      </c>
      <c r="L4" s="2">
        <f>('[1]Pc, Summer, S2'!L4*Main!$B$5)+(_xlfn.IFNA(VLOOKUP($A4,'FL Ratio'!$A$3:$B$10,2,FALSE),0)*'FL Characterization'!L$2)</f>
        <v>65.397531505372243</v>
      </c>
      <c r="M4" s="2">
        <f>('[1]Pc, Summer, S2'!M4*Main!$B$5)+(_xlfn.IFNA(VLOOKUP($A4,'FL Ratio'!$A$3:$B$10,2,FALSE),0)*'FL Characterization'!M$2)</f>
        <v>66.475989593209661</v>
      </c>
      <c r="N4" s="2">
        <f>('[1]Pc, Summer, S2'!N4*Main!$B$5)+(_xlfn.IFNA(VLOOKUP($A4,'FL Ratio'!$A$3:$B$10,2,FALSE),0)*'FL Characterization'!N$2)</f>
        <v>67.91446787643018</v>
      </c>
      <c r="O4" s="2">
        <f>('[1]Pc, Summer, S2'!O4*Main!$B$5)+(_xlfn.IFNA(VLOOKUP($A4,'FL Ratio'!$A$3:$B$10,2,FALSE),0)*'FL Characterization'!O$2)</f>
        <v>68.779407261636322</v>
      </c>
      <c r="P4" s="2">
        <f>('[1]Pc, Summer, S2'!P4*Main!$B$5)+(_xlfn.IFNA(VLOOKUP($A4,'FL Ratio'!$A$3:$B$10,2,FALSE),0)*'FL Characterization'!P$2)</f>
        <v>69.062719406842504</v>
      </c>
      <c r="Q4" s="2">
        <f>('[1]Pc, Summer, S2'!Q4*Main!$B$5)+(_xlfn.IFNA(VLOOKUP($A4,'FL Ratio'!$A$3:$B$10,2,FALSE),0)*'FL Characterization'!Q$2)</f>
        <v>66.47446994693486</v>
      </c>
      <c r="R4" s="2">
        <f>('[1]Pc, Summer, S2'!R4*Main!$B$5)+(_xlfn.IFNA(VLOOKUP($A4,'FL Ratio'!$A$3:$B$10,2,FALSE),0)*'FL Characterization'!R$2)</f>
        <v>66.193338775217285</v>
      </c>
      <c r="S4" s="2">
        <f>('[1]Pc, Summer, S2'!S4*Main!$B$5)+(_xlfn.IFNA(VLOOKUP($A4,'FL Ratio'!$A$3:$B$10,2,FALSE),0)*'FL Characterization'!S$2)</f>
        <v>64.044380024252561</v>
      </c>
      <c r="T4" s="2">
        <f>('[1]Pc, Summer, S2'!T4*Main!$B$5)+(_xlfn.IFNA(VLOOKUP($A4,'FL Ratio'!$A$3:$B$10,2,FALSE),0)*'FL Characterization'!T$2)</f>
        <v>64.039350448946976</v>
      </c>
      <c r="U4" s="2">
        <f>('[1]Pc, Summer, S2'!U4*Main!$B$5)+(_xlfn.IFNA(VLOOKUP($A4,'FL Ratio'!$A$3:$B$10,2,FALSE),0)*'FL Characterization'!U$2)</f>
        <v>64.419510078901197</v>
      </c>
      <c r="V4" s="2">
        <f>('[1]Pc, Summer, S2'!V4*Main!$B$5)+(_xlfn.IFNA(VLOOKUP($A4,'FL Ratio'!$A$3:$B$10,2,FALSE),0)*'FL Characterization'!V$2)</f>
        <v>64.067622244513544</v>
      </c>
      <c r="W4" s="2">
        <f>('[1]Pc, Summer, S2'!W4*Main!$B$5)+(_xlfn.IFNA(VLOOKUP($A4,'FL Ratio'!$A$3:$B$10,2,FALSE),0)*'FL Characterization'!W$2)</f>
        <v>66.150360316326513</v>
      </c>
      <c r="X4" s="2">
        <f>('[1]Pc, Summer, S2'!X4*Main!$B$5)+(_xlfn.IFNA(VLOOKUP($A4,'FL Ratio'!$A$3:$B$10,2,FALSE),0)*'FL Characterization'!X$2)</f>
        <v>65.765256693092667</v>
      </c>
      <c r="Y4" s="2">
        <f>('[1]Pc, Summer, S2'!Y4*Main!$B$5)+(_xlfn.IFNA(VLOOKUP($A4,'FL Ratio'!$A$3:$B$10,2,FALSE),0)*'FL Characterization'!Y$2)</f>
        <v>59.226943964224823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34.139579738543986</v>
      </c>
      <c r="C2" s="2">
        <f>('[1]Pc, Summer, S3'!C2*Main!$B$5)+(_xlfn.IFNA(VLOOKUP($A2,'FL Ratio'!$A$3:$B$10,2,FALSE),0)*'FL Characterization'!C$2)</f>
        <v>31.01733596344668</v>
      </c>
      <c r="D2" s="2">
        <f>('[1]Pc, Summer, S3'!D2*Main!$B$5)+(_xlfn.IFNA(VLOOKUP($A2,'FL Ratio'!$A$3:$B$10,2,FALSE),0)*'FL Characterization'!D$2)</f>
        <v>30.475543718094617</v>
      </c>
      <c r="E2" s="2">
        <f>('[1]Pc, Summer, S3'!E2*Main!$B$5)+(_xlfn.IFNA(VLOOKUP($A2,'FL Ratio'!$A$3:$B$10,2,FALSE),0)*'FL Characterization'!E$2)</f>
        <v>30.397691989754907</v>
      </c>
      <c r="F2" s="2">
        <f>('[1]Pc, Summer, S3'!F2*Main!$B$5)+(_xlfn.IFNA(VLOOKUP($A2,'FL Ratio'!$A$3:$B$10,2,FALSE),0)*'FL Characterization'!F$2)</f>
        <v>30.400088547146417</v>
      </c>
      <c r="G2" s="2">
        <f>('[1]Pc, Summer, S3'!G2*Main!$B$5)+(_xlfn.IFNA(VLOOKUP($A2,'FL Ratio'!$A$3:$B$10,2,FALSE),0)*'FL Characterization'!G$2)</f>
        <v>30.131239046748821</v>
      </c>
      <c r="H2" s="2">
        <f>('[1]Pc, Summer, S3'!H2*Main!$B$5)+(_xlfn.IFNA(VLOOKUP($A2,'FL Ratio'!$A$3:$B$10,2,FALSE),0)*'FL Characterization'!H$2)</f>
        <v>32.529362272581245</v>
      </c>
      <c r="I2" s="2">
        <f>('[1]Pc, Summer, S3'!I2*Main!$B$5)+(_xlfn.IFNA(VLOOKUP($A2,'FL Ratio'!$A$3:$B$10,2,FALSE),0)*'FL Characterization'!I$2)</f>
        <v>38.620300198480166</v>
      </c>
      <c r="J2" s="2">
        <f>('[1]Pc, Summer, S3'!J2*Main!$B$5)+(_xlfn.IFNA(VLOOKUP($A2,'FL Ratio'!$A$3:$B$10,2,FALSE),0)*'FL Characterization'!J$2)</f>
        <v>44.016160667546572</v>
      </c>
      <c r="K2" s="2">
        <f>('[1]Pc, Summer, S3'!K2*Main!$B$5)+(_xlfn.IFNA(VLOOKUP($A2,'FL Ratio'!$A$3:$B$10,2,FALSE),0)*'FL Characterization'!K$2)</f>
        <v>45.36869142064463</v>
      </c>
      <c r="L2" s="2">
        <f>('[1]Pc, Summer, S3'!L2*Main!$B$5)+(_xlfn.IFNA(VLOOKUP($A2,'FL Ratio'!$A$3:$B$10,2,FALSE),0)*'FL Characterization'!L$2)</f>
        <v>44.909572366946819</v>
      </c>
      <c r="M2" s="2">
        <f>('[1]Pc, Summer, S3'!M2*Main!$B$5)+(_xlfn.IFNA(VLOOKUP($A2,'FL Ratio'!$A$3:$B$10,2,FALSE),0)*'FL Characterization'!M$2)</f>
        <v>46.179552550440533</v>
      </c>
      <c r="N2" s="2">
        <f>('[1]Pc, Summer, S3'!N2*Main!$B$5)+(_xlfn.IFNA(VLOOKUP($A2,'FL Ratio'!$A$3:$B$10,2,FALSE),0)*'FL Characterization'!N$2)</f>
        <v>46.813038641504107</v>
      </c>
      <c r="O2" s="2">
        <f>('[1]Pc, Summer, S3'!O2*Main!$B$5)+(_xlfn.IFNA(VLOOKUP($A2,'FL Ratio'!$A$3:$B$10,2,FALSE),0)*'FL Characterization'!O$2)</f>
        <v>45.947085127703716</v>
      </c>
      <c r="P2" s="2">
        <f>('[1]Pc, Summer, S3'!P2*Main!$B$5)+(_xlfn.IFNA(VLOOKUP($A2,'FL Ratio'!$A$3:$B$10,2,FALSE),0)*'FL Characterization'!P$2)</f>
        <v>44.151693186253745</v>
      </c>
      <c r="Q2" s="2">
        <f>('[1]Pc, Summer, S3'!Q2*Main!$B$5)+(_xlfn.IFNA(VLOOKUP($A2,'FL Ratio'!$A$3:$B$10,2,FALSE),0)*'FL Characterization'!Q$2)</f>
        <v>42.374663706530882</v>
      </c>
      <c r="R2" s="2">
        <f>('[1]Pc, Summer, S3'!R2*Main!$B$5)+(_xlfn.IFNA(VLOOKUP($A2,'FL Ratio'!$A$3:$B$10,2,FALSE),0)*'FL Characterization'!R$2)</f>
        <v>43.113962712098385</v>
      </c>
      <c r="S2" s="2">
        <f>('[1]Pc, Summer, S3'!S2*Main!$B$5)+(_xlfn.IFNA(VLOOKUP($A2,'FL Ratio'!$A$3:$B$10,2,FALSE),0)*'FL Characterization'!S$2)</f>
        <v>43.539917893732202</v>
      </c>
      <c r="T2" s="2">
        <f>('[1]Pc, Summer, S3'!T2*Main!$B$5)+(_xlfn.IFNA(VLOOKUP($A2,'FL Ratio'!$A$3:$B$10,2,FALSE),0)*'FL Characterization'!T$2)</f>
        <v>43.724728670942426</v>
      </c>
      <c r="U2" s="2">
        <f>('[1]Pc, Summer, S3'!U2*Main!$B$5)+(_xlfn.IFNA(VLOOKUP($A2,'FL Ratio'!$A$3:$B$10,2,FALSE),0)*'FL Characterization'!U$2)</f>
        <v>43.000883393703518</v>
      </c>
      <c r="V2" s="2">
        <f>('[1]Pc, Summer, S3'!V2*Main!$B$5)+(_xlfn.IFNA(VLOOKUP($A2,'FL Ratio'!$A$3:$B$10,2,FALSE),0)*'FL Characterization'!V$2)</f>
        <v>43.130082106107416</v>
      </c>
      <c r="W2" s="2">
        <f>('[1]Pc, Summer, S3'!W2*Main!$B$5)+(_xlfn.IFNA(VLOOKUP($A2,'FL Ratio'!$A$3:$B$10,2,FALSE),0)*'FL Characterization'!W$2)</f>
        <v>44.916442547409694</v>
      </c>
      <c r="X2" s="2">
        <f>('[1]Pc, Summer, S3'!X2*Main!$B$5)+(_xlfn.IFNA(VLOOKUP($A2,'FL Ratio'!$A$3:$B$10,2,FALSE),0)*'FL Characterization'!X$2)</f>
        <v>41.86756101517345</v>
      </c>
      <c r="Y2" s="2">
        <f>('[1]Pc, Summer, S3'!Y2*Main!$B$5)+(_xlfn.IFNA(VLOOKUP($A2,'FL Ratio'!$A$3:$B$10,2,FALSE),0)*'FL Characterization'!Y$2)</f>
        <v>38.379759733236831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36.51594224962799</v>
      </c>
      <c r="C3" s="2">
        <f>('[1]Pc, Summer, S3'!C3*Main!$B$5)+(_xlfn.IFNA(VLOOKUP($A3,'FL Ratio'!$A$3:$B$10,2,FALSE),0)*'FL Characterization'!C$2)</f>
        <v>33.482297247694483</v>
      </c>
      <c r="D3" s="2">
        <f>('[1]Pc, Summer, S3'!D3*Main!$B$5)+(_xlfn.IFNA(VLOOKUP($A3,'FL Ratio'!$A$3:$B$10,2,FALSE),0)*'FL Characterization'!D$2)</f>
        <v>31.734235810449317</v>
      </c>
      <c r="E3" s="2">
        <f>('[1]Pc, Summer, S3'!E3*Main!$B$5)+(_xlfn.IFNA(VLOOKUP($A3,'FL Ratio'!$A$3:$B$10,2,FALSE),0)*'FL Characterization'!E$2)</f>
        <v>30.575404374659421</v>
      </c>
      <c r="F3" s="2">
        <f>('[1]Pc, Summer, S3'!F3*Main!$B$5)+(_xlfn.IFNA(VLOOKUP($A3,'FL Ratio'!$A$3:$B$10,2,FALSE),0)*'FL Characterization'!F$2)</f>
        <v>30.274193337502261</v>
      </c>
      <c r="G3" s="2">
        <f>('[1]Pc, Summer, S3'!G3*Main!$B$5)+(_xlfn.IFNA(VLOOKUP($A3,'FL Ratio'!$A$3:$B$10,2,FALSE),0)*'FL Characterization'!G$2)</f>
        <v>32.155500654434796</v>
      </c>
      <c r="H3" s="2">
        <f>('[1]Pc, Summer, S3'!H3*Main!$B$5)+(_xlfn.IFNA(VLOOKUP($A3,'FL Ratio'!$A$3:$B$10,2,FALSE),0)*'FL Characterization'!H$2)</f>
        <v>40.255057839469984</v>
      </c>
      <c r="I3" s="2">
        <f>('[1]Pc, Summer, S3'!I3*Main!$B$5)+(_xlfn.IFNA(VLOOKUP($A3,'FL Ratio'!$A$3:$B$10,2,FALSE),0)*'FL Characterization'!I$2)</f>
        <v>48.038467646272586</v>
      </c>
      <c r="J3" s="2">
        <f>('[1]Pc, Summer, S3'!J3*Main!$B$5)+(_xlfn.IFNA(VLOOKUP($A3,'FL Ratio'!$A$3:$B$10,2,FALSE),0)*'FL Characterization'!J$2)</f>
        <v>50.096669367293721</v>
      </c>
      <c r="K3" s="2">
        <f>('[1]Pc, Summer, S3'!K3*Main!$B$5)+(_xlfn.IFNA(VLOOKUP($A3,'FL Ratio'!$A$3:$B$10,2,FALSE),0)*'FL Characterization'!K$2)</f>
        <v>49.151838317688998</v>
      </c>
      <c r="L3" s="2">
        <f>('[1]Pc, Summer, S3'!L3*Main!$B$5)+(_xlfn.IFNA(VLOOKUP($A3,'FL Ratio'!$A$3:$B$10,2,FALSE),0)*'FL Characterization'!L$2)</f>
        <v>48.998912629894463</v>
      </c>
      <c r="M3" s="2">
        <f>('[1]Pc, Summer, S3'!M3*Main!$B$5)+(_xlfn.IFNA(VLOOKUP($A3,'FL Ratio'!$A$3:$B$10,2,FALSE),0)*'FL Characterization'!M$2)</f>
        <v>52.246735314669777</v>
      </c>
      <c r="N3" s="2">
        <f>('[1]Pc, Summer, S3'!N3*Main!$B$5)+(_xlfn.IFNA(VLOOKUP($A3,'FL Ratio'!$A$3:$B$10,2,FALSE),0)*'FL Characterization'!N$2)</f>
        <v>52.384506892753464</v>
      </c>
      <c r="O3" s="2">
        <f>('[1]Pc, Summer, S3'!O3*Main!$B$5)+(_xlfn.IFNA(VLOOKUP($A3,'FL Ratio'!$A$3:$B$10,2,FALSE),0)*'FL Characterization'!O$2)</f>
        <v>52.696232483569091</v>
      </c>
      <c r="P3" s="2">
        <f>('[1]Pc, Summer, S3'!P3*Main!$B$5)+(_xlfn.IFNA(VLOOKUP($A3,'FL Ratio'!$A$3:$B$10,2,FALSE),0)*'FL Characterization'!P$2)</f>
        <v>50.131982884466467</v>
      </c>
      <c r="Q3" s="2">
        <f>('[1]Pc, Summer, S3'!Q3*Main!$B$5)+(_xlfn.IFNA(VLOOKUP($A3,'FL Ratio'!$A$3:$B$10,2,FALSE),0)*'FL Characterization'!Q$2)</f>
        <v>47.486858235418303</v>
      </c>
      <c r="R3" s="2">
        <f>('[1]Pc, Summer, S3'!R3*Main!$B$5)+(_xlfn.IFNA(VLOOKUP($A3,'FL Ratio'!$A$3:$B$10,2,FALSE),0)*'FL Characterization'!R$2)</f>
        <v>43.971383289588779</v>
      </c>
      <c r="S3" s="2">
        <f>('[1]Pc, Summer, S3'!S3*Main!$B$5)+(_xlfn.IFNA(VLOOKUP($A3,'FL Ratio'!$A$3:$B$10,2,FALSE),0)*'FL Characterization'!S$2)</f>
        <v>44.38748128804356</v>
      </c>
      <c r="T3" s="2">
        <f>('[1]Pc, Summer, S3'!T3*Main!$B$5)+(_xlfn.IFNA(VLOOKUP($A3,'FL Ratio'!$A$3:$B$10,2,FALSE),0)*'FL Characterization'!T$2)</f>
        <v>44.049778564659967</v>
      </c>
      <c r="U3" s="2">
        <f>('[1]Pc, Summer, S3'!U3*Main!$B$5)+(_xlfn.IFNA(VLOOKUP($A3,'FL Ratio'!$A$3:$B$10,2,FALSE),0)*'FL Characterization'!U$2)</f>
        <v>43.907368212903421</v>
      </c>
      <c r="V3" s="2">
        <f>('[1]Pc, Summer, S3'!V3*Main!$B$5)+(_xlfn.IFNA(VLOOKUP($A3,'FL Ratio'!$A$3:$B$10,2,FALSE),0)*'FL Characterization'!V$2)</f>
        <v>44.08224998036993</v>
      </c>
      <c r="W3" s="2">
        <f>('[1]Pc, Summer, S3'!W3*Main!$B$5)+(_xlfn.IFNA(VLOOKUP($A3,'FL Ratio'!$A$3:$B$10,2,FALSE),0)*'FL Characterization'!W$2)</f>
        <v>43.886648357164688</v>
      </c>
      <c r="X3" s="2">
        <f>('[1]Pc, Summer, S3'!X3*Main!$B$5)+(_xlfn.IFNA(VLOOKUP($A3,'FL Ratio'!$A$3:$B$10,2,FALSE),0)*'FL Characterization'!X$2)</f>
        <v>43.448890050935283</v>
      </c>
      <c r="Y3" s="2">
        <f>('[1]Pc, Summer, S3'!Y3*Main!$B$5)+(_xlfn.IFNA(VLOOKUP($A3,'FL Ratio'!$A$3:$B$10,2,FALSE),0)*'FL Characterization'!Y$2)</f>
        <v>41.043121274903811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48.574004936857456</v>
      </c>
      <c r="C4" s="2">
        <f>('[1]Pc, Summer, S3'!C4*Main!$B$5)+(_xlfn.IFNA(VLOOKUP($A4,'FL Ratio'!$A$3:$B$10,2,FALSE),0)*'FL Characterization'!C$2)</f>
        <v>43.050689810620689</v>
      </c>
      <c r="D4" s="2">
        <f>('[1]Pc, Summer, S3'!D4*Main!$B$5)+(_xlfn.IFNA(VLOOKUP($A4,'FL Ratio'!$A$3:$B$10,2,FALSE),0)*'FL Characterization'!D$2)</f>
        <v>40.610522309701174</v>
      </c>
      <c r="E4" s="2">
        <f>('[1]Pc, Summer, S3'!E4*Main!$B$5)+(_xlfn.IFNA(VLOOKUP($A4,'FL Ratio'!$A$3:$B$10,2,FALSE),0)*'FL Characterization'!E$2)</f>
        <v>39.286594391423144</v>
      </c>
      <c r="F4" s="2">
        <f>('[1]Pc, Summer, S3'!F4*Main!$B$5)+(_xlfn.IFNA(VLOOKUP($A4,'FL Ratio'!$A$3:$B$10,2,FALSE),0)*'FL Characterization'!F$2)</f>
        <v>41.246088462063533</v>
      </c>
      <c r="G4" s="2">
        <f>('[1]Pc, Summer, S3'!G4*Main!$B$5)+(_xlfn.IFNA(VLOOKUP($A4,'FL Ratio'!$A$3:$B$10,2,FALSE),0)*'FL Characterization'!G$2)</f>
        <v>37.686989320067909</v>
      </c>
      <c r="H4" s="2">
        <f>('[1]Pc, Summer, S3'!H4*Main!$B$5)+(_xlfn.IFNA(VLOOKUP($A4,'FL Ratio'!$A$3:$B$10,2,FALSE),0)*'FL Characterization'!H$2)</f>
        <v>44.25803332562198</v>
      </c>
      <c r="I4" s="2">
        <f>('[1]Pc, Summer, S3'!I4*Main!$B$5)+(_xlfn.IFNA(VLOOKUP($A4,'FL Ratio'!$A$3:$B$10,2,FALSE),0)*'FL Characterization'!I$2)</f>
        <v>49.970490697934373</v>
      </c>
      <c r="J4" s="2">
        <f>('[1]Pc, Summer, S3'!J4*Main!$B$5)+(_xlfn.IFNA(VLOOKUP($A4,'FL Ratio'!$A$3:$B$10,2,FALSE),0)*'FL Characterization'!J$2)</f>
        <v>56.234286424125983</v>
      </c>
      <c r="K4" s="2">
        <f>('[1]Pc, Summer, S3'!K4*Main!$B$5)+(_xlfn.IFNA(VLOOKUP($A4,'FL Ratio'!$A$3:$B$10,2,FALSE),0)*'FL Characterization'!K$2)</f>
        <v>60.437612706325275</v>
      </c>
      <c r="L4" s="2">
        <f>('[1]Pc, Summer, S3'!L4*Main!$B$5)+(_xlfn.IFNA(VLOOKUP($A4,'FL Ratio'!$A$3:$B$10,2,FALSE),0)*'FL Characterization'!L$2)</f>
        <v>62.231916393387763</v>
      </c>
      <c r="M4" s="2">
        <f>('[1]Pc, Summer, S3'!M4*Main!$B$5)+(_xlfn.IFNA(VLOOKUP($A4,'FL Ratio'!$A$3:$B$10,2,FALSE),0)*'FL Characterization'!M$2)</f>
        <v>63.260273978744173</v>
      </c>
      <c r="N4" s="2">
        <f>('[1]Pc, Summer, S3'!N4*Main!$B$5)+(_xlfn.IFNA(VLOOKUP($A4,'FL Ratio'!$A$3:$B$10,2,FALSE),0)*'FL Characterization'!N$2)</f>
        <v>64.635611159773589</v>
      </c>
      <c r="O4" s="2">
        <f>('[1]Pc, Summer, S3'!O4*Main!$B$5)+(_xlfn.IFNA(VLOOKUP($A4,'FL Ratio'!$A$3:$B$10,2,FALSE),0)*'FL Characterization'!O$2)</f>
        <v>65.473695506417087</v>
      </c>
      <c r="P4" s="2">
        <f>('[1]Pc, Summer, S3'!P4*Main!$B$5)+(_xlfn.IFNA(VLOOKUP($A4,'FL Ratio'!$A$3:$B$10,2,FALSE),0)*'FL Characterization'!P$2)</f>
        <v>65.74546893621438</v>
      </c>
      <c r="Q4" s="2">
        <f>('[1]Pc, Summer, S3'!Q4*Main!$B$5)+(_xlfn.IFNA(VLOOKUP($A4,'FL Ratio'!$A$3:$B$10,2,FALSE),0)*'FL Characterization'!Q$2)</f>
        <v>63.282277177683333</v>
      </c>
      <c r="R4" s="2">
        <f>('[1]Pc, Summer, S3'!R4*Main!$B$5)+(_xlfn.IFNA(VLOOKUP($A4,'FL Ratio'!$A$3:$B$10,2,FALSE),0)*'FL Characterization'!R$2)</f>
        <v>62.999548248396138</v>
      </c>
      <c r="S4" s="2">
        <f>('[1]Pc, Summer, S3'!S4*Main!$B$5)+(_xlfn.IFNA(VLOOKUP($A4,'FL Ratio'!$A$3:$B$10,2,FALSE),0)*'FL Characterization'!S$2)</f>
        <v>60.975106815364406</v>
      </c>
      <c r="T4" s="2">
        <f>('[1]Pc, Summer, S3'!T4*Main!$B$5)+(_xlfn.IFNA(VLOOKUP($A4,'FL Ratio'!$A$3:$B$10,2,FALSE),0)*'FL Characterization'!T$2)</f>
        <v>60.953928058113277</v>
      </c>
      <c r="U4" s="2">
        <f>('[1]Pc, Summer, S3'!U4*Main!$B$5)+(_xlfn.IFNA(VLOOKUP($A4,'FL Ratio'!$A$3:$B$10,2,FALSE),0)*'FL Characterization'!U$2)</f>
        <v>61.308720213227168</v>
      </c>
      <c r="V4" s="2">
        <f>('[1]Pc, Summer, S3'!V4*Main!$B$5)+(_xlfn.IFNA(VLOOKUP($A4,'FL Ratio'!$A$3:$B$10,2,FALSE),0)*'FL Characterization'!V$2)</f>
        <v>60.982403718735355</v>
      </c>
      <c r="W4" s="2">
        <f>('[1]Pc, Summer, S3'!W4*Main!$B$5)+(_xlfn.IFNA(VLOOKUP($A4,'FL Ratio'!$A$3:$B$10,2,FALSE),0)*'FL Characterization'!W$2)</f>
        <v>62.954542776227044</v>
      </c>
      <c r="X4" s="2">
        <f>('[1]Pc, Summer, S3'!X4*Main!$B$5)+(_xlfn.IFNA(VLOOKUP($A4,'FL Ratio'!$A$3:$B$10,2,FALSE),0)*'FL Characterization'!X$2)</f>
        <v>62.64289805495784</v>
      </c>
      <c r="Y4" s="2">
        <f>('[1]Pc, Summer, S3'!Y4*Main!$B$5)+(_xlfn.IFNA(VLOOKUP($A4,'FL Ratio'!$A$3:$B$10,2,FALSE),0)*'FL Characterization'!Y$2)</f>
        <v>56.436390871911861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34.139579738543986</v>
      </c>
      <c r="C2" s="2">
        <f>('[1]Pc, Summer, S3'!C2*Main!$B$5)+(_xlfn.IFNA(VLOOKUP($A2,'FL Ratio'!$A$3:$B$10,2,FALSE),0)*'FL Characterization'!C$2)</f>
        <v>31.01733596344668</v>
      </c>
      <c r="D2" s="2">
        <f>('[1]Pc, Summer, S3'!D2*Main!$B$5)+(_xlfn.IFNA(VLOOKUP($A2,'FL Ratio'!$A$3:$B$10,2,FALSE),0)*'FL Characterization'!D$2)</f>
        <v>30.475543718094617</v>
      </c>
      <c r="E2" s="2">
        <f>('[1]Pc, Summer, S3'!E2*Main!$B$5)+(_xlfn.IFNA(VLOOKUP($A2,'FL Ratio'!$A$3:$B$10,2,FALSE),0)*'FL Characterization'!E$2)</f>
        <v>30.397691989754907</v>
      </c>
      <c r="F2" s="2">
        <f>('[1]Pc, Summer, S3'!F2*Main!$B$5)+(_xlfn.IFNA(VLOOKUP($A2,'FL Ratio'!$A$3:$B$10,2,FALSE),0)*'FL Characterization'!F$2)</f>
        <v>30.400088547146417</v>
      </c>
      <c r="G2" s="2">
        <f>('[1]Pc, Summer, S3'!G2*Main!$B$5)+(_xlfn.IFNA(VLOOKUP($A2,'FL Ratio'!$A$3:$B$10,2,FALSE),0)*'FL Characterization'!G$2)</f>
        <v>30.131239046748821</v>
      </c>
      <c r="H2" s="2">
        <f>('[1]Pc, Summer, S3'!H2*Main!$B$5)+(_xlfn.IFNA(VLOOKUP($A2,'FL Ratio'!$A$3:$B$10,2,FALSE),0)*'FL Characterization'!H$2)</f>
        <v>32.529362272581245</v>
      </c>
      <c r="I2" s="2">
        <f>('[1]Pc, Summer, S3'!I2*Main!$B$5)+(_xlfn.IFNA(VLOOKUP($A2,'FL Ratio'!$A$3:$B$10,2,FALSE),0)*'FL Characterization'!I$2)</f>
        <v>38.620300198480166</v>
      </c>
      <c r="J2" s="2">
        <f>('[1]Pc, Summer, S3'!J2*Main!$B$5)+(_xlfn.IFNA(VLOOKUP($A2,'FL Ratio'!$A$3:$B$10,2,FALSE),0)*'FL Characterization'!J$2)</f>
        <v>44.016160667546572</v>
      </c>
      <c r="K2" s="2">
        <f>('[1]Pc, Summer, S3'!K2*Main!$B$5)+(_xlfn.IFNA(VLOOKUP($A2,'FL Ratio'!$A$3:$B$10,2,FALSE),0)*'FL Characterization'!K$2)</f>
        <v>45.36869142064463</v>
      </c>
      <c r="L2" s="2">
        <f>('[1]Pc, Summer, S3'!L2*Main!$B$5)+(_xlfn.IFNA(VLOOKUP($A2,'FL Ratio'!$A$3:$B$10,2,FALSE),0)*'FL Characterization'!L$2)</f>
        <v>44.909572366946819</v>
      </c>
      <c r="M2" s="2">
        <f>('[1]Pc, Summer, S3'!M2*Main!$B$5)+(_xlfn.IFNA(VLOOKUP($A2,'FL Ratio'!$A$3:$B$10,2,FALSE),0)*'FL Characterization'!M$2)</f>
        <v>46.179552550440533</v>
      </c>
      <c r="N2" s="2">
        <f>('[1]Pc, Summer, S3'!N2*Main!$B$5)+(_xlfn.IFNA(VLOOKUP($A2,'FL Ratio'!$A$3:$B$10,2,FALSE),0)*'FL Characterization'!N$2)</f>
        <v>46.813038641504107</v>
      </c>
      <c r="O2" s="2">
        <f>('[1]Pc, Summer, S3'!O2*Main!$B$5)+(_xlfn.IFNA(VLOOKUP($A2,'FL Ratio'!$A$3:$B$10,2,FALSE),0)*'FL Characterization'!O$2)</f>
        <v>45.947085127703716</v>
      </c>
      <c r="P2" s="2">
        <f>('[1]Pc, Summer, S3'!P2*Main!$B$5)+(_xlfn.IFNA(VLOOKUP($A2,'FL Ratio'!$A$3:$B$10,2,FALSE),0)*'FL Characterization'!P$2)</f>
        <v>44.151693186253745</v>
      </c>
      <c r="Q2" s="2">
        <f>('[1]Pc, Summer, S3'!Q2*Main!$B$5)+(_xlfn.IFNA(VLOOKUP($A2,'FL Ratio'!$A$3:$B$10,2,FALSE),0)*'FL Characterization'!Q$2)</f>
        <v>42.374663706530882</v>
      </c>
      <c r="R2" s="2">
        <f>('[1]Pc, Summer, S3'!R2*Main!$B$5)+(_xlfn.IFNA(VLOOKUP($A2,'FL Ratio'!$A$3:$B$10,2,FALSE),0)*'FL Characterization'!R$2)</f>
        <v>43.113962712098385</v>
      </c>
      <c r="S2" s="2">
        <f>('[1]Pc, Summer, S3'!S2*Main!$B$5)+(_xlfn.IFNA(VLOOKUP($A2,'FL Ratio'!$A$3:$B$10,2,FALSE),0)*'FL Characterization'!S$2)</f>
        <v>43.539917893732202</v>
      </c>
      <c r="T2" s="2">
        <f>('[1]Pc, Summer, S3'!T2*Main!$B$5)+(_xlfn.IFNA(VLOOKUP($A2,'FL Ratio'!$A$3:$B$10,2,FALSE),0)*'FL Characterization'!T$2)</f>
        <v>43.724728670942426</v>
      </c>
      <c r="U2" s="2">
        <f>('[1]Pc, Summer, S3'!U2*Main!$B$5)+(_xlfn.IFNA(VLOOKUP($A2,'FL Ratio'!$A$3:$B$10,2,FALSE),0)*'FL Characterization'!U$2)</f>
        <v>43.000883393703518</v>
      </c>
      <c r="V2" s="2">
        <f>('[1]Pc, Summer, S3'!V2*Main!$B$5)+(_xlfn.IFNA(VLOOKUP($A2,'FL Ratio'!$A$3:$B$10,2,FALSE),0)*'FL Characterization'!V$2)</f>
        <v>43.130082106107416</v>
      </c>
      <c r="W2" s="2">
        <f>('[1]Pc, Summer, S3'!W2*Main!$B$5)+(_xlfn.IFNA(VLOOKUP($A2,'FL Ratio'!$A$3:$B$10,2,FALSE),0)*'FL Characterization'!W$2)</f>
        <v>44.916442547409694</v>
      </c>
      <c r="X2" s="2">
        <f>('[1]Pc, Summer, S3'!X2*Main!$B$5)+(_xlfn.IFNA(VLOOKUP($A2,'FL Ratio'!$A$3:$B$10,2,FALSE),0)*'FL Characterization'!X$2)</f>
        <v>41.86756101517345</v>
      </c>
      <c r="Y2" s="2">
        <f>('[1]Pc, Summer, S3'!Y2*Main!$B$5)+(_xlfn.IFNA(VLOOKUP($A2,'FL Ratio'!$A$3:$B$10,2,FALSE),0)*'FL Characterization'!Y$2)</f>
        <v>38.379759733236831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36.51594224962799</v>
      </c>
      <c r="C3" s="2">
        <f>('[1]Pc, Summer, S3'!C3*Main!$B$5)+(_xlfn.IFNA(VLOOKUP($A3,'FL Ratio'!$A$3:$B$10,2,FALSE),0)*'FL Characterization'!C$2)</f>
        <v>33.482297247694483</v>
      </c>
      <c r="D3" s="2">
        <f>('[1]Pc, Summer, S3'!D3*Main!$B$5)+(_xlfn.IFNA(VLOOKUP($A3,'FL Ratio'!$A$3:$B$10,2,FALSE),0)*'FL Characterization'!D$2)</f>
        <v>31.734235810449317</v>
      </c>
      <c r="E3" s="2">
        <f>('[1]Pc, Summer, S3'!E3*Main!$B$5)+(_xlfn.IFNA(VLOOKUP($A3,'FL Ratio'!$A$3:$B$10,2,FALSE),0)*'FL Characterization'!E$2)</f>
        <v>30.575404374659421</v>
      </c>
      <c r="F3" s="2">
        <f>('[1]Pc, Summer, S3'!F3*Main!$B$5)+(_xlfn.IFNA(VLOOKUP($A3,'FL Ratio'!$A$3:$B$10,2,FALSE),0)*'FL Characterization'!F$2)</f>
        <v>30.274193337502261</v>
      </c>
      <c r="G3" s="2">
        <f>('[1]Pc, Summer, S3'!G3*Main!$B$5)+(_xlfn.IFNA(VLOOKUP($A3,'FL Ratio'!$A$3:$B$10,2,FALSE),0)*'FL Characterization'!G$2)</f>
        <v>32.155500654434796</v>
      </c>
      <c r="H3" s="2">
        <f>('[1]Pc, Summer, S3'!H3*Main!$B$5)+(_xlfn.IFNA(VLOOKUP($A3,'FL Ratio'!$A$3:$B$10,2,FALSE),0)*'FL Characterization'!H$2)</f>
        <v>40.255057839469984</v>
      </c>
      <c r="I3" s="2">
        <f>('[1]Pc, Summer, S3'!I3*Main!$B$5)+(_xlfn.IFNA(VLOOKUP($A3,'FL Ratio'!$A$3:$B$10,2,FALSE),0)*'FL Characterization'!I$2)</f>
        <v>48.038467646272586</v>
      </c>
      <c r="J3" s="2">
        <f>('[1]Pc, Summer, S3'!J3*Main!$B$5)+(_xlfn.IFNA(VLOOKUP($A3,'FL Ratio'!$A$3:$B$10,2,FALSE),0)*'FL Characterization'!J$2)</f>
        <v>50.096669367293721</v>
      </c>
      <c r="K3" s="2">
        <f>('[1]Pc, Summer, S3'!K3*Main!$B$5)+(_xlfn.IFNA(VLOOKUP($A3,'FL Ratio'!$A$3:$B$10,2,FALSE),0)*'FL Characterization'!K$2)</f>
        <v>49.151838317688998</v>
      </c>
      <c r="L3" s="2">
        <f>('[1]Pc, Summer, S3'!L3*Main!$B$5)+(_xlfn.IFNA(VLOOKUP($A3,'FL Ratio'!$A$3:$B$10,2,FALSE),0)*'FL Characterization'!L$2)</f>
        <v>48.998912629894463</v>
      </c>
      <c r="M3" s="2">
        <f>('[1]Pc, Summer, S3'!M3*Main!$B$5)+(_xlfn.IFNA(VLOOKUP($A3,'FL Ratio'!$A$3:$B$10,2,FALSE),0)*'FL Characterization'!M$2)</f>
        <v>52.246735314669777</v>
      </c>
      <c r="N3" s="2">
        <f>('[1]Pc, Summer, S3'!N3*Main!$B$5)+(_xlfn.IFNA(VLOOKUP($A3,'FL Ratio'!$A$3:$B$10,2,FALSE),0)*'FL Characterization'!N$2)</f>
        <v>52.384506892753464</v>
      </c>
      <c r="O3" s="2">
        <f>('[1]Pc, Summer, S3'!O3*Main!$B$5)+(_xlfn.IFNA(VLOOKUP($A3,'FL Ratio'!$A$3:$B$10,2,FALSE),0)*'FL Characterization'!O$2)</f>
        <v>52.696232483569091</v>
      </c>
      <c r="P3" s="2">
        <f>('[1]Pc, Summer, S3'!P3*Main!$B$5)+(_xlfn.IFNA(VLOOKUP($A3,'FL Ratio'!$A$3:$B$10,2,FALSE),0)*'FL Characterization'!P$2)</f>
        <v>50.131982884466467</v>
      </c>
      <c r="Q3" s="2">
        <f>('[1]Pc, Summer, S3'!Q3*Main!$B$5)+(_xlfn.IFNA(VLOOKUP($A3,'FL Ratio'!$A$3:$B$10,2,FALSE),0)*'FL Characterization'!Q$2)</f>
        <v>47.486858235418303</v>
      </c>
      <c r="R3" s="2">
        <f>('[1]Pc, Summer, S3'!R3*Main!$B$5)+(_xlfn.IFNA(VLOOKUP($A3,'FL Ratio'!$A$3:$B$10,2,FALSE),0)*'FL Characterization'!R$2)</f>
        <v>43.971383289588779</v>
      </c>
      <c r="S3" s="2">
        <f>('[1]Pc, Summer, S3'!S3*Main!$B$5)+(_xlfn.IFNA(VLOOKUP($A3,'FL Ratio'!$A$3:$B$10,2,FALSE),0)*'FL Characterization'!S$2)</f>
        <v>44.38748128804356</v>
      </c>
      <c r="T3" s="2">
        <f>('[1]Pc, Summer, S3'!T3*Main!$B$5)+(_xlfn.IFNA(VLOOKUP($A3,'FL Ratio'!$A$3:$B$10,2,FALSE),0)*'FL Characterization'!T$2)</f>
        <v>44.049778564659967</v>
      </c>
      <c r="U3" s="2">
        <f>('[1]Pc, Summer, S3'!U3*Main!$B$5)+(_xlfn.IFNA(VLOOKUP($A3,'FL Ratio'!$A$3:$B$10,2,FALSE),0)*'FL Characterization'!U$2)</f>
        <v>43.907368212903421</v>
      </c>
      <c r="V3" s="2">
        <f>('[1]Pc, Summer, S3'!V3*Main!$B$5)+(_xlfn.IFNA(VLOOKUP($A3,'FL Ratio'!$A$3:$B$10,2,FALSE),0)*'FL Characterization'!V$2)</f>
        <v>44.08224998036993</v>
      </c>
      <c r="W3" s="2">
        <f>('[1]Pc, Summer, S3'!W3*Main!$B$5)+(_xlfn.IFNA(VLOOKUP($A3,'FL Ratio'!$A$3:$B$10,2,FALSE),0)*'FL Characterization'!W$2)</f>
        <v>43.886648357164688</v>
      </c>
      <c r="X3" s="2">
        <f>('[1]Pc, Summer, S3'!X3*Main!$B$5)+(_xlfn.IFNA(VLOOKUP($A3,'FL Ratio'!$A$3:$B$10,2,FALSE),0)*'FL Characterization'!X$2)</f>
        <v>43.448890050935283</v>
      </c>
      <c r="Y3" s="2">
        <f>('[1]Pc, Summer, S3'!Y3*Main!$B$5)+(_xlfn.IFNA(VLOOKUP($A3,'FL Ratio'!$A$3:$B$10,2,FALSE),0)*'FL Characterization'!Y$2)</f>
        <v>41.043121274903811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48.574004936857456</v>
      </c>
      <c r="C4" s="2">
        <f>('[1]Pc, Summer, S3'!C4*Main!$B$5)+(_xlfn.IFNA(VLOOKUP($A4,'FL Ratio'!$A$3:$B$10,2,FALSE),0)*'FL Characterization'!C$2)</f>
        <v>43.050689810620689</v>
      </c>
      <c r="D4" s="2">
        <f>('[1]Pc, Summer, S3'!D4*Main!$B$5)+(_xlfn.IFNA(VLOOKUP($A4,'FL Ratio'!$A$3:$B$10,2,FALSE),0)*'FL Characterization'!D$2)</f>
        <v>40.610522309701174</v>
      </c>
      <c r="E4" s="2">
        <f>('[1]Pc, Summer, S3'!E4*Main!$B$5)+(_xlfn.IFNA(VLOOKUP($A4,'FL Ratio'!$A$3:$B$10,2,FALSE),0)*'FL Characterization'!E$2)</f>
        <v>39.286594391423144</v>
      </c>
      <c r="F4" s="2">
        <f>('[1]Pc, Summer, S3'!F4*Main!$B$5)+(_xlfn.IFNA(VLOOKUP($A4,'FL Ratio'!$A$3:$B$10,2,FALSE),0)*'FL Characterization'!F$2)</f>
        <v>41.246088462063533</v>
      </c>
      <c r="G4" s="2">
        <f>('[1]Pc, Summer, S3'!G4*Main!$B$5)+(_xlfn.IFNA(VLOOKUP($A4,'FL Ratio'!$A$3:$B$10,2,FALSE),0)*'FL Characterization'!G$2)</f>
        <v>37.686989320067909</v>
      </c>
      <c r="H4" s="2">
        <f>('[1]Pc, Summer, S3'!H4*Main!$B$5)+(_xlfn.IFNA(VLOOKUP($A4,'FL Ratio'!$A$3:$B$10,2,FALSE),0)*'FL Characterization'!H$2)</f>
        <v>44.25803332562198</v>
      </c>
      <c r="I4" s="2">
        <f>('[1]Pc, Summer, S3'!I4*Main!$B$5)+(_xlfn.IFNA(VLOOKUP($A4,'FL Ratio'!$A$3:$B$10,2,FALSE),0)*'FL Characterization'!I$2)</f>
        <v>49.970490697934373</v>
      </c>
      <c r="J4" s="2">
        <f>('[1]Pc, Summer, S3'!J4*Main!$B$5)+(_xlfn.IFNA(VLOOKUP($A4,'FL Ratio'!$A$3:$B$10,2,FALSE),0)*'FL Characterization'!J$2)</f>
        <v>56.234286424125983</v>
      </c>
      <c r="K4" s="2">
        <f>('[1]Pc, Summer, S3'!K4*Main!$B$5)+(_xlfn.IFNA(VLOOKUP($A4,'FL Ratio'!$A$3:$B$10,2,FALSE),0)*'FL Characterization'!K$2)</f>
        <v>60.437612706325275</v>
      </c>
      <c r="L4" s="2">
        <f>('[1]Pc, Summer, S3'!L4*Main!$B$5)+(_xlfn.IFNA(VLOOKUP($A4,'FL Ratio'!$A$3:$B$10,2,FALSE),0)*'FL Characterization'!L$2)</f>
        <v>62.231916393387763</v>
      </c>
      <c r="M4" s="2">
        <f>('[1]Pc, Summer, S3'!M4*Main!$B$5)+(_xlfn.IFNA(VLOOKUP($A4,'FL Ratio'!$A$3:$B$10,2,FALSE),0)*'FL Characterization'!M$2)</f>
        <v>63.260273978744173</v>
      </c>
      <c r="N4" s="2">
        <f>('[1]Pc, Summer, S3'!N4*Main!$B$5)+(_xlfn.IFNA(VLOOKUP($A4,'FL Ratio'!$A$3:$B$10,2,FALSE),0)*'FL Characterization'!N$2)</f>
        <v>64.635611159773589</v>
      </c>
      <c r="O4" s="2">
        <f>('[1]Pc, Summer, S3'!O4*Main!$B$5)+(_xlfn.IFNA(VLOOKUP($A4,'FL Ratio'!$A$3:$B$10,2,FALSE),0)*'FL Characterization'!O$2)</f>
        <v>65.473695506417087</v>
      </c>
      <c r="P4" s="2">
        <f>('[1]Pc, Summer, S3'!P4*Main!$B$5)+(_xlfn.IFNA(VLOOKUP($A4,'FL Ratio'!$A$3:$B$10,2,FALSE),0)*'FL Characterization'!P$2)</f>
        <v>65.74546893621438</v>
      </c>
      <c r="Q4" s="2">
        <f>('[1]Pc, Summer, S3'!Q4*Main!$B$5)+(_xlfn.IFNA(VLOOKUP($A4,'FL Ratio'!$A$3:$B$10,2,FALSE),0)*'FL Characterization'!Q$2)</f>
        <v>63.282277177683333</v>
      </c>
      <c r="R4" s="2">
        <f>('[1]Pc, Summer, S3'!R4*Main!$B$5)+(_xlfn.IFNA(VLOOKUP($A4,'FL Ratio'!$A$3:$B$10,2,FALSE),0)*'FL Characterization'!R$2)</f>
        <v>62.999548248396138</v>
      </c>
      <c r="S4" s="2">
        <f>('[1]Pc, Summer, S3'!S4*Main!$B$5)+(_xlfn.IFNA(VLOOKUP($A4,'FL Ratio'!$A$3:$B$10,2,FALSE),0)*'FL Characterization'!S$2)</f>
        <v>60.975106815364406</v>
      </c>
      <c r="T4" s="2">
        <f>('[1]Pc, Summer, S3'!T4*Main!$B$5)+(_xlfn.IFNA(VLOOKUP($A4,'FL Ratio'!$A$3:$B$10,2,FALSE),0)*'FL Characterization'!T$2)</f>
        <v>60.953928058113277</v>
      </c>
      <c r="U4" s="2">
        <f>('[1]Pc, Summer, S3'!U4*Main!$B$5)+(_xlfn.IFNA(VLOOKUP($A4,'FL Ratio'!$A$3:$B$10,2,FALSE),0)*'FL Characterization'!U$2)</f>
        <v>61.308720213227168</v>
      </c>
      <c r="V4" s="2">
        <f>('[1]Pc, Summer, S3'!V4*Main!$B$5)+(_xlfn.IFNA(VLOOKUP($A4,'FL Ratio'!$A$3:$B$10,2,FALSE),0)*'FL Characterization'!V$2)</f>
        <v>60.982403718735355</v>
      </c>
      <c r="W4" s="2">
        <f>('[1]Pc, Summer, S3'!W4*Main!$B$5)+(_xlfn.IFNA(VLOOKUP($A4,'FL Ratio'!$A$3:$B$10,2,FALSE),0)*'FL Characterization'!W$2)</f>
        <v>62.954542776227044</v>
      </c>
      <c r="X4" s="2">
        <f>('[1]Pc, Summer, S3'!X4*Main!$B$5)+(_xlfn.IFNA(VLOOKUP($A4,'FL Ratio'!$A$3:$B$10,2,FALSE),0)*'FL Characterization'!X$2)</f>
        <v>62.64289805495784</v>
      </c>
      <c r="Y4" s="2">
        <f>('[1]Pc, Summer, S3'!Y4*Main!$B$5)+(_xlfn.IFNA(VLOOKUP($A4,'FL Ratio'!$A$3:$B$10,2,FALSE),0)*'FL Characterization'!Y$2)</f>
        <v>56.436390871911861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34.139579738543986</v>
      </c>
      <c r="C2" s="2">
        <f>('[1]Pc, Summer, S3'!C2*Main!$B$5)+(_xlfn.IFNA(VLOOKUP($A2,'FL Ratio'!$A$3:$B$10,2,FALSE),0)*'FL Characterization'!C$2)</f>
        <v>31.01733596344668</v>
      </c>
      <c r="D2" s="2">
        <f>('[1]Pc, Summer, S3'!D2*Main!$B$5)+(_xlfn.IFNA(VLOOKUP($A2,'FL Ratio'!$A$3:$B$10,2,FALSE),0)*'FL Characterization'!D$2)</f>
        <v>30.475543718094617</v>
      </c>
      <c r="E2" s="2">
        <f>('[1]Pc, Summer, S3'!E2*Main!$B$5)+(_xlfn.IFNA(VLOOKUP($A2,'FL Ratio'!$A$3:$B$10,2,FALSE),0)*'FL Characterization'!E$2)</f>
        <v>30.397691989754907</v>
      </c>
      <c r="F2" s="2">
        <f>('[1]Pc, Summer, S3'!F2*Main!$B$5)+(_xlfn.IFNA(VLOOKUP($A2,'FL Ratio'!$A$3:$B$10,2,FALSE),0)*'FL Characterization'!F$2)</f>
        <v>30.400088547146417</v>
      </c>
      <c r="G2" s="2">
        <f>('[1]Pc, Summer, S3'!G2*Main!$B$5)+(_xlfn.IFNA(VLOOKUP($A2,'FL Ratio'!$A$3:$B$10,2,FALSE),0)*'FL Characterization'!G$2)</f>
        <v>30.131239046748821</v>
      </c>
      <c r="H2" s="2">
        <f>('[1]Pc, Summer, S3'!H2*Main!$B$5)+(_xlfn.IFNA(VLOOKUP($A2,'FL Ratio'!$A$3:$B$10,2,FALSE),0)*'FL Characterization'!H$2)</f>
        <v>32.529362272581245</v>
      </c>
      <c r="I2" s="2">
        <f>('[1]Pc, Summer, S3'!I2*Main!$B$5)+(_xlfn.IFNA(VLOOKUP($A2,'FL Ratio'!$A$3:$B$10,2,FALSE),0)*'FL Characterization'!I$2)</f>
        <v>38.620300198480166</v>
      </c>
      <c r="J2" s="2">
        <f>('[1]Pc, Summer, S3'!J2*Main!$B$5)+(_xlfn.IFNA(VLOOKUP($A2,'FL Ratio'!$A$3:$B$10,2,FALSE),0)*'FL Characterization'!J$2)</f>
        <v>44.016160667546572</v>
      </c>
      <c r="K2" s="2">
        <f>('[1]Pc, Summer, S3'!K2*Main!$B$5)+(_xlfn.IFNA(VLOOKUP($A2,'FL Ratio'!$A$3:$B$10,2,FALSE),0)*'FL Characterization'!K$2)</f>
        <v>45.36869142064463</v>
      </c>
      <c r="L2" s="2">
        <f>('[1]Pc, Summer, S3'!L2*Main!$B$5)+(_xlfn.IFNA(VLOOKUP($A2,'FL Ratio'!$A$3:$B$10,2,FALSE),0)*'FL Characterization'!L$2)</f>
        <v>44.909572366946819</v>
      </c>
      <c r="M2" s="2">
        <f>('[1]Pc, Summer, S3'!M2*Main!$B$5)+(_xlfn.IFNA(VLOOKUP($A2,'FL Ratio'!$A$3:$B$10,2,FALSE),0)*'FL Characterization'!M$2)</f>
        <v>46.179552550440533</v>
      </c>
      <c r="N2" s="2">
        <f>('[1]Pc, Summer, S3'!N2*Main!$B$5)+(_xlfn.IFNA(VLOOKUP($A2,'FL Ratio'!$A$3:$B$10,2,FALSE),0)*'FL Characterization'!N$2)</f>
        <v>46.813038641504107</v>
      </c>
      <c r="O2" s="2">
        <f>('[1]Pc, Summer, S3'!O2*Main!$B$5)+(_xlfn.IFNA(VLOOKUP($A2,'FL Ratio'!$A$3:$B$10,2,FALSE),0)*'FL Characterization'!O$2)</f>
        <v>45.947085127703716</v>
      </c>
      <c r="P2" s="2">
        <f>('[1]Pc, Summer, S3'!P2*Main!$B$5)+(_xlfn.IFNA(VLOOKUP($A2,'FL Ratio'!$A$3:$B$10,2,FALSE),0)*'FL Characterization'!P$2)</f>
        <v>44.151693186253745</v>
      </c>
      <c r="Q2" s="2">
        <f>('[1]Pc, Summer, S3'!Q2*Main!$B$5)+(_xlfn.IFNA(VLOOKUP($A2,'FL Ratio'!$A$3:$B$10,2,FALSE),0)*'FL Characterization'!Q$2)</f>
        <v>42.374663706530882</v>
      </c>
      <c r="R2" s="2">
        <f>('[1]Pc, Summer, S3'!R2*Main!$B$5)+(_xlfn.IFNA(VLOOKUP($A2,'FL Ratio'!$A$3:$B$10,2,FALSE),0)*'FL Characterization'!R$2)</f>
        <v>43.113962712098385</v>
      </c>
      <c r="S2" s="2">
        <f>('[1]Pc, Summer, S3'!S2*Main!$B$5)+(_xlfn.IFNA(VLOOKUP($A2,'FL Ratio'!$A$3:$B$10,2,FALSE),0)*'FL Characterization'!S$2)</f>
        <v>43.539917893732202</v>
      </c>
      <c r="T2" s="2">
        <f>('[1]Pc, Summer, S3'!T2*Main!$B$5)+(_xlfn.IFNA(VLOOKUP($A2,'FL Ratio'!$A$3:$B$10,2,FALSE),0)*'FL Characterization'!T$2)</f>
        <v>43.724728670942426</v>
      </c>
      <c r="U2" s="2">
        <f>('[1]Pc, Summer, S3'!U2*Main!$B$5)+(_xlfn.IFNA(VLOOKUP($A2,'FL Ratio'!$A$3:$B$10,2,FALSE),0)*'FL Characterization'!U$2)</f>
        <v>43.000883393703518</v>
      </c>
      <c r="V2" s="2">
        <f>('[1]Pc, Summer, S3'!V2*Main!$B$5)+(_xlfn.IFNA(VLOOKUP($A2,'FL Ratio'!$A$3:$B$10,2,FALSE),0)*'FL Characterization'!V$2)</f>
        <v>43.130082106107416</v>
      </c>
      <c r="W2" s="2">
        <f>('[1]Pc, Summer, S3'!W2*Main!$B$5)+(_xlfn.IFNA(VLOOKUP($A2,'FL Ratio'!$A$3:$B$10,2,FALSE),0)*'FL Characterization'!W$2)</f>
        <v>44.916442547409694</v>
      </c>
      <c r="X2" s="2">
        <f>('[1]Pc, Summer, S3'!X2*Main!$B$5)+(_xlfn.IFNA(VLOOKUP($A2,'FL Ratio'!$A$3:$B$10,2,FALSE),0)*'FL Characterization'!X$2)</f>
        <v>41.86756101517345</v>
      </c>
      <c r="Y2" s="2">
        <f>('[1]Pc, Summer, S3'!Y2*Main!$B$5)+(_xlfn.IFNA(VLOOKUP($A2,'FL Ratio'!$A$3:$B$10,2,FALSE),0)*'FL Characterization'!Y$2)</f>
        <v>38.379759733236831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36.51594224962799</v>
      </c>
      <c r="C3" s="2">
        <f>('[1]Pc, Summer, S3'!C3*Main!$B$5)+(_xlfn.IFNA(VLOOKUP($A3,'FL Ratio'!$A$3:$B$10,2,FALSE),0)*'FL Characterization'!C$2)</f>
        <v>33.482297247694483</v>
      </c>
      <c r="D3" s="2">
        <f>('[1]Pc, Summer, S3'!D3*Main!$B$5)+(_xlfn.IFNA(VLOOKUP($A3,'FL Ratio'!$A$3:$B$10,2,FALSE),0)*'FL Characterization'!D$2)</f>
        <v>31.734235810449317</v>
      </c>
      <c r="E3" s="2">
        <f>('[1]Pc, Summer, S3'!E3*Main!$B$5)+(_xlfn.IFNA(VLOOKUP($A3,'FL Ratio'!$A$3:$B$10,2,FALSE),0)*'FL Characterization'!E$2)</f>
        <v>30.575404374659421</v>
      </c>
      <c r="F3" s="2">
        <f>('[1]Pc, Summer, S3'!F3*Main!$B$5)+(_xlfn.IFNA(VLOOKUP($A3,'FL Ratio'!$A$3:$B$10,2,FALSE),0)*'FL Characterization'!F$2)</f>
        <v>30.274193337502261</v>
      </c>
      <c r="G3" s="2">
        <f>('[1]Pc, Summer, S3'!G3*Main!$B$5)+(_xlfn.IFNA(VLOOKUP($A3,'FL Ratio'!$A$3:$B$10,2,FALSE),0)*'FL Characterization'!G$2)</f>
        <v>32.155500654434796</v>
      </c>
      <c r="H3" s="2">
        <f>('[1]Pc, Summer, S3'!H3*Main!$B$5)+(_xlfn.IFNA(VLOOKUP($A3,'FL Ratio'!$A$3:$B$10,2,FALSE),0)*'FL Characterization'!H$2)</f>
        <v>40.255057839469984</v>
      </c>
      <c r="I3" s="2">
        <f>('[1]Pc, Summer, S3'!I3*Main!$B$5)+(_xlfn.IFNA(VLOOKUP($A3,'FL Ratio'!$A$3:$B$10,2,FALSE),0)*'FL Characterization'!I$2)</f>
        <v>48.038467646272586</v>
      </c>
      <c r="J3" s="2">
        <f>('[1]Pc, Summer, S3'!J3*Main!$B$5)+(_xlfn.IFNA(VLOOKUP($A3,'FL Ratio'!$A$3:$B$10,2,FALSE),0)*'FL Characterization'!J$2)</f>
        <v>50.096669367293721</v>
      </c>
      <c r="K3" s="2">
        <f>('[1]Pc, Summer, S3'!K3*Main!$B$5)+(_xlfn.IFNA(VLOOKUP($A3,'FL Ratio'!$A$3:$B$10,2,FALSE),0)*'FL Characterization'!K$2)</f>
        <v>49.151838317688998</v>
      </c>
      <c r="L3" s="2">
        <f>('[1]Pc, Summer, S3'!L3*Main!$B$5)+(_xlfn.IFNA(VLOOKUP($A3,'FL Ratio'!$A$3:$B$10,2,FALSE),0)*'FL Characterization'!L$2)</f>
        <v>48.998912629894463</v>
      </c>
      <c r="M3" s="2">
        <f>('[1]Pc, Summer, S3'!M3*Main!$B$5)+(_xlfn.IFNA(VLOOKUP($A3,'FL Ratio'!$A$3:$B$10,2,FALSE),0)*'FL Characterization'!M$2)</f>
        <v>52.246735314669777</v>
      </c>
      <c r="N3" s="2">
        <f>('[1]Pc, Summer, S3'!N3*Main!$B$5)+(_xlfn.IFNA(VLOOKUP($A3,'FL Ratio'!$A$3:$B$10,2,FALSE),0)*'FL Characterization'!N$2)</f>
        <v>52.384506892753464</v>
      </c>
      <c r="O3" s="2">
        <f>('[1]Pc, Summer, S3'!O3*Main!$B$5)+(_xlfn.IFNA(VLOOKUP($A3,'FL Ratio'!$A$3:$B$10,2,FALSE),0)*'FL Characterization'!O$2)</f>
        <v>52.696232483569091</v>
      </c>
      <c r="P3" s="2">
        <f>('[1]Pc, Summer, S3'!P3*Main!$B$5)+(_xlfn.IFNA(VLOOKUP($A3,'FL Ratio'!$A$3:$B$10,2,FALSE),0)*'FL Characterization'!P$2)</f>
        <v>50.131982884466467</v>
      </c>
      <c r="Q3" s="2">
        <f>('[1]Pc, Summer, S3'!Q3*Main!$B$5)+(_xlfn.IFNA(VLOOKUP($A3,'FL Ratio'!$A$3:$B$10,2,FALSE),0)*'FL Characterization'!Q$2)</f>
        <v>47.486858235418303</v>
      </c>
      <c r="R3" s="2">
        <f>('[1]Pc, Summer, S3'!R3*Main!$B$5)+(_xlfn.IFNA(VLOOKUP($A3,'FL Ratio'!$A$3:$B$10,2,FALSE),0)*'FL Characterization'!R$2)</f>
        <v>43.971383289588779</v>
      </c>
      <c r="S3" s="2">
        <f>('[1]Pc, Summer, S3'!S3*Main!$B$5)+(_xlfn.IFNA(VLOOKUP($A3,'FL Ratio'!$A$3:$B$10,2,FALSE),0)*'FL Characterization'!S$2)</f>
        <v>44.38748128804356</v>
      </c>
      <c r="T3" s="2">
        <f>('[1]Pc, Summer, S3'!T3*Main!$B$5)+(_xlfn.IFNA(VLOOKUP($A3,'FL Ratio'!$A$3:$B$10,2,FALSE),0)*'FL Characterization'!T$2)</f>
        <v>44.049778564659967</v>
      </c>
      <c r="U3" s="2">
        <f>('[1]Pc, Summer, S3'!U3*Main!$B$5)+(_xlfn.IFNA(VLOOKUP($A3,'FL Ratio'!$A$3:$B$10,2,FALSE),0)*'FL Characterization'!U$2)</f>
        <v>43.907368212903421</v>
      </c>
      <c r="V3" s="2">
        <f>('[1]Pc, Summer, S3'!V3*Main!$B$5)+(_xlfn.IFNA(VLOOKUP($A3,'FL Ratio'!$A$3:$B$10,2,FALSE),0)*'FL Characterization'!V$2)</f>
        <v>44.08224998036993</v>
      </c>
      <c r="W3" s="2">
        <f>('[1]Pc, Summer, S3'!W3*Main!$B$5)+(_xlfn.IFNA(VLOOKUP($A3,'FL Ratio'!$A$3:$B$10,2,FALSE),0)*'FL Characterization'!W$2)</f>
        <v>43.886648357164688</v>
      </c>
      <c r="X3" s="2">
        <f>('[1]Pc, Summer, S3'!X3*Main!$B$5)+(_xlfn.IFNA(VLOOKUP($A3,'FL Ratio'!$A$3:$B$10,2,FALSE),0)*'FL Characterization'!X$2)</f>
        <v>43.448890050935283</v>
      </c>
      <c r="Y3" s="2">
        <f>('[1]Pc, Summer, S3'!Y3*Main!$B$5)+(_xlfn.IFNA(VLOOKUP($A3,'FL Ratio'!$A$3:$B$10,2,FALSE),0)*'FL Characterization'!Y$2)</f>
        <v>41.043121274903811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48.574004936857456</v>
      </c>
      <c r="C4" s="2">
        <f>('[1]Pc, Summer, S3'!C4*Main!$B$5)+(_xlfn.IFNA(VLOOKUP($A4,'FL Ratio'!$A$3:$B$10,2,FALSE),0)*'FL Characterization'!C$2)</f>
        <v>43.050689810620689</v>
      </c>
      <c r="D4" s="2">
        <f>('[1]Pc, Summer, S3'!D4*Main!$B$5)+(_xlfn.IFNA(VLOOKUP($A4,'FL Ratio'!$A$3:$B$10,2,FALSE),0)*'FL Characterization'!D$2)</f>
        <v>40.610522309701174</v>
      </c>
      <c r="E4" s="2">
        <f>('[1]Pc, Summer, S3'!E4*Main!$B$5)+(_xlfn.IFNA(VLOOKUP($A4,'FL Ratio'!$A$3:$B$10,2,FALSE),0)*'FL Characterization'!E$2)</f>
        <v>39.286594391423144</v>
      </c>
      <c r="F4" s="2">
        <f>('[1]Pc, Summer, S3'!F4*Main!$B$5)+(_xlfn.IFNA(VLOOKUP($A4,'FL Ratio'!$A$3:$B$10,2,FALSE),0)*'FL Characterization'!F$2)</f>
        <v>41.246088462063533</v>
      </c>
      <c r="G4" s="2">
        <f>('[1]Pc, Summer, S3'!G4*Main!$B$5)+(_xlfn.IFNA(VLOOKUP($A4,'FL Ratio'!$A$3:$B$10,2,FALSE),0)*'FL Characterization'!G$2)</f>
        <v>37.686989320067909</v>
      </c>
      <c r="H4" s="2">
        <f>('[1]Pc, Summer, S3'!H4*Main!$B$5)+(_xlfn.IFNA(VLOOKUP($A4,'FL Ratio'!$A$3:$B$10,2,FALSE),0)*'FL Characterization'!H$2)</f>
        <v>44.25803332562198</v>
      </c>
      <c r="I4" s="2">
        <f>('[1]Pc, Summer, S3'!I4*Main!$B$5)+(_xlfn.IFNA(VLOOKUP($A4,'FL Ratio'!$A$3:$B$10,2,FALSE),0)*'FL Characterization'!I$2)</f>
        <v>49.970490697934373</v>
      </c>
      <c r="J4" s="2">
        <f>('[1]Pc, Summer, S3'!J4*Main!$B$5)+(_xlfn.IFNA(VLOOKUP($A4,'FL Ratio'!$A$3:$B$10,2,FALSE),0)*'FL Characterization'!J$2)</f>
        <v>56.234286424125983</v>
      </c>
      <c r="K4" s="2">
        <f>('[1]Pc, Summer, S3'!K4*Main!$B$5)+(_xlfn.IFNA(VLOOKUP($A4,'FL Ratio'!$A$3:$B$10,2,FALSE),0)*'FL Characterization'!K$2)</f>
        <v>60.437612706325275</v>
      </c>
      <c r="L4" s="2">
        <f>('[1]Pc, Summer, S3'!L4*Main!$B$5)+(_xlfn.IFNA(VLOOKUP($A4,'FL Ratio'!$A$3:$B$10,2,FALSE),0)*'FL Characterization'!L$2)</f>
        <v>62.231916393387763</v>
      </c>
      <c r="M4" s="2">
        <f>('[1]Pc, Summer, S3'!M4*Main!$B$5)+(_xlfn.IFNA(VLOOKUP($A4,'FL Ratio'!$A$3:$B$10,2,FALSE),0)*'FL Characterization'!M$2)</f>
        <v>63.260273978744173</v>
      </c>
      <c r="N4" s="2">
        <f>('[1]Pc, Summer, S3'!N4*Main!$B$5)+(_xlfn.IFNA(VLOOKUP($A4,'FL Ratio'!$A$3:$B$10,2,FALSE),0)*'FL Characterization'!N$2)</f>
        <v>64.635611159773589</v>
      </c>
      <c r="O4" s="2">
        <f>('[1]Pc, Summer, S3'!O4*Main!$B$5)+(_xlfn.IFNA(VLOOKUP($A4,'FL Ratio'!$A$3:$B$10,2,FALSE),0)*'FL Characterization'!O$2)</f>
        <v>65.473695506417087</v>
      </c>
      <c r="P4" s="2">
        <f>('[1]Pc, Summer, S3'!P4*Main!$B$5)+(_xlfn.IFNA(VLOOKUP($A4,'FL Ratio'!$A$3:$B$10,2,FALSE),0)*'FL Characterization'!P$2)</f>
        <v>65.74546893621438</v>
      </c>
      <c r="Q4" s="2">
        <f>('[1]Pc, Summer, S3'!Q4*Main!$B$5)+(_xlfn.IFNA(VLOOKUP($A4,'FL Ratio'!$A$3:$B$10,2,FALSE),0)*'FL Characterization'!Q$2)</f>
        <v>63.282277177683333</v>
      </c>
      <c r="R4" s="2">
        <f>('[1]Pc, Summer, S3'!R4*Main!$B$5)+(_xlfn.IFNA(VLOOKUP($A4,'FL Ratio'!$A$3:$B$10,2,FALSE),0)*'FL Characterization'!R$2)</f>
        <v>62.999548248396138</v>
      </c>
      <c r="S4" s="2">
        <f>('[1]Pc, Summer, S3'!S4*Main!$B$5)+(_xlfn.IFNA(VLOOKUP($A4,'FL Ratio'!$A$3:$B$10,2,FALSE),0)*'FL Characterization'!S$2)</f>
        <v>60.975106815364406</v>
      </c>
      <c r="T4" s="2">
        <f>('[1]Pc, Summer, S3'!T4*Main!$B$5)+(_xlfn.IFNA(VLOOKUP($A4,'FL Ratio'!$A$3:$B$10,2,FALSE),0)*'FL Characterization'!T$2)</f>
        <v>60.953928058113277</v>
      </c>
      <c r="U4" s="2">
        <f>('[1]Pc, Summer, S3'!U4*Main!$B$5)+(_xlfn.IFNA(VLOOKUP($A4,'FL Ratio'!$A$3:$B$10,2,FALSE),0)*'FL Characterization'!U$2)</f>
        <v>61.308720213227168</v>
      </c>
      <c r="V4" s="2">
        <f>('[1]Pc, Summer, S3'!V4*Main!$B$5)+(_xlfn.IFNA(VLOOKUP($A4,'FL Ratio'!$A$3:$B$10,2,FALSE),0)*'FL Characterization'!V$2)</f>
        <v>60.982403718735355</v>
      </c>
      <c r="W4" s="2">
        <f>('[1]Pc, Summer, S3'!W4*Main!$B$5)+(_xlfn.IFNA(VLOOKUP($A4,'FL Ratio'!$A$3:$B$10,2,FALSE),0)*'FL Characterization'!W$2)</f>
        <v>62.954542776227044</v>
      </c>
      <c r="X4" s="2">
        <f>('[1]Pc, Summer, S3'!X4*Main!$B$5)+(_xlfn.IFNA(VLOOKUP($A4,'FL Ratio'!$A$3:$B$10,2,FALSE),0)*'FL Characterization'!X$2)</f>
        <v>62.64289805495784</v>
      </c>
      <c r="Y4" s="2">
        <f>('[1]Pc, Summer, S3'!Y4*Main!$B$5)+(_xlfn.IFNA(VLOOKUP($A4,'FL Ratio'!$A$3:$B$10,2,FALSE),0)*'FL Characterization'!Y$2)</f>
        <v>56.436390871911861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-11.104090862791466</v>
      </c>
      <c r="C2" s="2">
        <f>('[1]Qc, Summer, S1'!C2*Main!$B$5)</f>
        <v>-14.436681597041442</v>
      </c>
      <c r="D2" s="2">
        <f>('[1]Qc, Summer, S1'!D2*Main!$B$5)</f>
        <v>-15.912009187538995</v>
      </c>
      <c r="E2" s="2">
        <f>('[1]Qc, Summer, S1'!E2*Main!$B$5)</f>
        <v>-14.520542024708174</v>
      </c>
      <c r="F2" s="2">
        <f>('[1]Qc, Summer, S1'!F2*Main!$B$5)</f>
        <v>-15.564067447357738</v>
      </c>
      <c r="G2" s="2">
        <f>('[1]Qc, Summer, S1'!G2*Main!$B$5)</f>
        <v>-15.922802259015002</v>
      </c>
      <c r="H2" s="2">
        <f>('[1]Qc, Summer, S1'!H2*Main!$B$5)</f>
        <v>-13.800138030345215</v>
      </c>
      <c r="I2" s="2">
        <f>('[1]Qc, Summer, S1'!I2*Main!$B$5)</f>
        <v>-2.1469914331635187</v>
      </c>
      <c r="J2" s="2">
        <f>('[1]Qc, Summer, S1'!J2*Main!$B$5)</f>
        <v>6.891684516907949</v>
      </c>
      <c r="K2" s="2">
        <f>('[1]Qc, Summer, S1'!K2*Main!$B$5)</f>
        <v>10.032953070721822</v>
      </c>
      <c r="L2" s="2">
        <f>('[1]Qc, Summer, S1'!L2*Main!$B$5)</f>
        <v>7.8867980813599621</v>
      </c>
      <c r="M2" s="2">
        <f>('[1]Qc, Summer, S1'!M2*Main!$B$5)</f>
        <v>10.505431590938427</v>
      </c>
      <c r="N2" s="2">
        <f>('[1]Qc, Summer, S1'!N2*Main!$B$5)</f>
        <v>9.3227287886142864</v>
      </c>
      <c r="O2" s="2">
        <f>('[1]Qc, Summer, S1'!O2*Main!$B$5)</f>
        <v>9.6034248302378646</v>
      </c>
      <c r="P2" s="2">
        <f>('[1]Qc, Summer, S1'!P2*Main!$B$5)</f>
        <v>4.9550147775142728</v>
      </c>
      <c r="Q2" s="2">
        <f>('[1]Qc, Summer, S1'!Q2*Main!$B$5)</f>
        <v>1.252687716332366</v>
      </c>
      <c r="R2" s="2">
        <f>('[1]Qc, Summer, S1'!R2*Main!$B$5)</f>
        <v>2.786731022344318</v>
      </c>
      <c r="S2" s="2">
        <f>('[1]Qc, Summer, S1'!S2*Main!$B$5)</f>
        <v>3.3849146789671871</v>
      </c>
      <c r="T2" s="2">
        <f>('[1]Qc, Summer, S1'!T2*Main!$B$5)</f>
        <v>2.0392836202032054</v>
      </c>
      <c r="U2" s="2">
        <f>('[1]Qc, Summer, S1'!U2*Main!$B$5)</f>
        <v>-0.38042115531993126</v>
      </c>
      <c r="V2" s="2">
        <f>('[1]Qc, Summer, S1'!V2*Main!$B$5)</f>
        <v>-1.4851030819000077</v>
      </c>
      <c r="W2" s="2">
        <f>('[1]Qc, Summer, S1'!W2*Main!$B$5)</f>
        <v>-1.0332246908930025</v>
      </c>
      <c r="X2" s="2">
        <f>('[1]Qc, Summer, S1'!X2*Main!$B$5)</f>
        <v>-4.9550797014333217</v>
      </c>
      <c r="Y2" s="2">
        <f>('[1]Qc, Summer, S1'!Y2*Main!$B$5)</f>
        <v>-6.7071038227372641</v>
      </c>
    </row>
    <row r="3" spans="1:25" x14ac:dyDescent="0.3">
      <c r="A3">
        <v>2</v>
      </c>
      <c r="B3" s="2">
        <f>('[1]Qc, Summer, S1'!B3*Main!$B$5)</f>
        <v>-14.05314686179754</v>
      </c>
      <c r="C3" s="2">
        <f>('[1]Qc, Summer, S1'!C3*Main!$B$5)</f>
        <v>-14.05314686179754</v>
      </c>
      <c r="D3" s="2">
        <f>('[1]Qc, Summer, S1'!D3*Main!$B$5)</f>
        <v>-16.31487474865752</v>
      </c>
      <c r="E3" s="2">
        <f>('[1]Qc, Summer, S1'!E3*Main!$B$5)</f>
        <v>-18.576602635517503</v>
      </c>
      <c r="F3" s="2">
        <f>('[1]Qc, Summer, S1'!F3*Main!$B$5)</f>
        <v>-18.576602635517503</v>
      </c>
      <c r="G3" s="2">
        <f>('[1]Qc, Summer, S1'!G3*Main!$B$5)</f>
        <v>-18.576602635517503</v>
      </c>
      <c r="H3" s="2">
        <f>('[1]Qc, Summer, S1'!H3*Main!$B$5)</f>
        <v>-7.4071515208229846</v>
      </c>
      <c r="I3" s="2">
        <f>('[1]Qc, Summer, S1'!I3*Main!$B$5)</f>
        <v>1.5353725166622589</v>
      </c>
      <c r="J3" s="2">
        <f>('[1]Qc, Summer, S1'!J3*Main!$B$5)</f>
        <v>4.875776195170249</v>
      </c>
      <c r="K3" s="2">
        <f>('[1]Qc, Summer, S1'!K3*Main!$B$5)</f>
        <v>4.875776195170249</v>
      </c>
      <c r="L3" s="2">
        <f>('[1]Qc, Summer, S1'!L3*Main!$B$5)</f>
        <v>4.4582187301380767</v>
      </c>
      <c r="M3" s="2">
        <f>('[1]Qc, Summer, S1'!M3*Main!$B$5)</f>
        <v>6.2675920549218942</v>
      </c>
      <c r="N3" s="2">
        <f>('[1]Qc, Summer, S1'!N3*Main!$B$5)</f>
        <v>8.4945228447378867</v>
      </c>
      <c r="O3" s="2">
        <f>('[1]Qc, Summer, S1'!O3*Main!$B$5)</f>
        <v>8.7555009550182668</v>
      </c>
      <c r="P3" s="2">
        <f>('[1]Qc, Summer, S1'!P3*Main!$B$5)</f>
        <v>4.9105695404243397</v>
      </c>
      <c r="Q3" s="2">
        <f>('[1]Qc, Summer, S1'!Q3*Main!$B$5)</f>
        <v>3.8318937291847401</v>
      </c>
      <c r="R3" s="2">
        <f>('[1]Qc, Summer, S1'!R3*Main!$B$5)</f>
        <v>-0.62196788963042582</v>
      </c>
      <c r="S3" s="2">
        <f>('[1]Qc, Summer, S1'!S3*Main!$B$5)</f>
        <v>-0.62196788963042582</v>
      </c>
      <c r="T3" s="2">
        <f>('[1]Qc, Summer, S1'!T3*Main!$B$5)</f>
        <v>-0.62196788963042582</v>
      </c>
      <c r="U3" s="2">
        <f>('[1]Qc, Summer, S1'!U3*Main!$B$5)</f>
        <v>-0.62196788963042582</v>
      </c>
      <c r="V3" s="2">
        <f>('[1]Qc, Summer, S1'!V3*Main!$B$5)</f>
        <v>-3.9623753003367232</v>
      </c>
      <c r="W3" s="2">
        <f>('[1]Qc, Summer, S1'!W3*Main!$B$5)</f>
        <v>-5.0758444372388221</v>
      </c>
      <c r="X3" s="2">
        <f>('[1]Qc, Summer, S1'!X3*Main!$B$5)</f>
        <v>-14.192320242813905</v>
      </c>
      <c r="Y3" s="2">
        <f>('[1]Qc, Summer, S1'!Y3*Main!$B$5)</f>
        <v>-14.192320242813905</v>
      </c>
    </row>
    <row r="4" spans="1:25" x14ac:dyDescent="0.3">
      <c r="A4">
        <v>3</v>
      </c>
      <c r="B4" s="2">
        <f>('[1]Qc, Summer, S1'!B4*Main!$B$5)</f>
        <v>11.344069961777755</v>
      </c>
      <c r="C4" s="2">
        <f>('[1]Qc, Summer, S1'!C4*Main!$B$5)</f>
        <v>8.6917558073069685</v>
      </c>
      <c r="D4" s="2">
        <f>('[1]Qc, Summer, S1'!D4*Main!$B$5)</f>
        <v>8.2367405501234465</v>
      </c>
      <c r="E4" s="2">
        <f>('[1]Qc, Summer, S1'!E4*Main!$B$5)</f>
        <v>7.1937543499720249</v>
      </c>
      <c r="F4" s="2">
        <f>('[1]Qc, Summer, S1'!F4*Main!$B$5)</f>
        <v>8.2814350127041987</v>
      </c>
      <c r="G4" s="2">
        <f>('[1]Qc, Summer, S1'!G4*Main!$B$5)</f>
        <v>3.8435423446333337</v>
      </c>
      <c r="H4" s="2">
        <f>('[1]Qc, Summer, S1'!H4*Main!$B$5)</f>
        <v>6.7060837555290789</v>
      </c>
      <c r="I4" s="2">
        <f>('[1]Qc, Summer, S1'!I4*Main!$B$5)</f>
        <v>12.886532276093767</v>
      </c>
      <c r="J4" s="2">
        <f>('[1]Qc, Summer, S1'!J4*Main!$B$5)</f>
        <v>18.745970631637274</v>
      </c>
      <c r="K4" s="2">
        <f>('[1]Qc, Summer, S1'!K4*Main!$B$5)</f>
        <v>22.275427028057162</v>
      </c>
      <c r="L4" s="2">
        <f>('[1]Qc, Summer, S1'!L4*Main!$B$5)</f>
        <v>24.317909688815011</v>
      </c>
      <c r="M4" s="2">
        <f>('[1]Qc, Summer, S1'!M4*Main!$B$5)</f>
        <v>25.205729788356074</v>
      </c>
      <c r="N4" s="2">
        <f>('[1]Qc, Summer, S1'!N4*Main!$B$5)</f>
        <v>26.338726731256795</v>
      </c>
      <c r="O4" s="2">
        <f>('[1]Qc, Summer, S1'!O4*Main!$B$5)</f>
        <v>26.538003765025003</v>
      </c>
      <c r="P4" s="2">
        <f>('[1]Qc, Summer, S1'!P4*Main!$B$5)</f>
        <v>26.349637550559397</v>
      </c>
      <c r="Q4" s="2">
        <f>('[1]Qc, Summer, S1'!Q4*Main!$B$5)</f>
        <v>25.47249582637674</v>
      </c>
      <c r="R4" s="2">
        <f>('[1]Qc, Summer, S1'!R4*Main!$B$5)</f>
        <v>24.241143398483647</v>
      </c>
      <c r="S4" s="2">
        <f>('[1]Qc, Summer, S1'!S4*Main!$B$5)</f>
        <v>21.511285281755356</v>
      </c>
      <c r="T4" s="2">
        <f>('[1]Qc, Summer, S1'!T4*Main!$B$5)</f>
        <v>21.411762764469298</v>
      </c>
      <c r="U4" s="2">
        <f>('[1]Qc, Summer, S1'!U4*Main!$B$5)</f>
        <v>20.369049765774633</v>
      </c>
      <c r="V4" s="2">
        <f>('[1]Qc, Summer, S1'!V4*Main!$B$5)</f>
        <v>18.360622515936914</v>
      </c>
      <c r="W4" s="2">
        <f>('[1]Qc, Summer, S1'!W4*Main!$B$5)</f>
        <v>22.010800739531831</v>
      </c>
      <c r="X4" s="2">
        <f>('[1]Qc, Summer, S1'!X4*Main!$B$5)</f>
        <v>19.722478633761828</v>
      </c>
      <c r="Y4" s="2">
        <f>('[1]Qc, Summer, S1'!Y4*Main!$B$5)</f>
        <v>15.871856768939024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-11.104090862791466</v>
      </c>
      <c r="C2" s="2">
        <f>('[1]Qc, Summer, S1'!C2*Main!$B$5)</f>
        <v>-14.436681597041442</v>
      </c>
      <c r="D2" s="2">
        <f>('[1]Qc, Summer, S1'!D2*Main!$B$5)</f>
        <v>-15.912009187538995</v>
      </c>
      <c r="E2" s="2">
        <f>('[1]Qc, Summer, S1'!E2*Main!$B$5)</f>
        <v>-14.520542024708174</v>
      </c>
      <c r="F2" s="2">
        <f>('[1]Qc, Summer, S1'!F2*Main!$B$5)</f>
        <v>-15.564067447357738</v>
      </c>
      <c r="G2" s="2">
        <f>('[1]Qc, Summer, S1'!G2*Main!$B$5)</f>
        <v>-15.922802259015002</v>
      </c>
      <c r="H2" s="2">
        <f>('[1]Qc, Summer, S1'!H2*Main!$B$5)</f>
        <v>-13.800138030345215</v>
      </c>
      <c r="I2" s="2">
        <f>('[1]Qc, Summer, S1'!I2*Main!$B$5)</f>
        <v>-2.1469914331635187</v>
      </c>
      <c r="J2" s="2">
        <f>('[1]Qc, Summer, S1'!J2*Main!$B$5)</f>
        <v>6.891684516907949</v>
      </c>
      <c r="K2" s="2">
        <f>('[1]Qc, Summer, S1'!K2*Main!$B$5)</f>
        <v>10.032953070721822</v>
      </c>
      <c r="L2" s="2">
        <f>('[1]Qc, Summer, S1'!L2*Main!$B$5)</f>
        <v>7.8867980813599621</v>
      </c>
      <c r="M2" s="2">
        <f>('[1]Qc, Summer, S1'!M2*Main!$B$5)</f>
        <v>10.505431590938427</v>
      </c>
      <c r="N2" s="2">
        <f>('[1]Qc, Summer, S1'!N2*Main!$B$5)</f>
        <v>9.3227287886142864</v>
      </c>
      <c r="O2" s="2">
        <f>('[1]Qc, Summer, S1'!O2*Main!$B$5)</f>
        <v>9.6034248302378646</v>
      </c>
      <c r="P2" s="2">
        <f>('[1]Qc, Summer, S1'!P2*Main!$B$5)</f>
        <v>4.9550147775142728</v>
      </c>
      <c r="Q2" s="2">
        <f>('[1]Qc, Summer, S1'!Q2*Main!$B$5)</f>
        <v>1.252687716332366</v>
      </c>
      <c r="R2" s="2">
        <f>('[1]Qc, Summer, S1'!R2*Main!$B$5)</f>
        <v>2.786731022344318</v>
      </c>
      <c r="S2" s="2">
        <f>('[1]Qc, Summer, S1'!S2*Main!$B$5)</f>
        <v>3.3849146789671871</v>
      </c>
      <c r="T2" s="2">
        <f>('[1]Qc, Summer, S1'!T2*Main!$B$5)</f>
        <v>2.0392836202032054</v>
      </c>
      <c r="U2" s="2">
        <f>('[1]Qc, Summer, S1'!U2*Main!$B$5)</f>
        <v>-0.38042115531993126</v>
      </c>
      <c r="V2" s="2">
        <f>('[1]Qc, Summer, S1'!V2*Main!$B$5)</f>
        <v>-1.4851030819000077</v>
      </c>
      <c r="W2" s="2">
        <f>('[1]Qc, Summer, S1'!W2*Main!$B$5)</f>
        <v>-1.0332246908930025</v>
      </c>
      <c r="X2" s="2">
        <f>('[1]Qc, Summer, S1'!X2*Main!$B$5)</f>
        <v>-4.9550797014333217</v>
      </c>
      <c r="Y2" s="2">
        <f>('[1]Qc, Summer, S1'!Y2*Main!$B$5)</f>
        <v>-6.7071038227372641</v>
      </c>
    </row>
    <row r="3" spans="1:25" x14ac:dyDescent="0.3">
      <c r="A3">
        <v>2</v>
      </c>
      <c r="B3" s="2">
        <f>('[1]Qc, Summer, S1'!B3*Main!$B$5)</f>
        <v>-14.05314686179754</v>
      </c>
      <c r="C3" s="2">
        <f>('[1]Qc, Summer, S1'!C3*Main!$B$5)</f>
        <v>-14.05314686179754</v>
      </c>
      <c r="D3" s="2">
        <f>('[1]Qc, Summer, S1'!D3*Main!$B$5)</f>
        <v>-16.31487474865752</v>
      </c>
      <c r="E3" s="2">
        <f>('[1]Qc, Summer, S1'!E3*Main!$B$5)</f>
        <v>-18.576602635517503</v>
      </c>
      <c r="F3" s="2">
        <f>('[1]Qc, Summer, S1'!F3*Main!$B$5)</f>
        <v>-18.576602635517503</v>
      </c>
      <c r="G3" s="2">
        <f>('[1]Qc, Summer, S1'!G3*Main!$B$5)</f>
        <v>-18.576602635517503</v>
      </c>
      <c r="H3" s="2">
        <f>('[1]Qc, Summer, S1'!H3*Main!$B$5)</f>
        <v>-7.4071515208229846</v>
      </c>
      <c r="I3" s="2">
        <f>('[1]Qc, Summer, S1'!I3*Main!$B$5)</f>
        <v>1.5353725166622589</v>
      </c>
      <c r="J3" s="2">
        <f>('[1]Qc, Summer, S1'!J3*Main!$B$5)</f>
        <v>4.875776195170249</v>
      </c>
      <c r="K3" s="2">
        <f>('[1]Qc, Summer, S1'!K3*Main!$B$5)</f>
        <v>4.875776195170249</v>
      </c>
      <c r="L3" s="2">
        <f>('[1]Qc, Summer, S1'!L3*Main!$B$5)</f>
        <v>4.4582187301380767</v>
      </c>
      <c r="M3" s="2">
        <f>('[1]Qc, Summer, S1'!M3*Main!$B$5)</f>
        <v>6.2675920549218942</v>
      </c>
      <c r="N3" s="2">
        <f>('[1]Qc, Summer, S1'!N3*Main!$B$5)</f>
        <v>8.4945228447378867</v>
      </c>
      <c r="O3" s="2">
        <f>('[1]Qc, Summer, S1'!O3*Main!$B$5)</f>
        <v>8.7555009550182668</v>
      </c>
      <c r="P3" s="2">
        <f>('[1]Qc, Summer, S1'!P3*Main!$B$5)</f>
        <v>4.9105695404243397</v>
      </c>
      <c r="Q3" s="2">
        <f>('[1]Qc, Summer, S1'!Q3*Main!$B$5)</f>
        <v>3.8318937291847401</v>
      </c>
      <c r="R3" s="2">
        <f>('[1]Qc, Summer, S1'!R3*Main!$B$5)</f>
        <v>-0.62196788963042582</v>
      </c>
      <c r="S3" s="2">
        <f>('[1]Qc, Summer, S1'!S3*Main!$B$5)</f>
        <v>-0.62196788963042582</v>
      </c>
      <c r="T3" s="2">
        <f>('[1]Qc, Summer, S1'!T3*Main!$B$5)</f>
        <v>-0.62196788963042582</v>
      </c>
      <c r="U3" s="2">
        <f>('[1]Qc, Summer, S1'!U3*Main!$B$5)</f>
        <v>-0.62196788963042582</v>
      </c>
      <c r="V3" s="2">
        <f>('[1]Qc, Summer, S1'!V3*Main!$B$5)</f>
        <v>-3.9623753003367232</v>
      </c>
      <c r="W3" s="2">
        <f>('[1]Qc, Summer, S1'!W3*Main!$B$5)</f>
        <v>-5.0758444372388221</v>
      </c>
      <c r="X3" s="2">
        <f>('[1]Qc, Summer, S1'!X3*Main!$B$5)</f>
        <v>-14.192320242813905</v>
      </c>
      <c r="Y3" s="2">
        <f>('[1]Qc, Summer, S1'!Y3*Main!$B$5)</f>
        <v>-14.192320242813905</v>
      </c>
    </row>
    <row r="4" spans="1:25" x14ac:dyDescent="0.3">
      <c r="A4">
        <v>3</v>
      </c>
      <c r="B4" s="2">
        <f>('[1]Qc, Summer, S1'!B4*Main!$B$5)</f>
        <v>11.344069961777755</v>
      </c>
      <c r="C4" s="2">
        <f>('[1]Qc, Summer, S1'!C4*Main!$B$5)</f>
        <v>8.6917558073069685</v>
      </c>
      <c r="D4" s="2">
        <f>('[1]Qc, Summer, S1'!D4*Main!$B$5)</f>
        <v>8.2367405501234465</v>
      </c>
      <c r="E4" s="2">
        <f>('[1]Qc, Summer, S1'!E4*Main!$B$5)</f>
        <v>7.1937543499720249</v>
      </c>
      <c r="F4" s="2">
        <f>('[1]Qc, Summer, S1'!F4*Main!$B$5)</f>
        <v>8.2814350127041987</v>
      </c>
      <c r="G4" s="2">
        <f>('[1]Qc, Summer, S1'!G4*Main!$B$5)</f>
        <v>3.8435423446333337</v>
      </c>
      <c r="H4" s="2">
        <f>('[1]Qc, Summer, S1'!H4*Main!$B$5)</f>
        <v>6.7060837555290789</v>
      </c>
      <c r="I4" s="2">
        <f>('[1]Qc, Summer, S1'!I4*Main!$B$5)</f>
        <v>12.886532276093767</v>
      </c>
      <c r="J4" s="2">
        <f>('[1]Qc, Summer, S1'!J4*Main!$B$5)</f>
        <v>18.745970631637274</v>
      </c>
      <c r="K4" s="2">
        <f>('[1]Qc, Summer, S1'!K4*Main!$B$5)</f>
        <v>22.275427028057162</v>
      </c>
      <c r="L4" s="2">
        <f>('[1]Qc, Summer, S1'!L4*Main!$B$5)</f>
        <v>24.317909688815011</v>
      </c>
      <c r="M4" s="2">
        <f>('[1]Qc, Summer, S1'!M4*Main!$B$5)</f>
        <v>25.205729788356074</v>
      </c>
      <c r="N4" s="2">
        <f>('[1]Qc, Summer, S1'!N4*Main!$B$5)</f>
        <v>26.338726731256795</v>
      </c>
      <c r="O4" s="2">
        <f>('[1]Qc, Summer, S1'!O4*Main!$B$5)</f>
        <v>26.538003765025003</v>
      </c>
      <c r="P4" s="2">
        <f>('[1]Qc, Summer, S1'!P4*Main!$B$5)</f>
        <v>26.349637550559397</v>
      </c>
      <c r="Q4" s="2">
        <f>('[1]Qc, Summer, S1'!Q4*Main!$B$5)</f>
        <v>25.47249582637674</v>
      </c>
      <c r="R4" s="2">
        <f>('[1]Qc, Summer, S1'!R4*Main!$B$5)</f>
        <v>24.241143398483647</v>
      </c>
      <c r="S4" s="2">
        <f>('[1]Qc, Summer, S1'!S4*Main!$B$5)</f>
        <v>21.511285281755356</v>
      </c>
      <c r="T4" s="2">
        <f>('[1]Qc, Summer, S1'!T4*Main!$B$5)</f>
        <v>21.411762764469298</v>
      </c>
      <c r="U4" s="2">
        <f>('[1]Qc, Summer, S1'!U4*Main!$B$5)</f>
        <v>20.369049765774633</v>
      </c>
      <c r="V4" s="2">
        <f>('[1]Qc, Summer, S1'!V4*Main!$B$5)</f>
        <v>18.360622515936914</v>
      </c>
      <c r="W4" s="2">
        <f>('[1]Qc, Summer, S1'!W4*Main!$B$5)</f>
        <v>22.010800739531831</v>
      </c>
      <c r="X4" s="2">
        <f>('[1]Qc, Summer, S1'!X4*Main!$B$5)</f>
        <v>19.722478633761828</v>
      </c>
      <c r="Y4" s="2">
        <f>('[1]Qc, Summer, S1'!Y4*Main!$B$5)</f>
        <v>15.871856768939024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-11.104090862791466</v>
      </c>
      <c r="C2" s="2">
        <f>('[1]Qc, Summer, S1'!C2*Main!$B$5)</f>
        <v>-14.436681597041442</v>
      </c>
      <c r="D2" s="2">
        <f>('[1]Qc, Summer, S1'!D2*Main!$B$5)</f>
        <v>-15.912009187538995</v>
      </c>
      <c r="E2" s="2">
        <f>('[1]Qc, Summer, S1'!E2*Main!$B$5)</f>
        <v>-14.520542024708174</v>
      </c>
      <c r="F2" s="2">
        <f>('[1]Qc, Summer, S1'!F2*Main!$B$5)</f>
        <v>-15.564067447357738</v>
      </c>
      <c r="G2" s="2">
        <f>('[1]Qc, Summer, S1'!G2*Main!$B$5)</f>
        <v>-15.922802259015002</v>
      </c>
      <c r="H2" s="2">
        <f>('[1]Qc, Summer, S1'!H2*Main!$B$5)</f>
        <v>-13.800138030345215</v>
      </c>
      <c r="I2" s="2">
        <f>('[1]Qc, Summer, S1'!I2*Main!$B$5)</f>
        <v>-2.1469914331635187</v>
      </c>
      <c r="J2" s="2">
        <f>('[1]Qc, Summer, S1'!J2*Main!$B$5)</f>
        <v>6.891684516907949</v>
      </c>
      <c r="K2" s="2">
        <f>('[1]Qc, Summer, S1'!K2*Main!$B$5)</f>
        <v>10.032953070721822</v>
      </c>
      <c r="L2" s="2">
        <f>('[1]Qc, Summer, S1'!L2*Main!$B$5)</f>
        <v>7.8867980813599621</v>
      </c>
      <c r="M2" s="2">
        <f>('[1]Qc, Summer, S1'!M2*Main!$B$5)</f>
        <v>10.505431590938427</v>
      </c>
      <c r="N2" s="2">
        <f>('[1]Qc, Summer, S1'!N2*Main!$B$5)</f>
        <v>9.3227287886142864</v>
      </c>
      <c r="O2" s="2">
        <f>('[1]Qc, Summer, S1'!O2*Main!$B$5)</f>
        <v>9.6034248302378646</v>
      </c>
      <c r="P2" s="2">
        <f>('[1]Qc, Summer, S1'!P2*Main!$B$5)</f>
        <v>4.9550147775142728</v>
      </c>
      <c r="Q2" s="2">
        <f>('[1]Qc, Summer, S1'!Q2*Main!$B$5)</f>
        <v>1.252687716332366</v>
      </c>
      <c r="R2" s="2">
        <f>('[1]Qc, Summer, S1'!R2*Main!$B$5)</f>
        <v>2.786731022344318</v>
      </c>
      <c r="S2" s="2">
        <f>('[1]Qc, Summer, S1'!S2*Main!$B$5)</f>
        <v>3.3849146789671871</v>
      </c>
      <c r="T2" s="2">
        <f>('[1]Qc, Summer, S1'!T2*Main!$B$5)</f>
        <v>2.0392836202032054</v>
      </c>
      <c r="U2" s="2">
        <f>('[1]Qc, Summer, S1'!U2*Main!$B$5)</f>
        <v>-0.38042115531993126</v>
      </c>
      <c r="V2" s="2">
        <f>('[1]Qc, Summer, S1'!V2*Main!$B$5)</f>
        <v>-1.4851030819000077</v>
      </c>
      <c r="W2" s="2">
        <f>('[1]Qc, Summer, S1'!W2*Main!$B$5)</f>
        <v>-1.0332246908930025</v>
      </c>
      <c r="X2" s="2">
        <f>('[1]Qc, Summer, S1'!X2*Main!$B$5)</f>
        <v>-4.9550797014333217</v>
      </c>
      <c r="Y2" s="2">
        <f>('[1]Qc, Summer, S1'!Y2*Main!$B$5)</f>
        <v>-6.7071038227372641</v>
      </c>
    </row>
    <row r="3" spans="1:25" x14ac:dyDescent="0.3">
      <c r="A3">
        <v>2</v>
      </c>
      <c r="B3" s="2">
        <f>('[1]Qc, Summer, S1'!B3*Main!$B$5)</f>
        <v>-14.05314686179754</v>
      </c>
      <c r="C3" s="2">
        <f>('[1]Qc, Summer, S1'!C3*Main!$B$5)</f>
        <v>-14.05314686179754</v>
      </c>
      <c r="D3" s="2">
        <f>('[1]Qc, Summer, S1'!D3*Main!$B$5)</f>
        <v>-16.31487474865752</v>
      </c>
      <c r="E3" s="2">
        <f>('[1]Qc, Summer, S1'!E3*Main!$B$5)</f>
        <v>-18.576602635517503</v>
      </c>
      <c r="F3" s="2">
        <f>('[1]Qc, Summer, S1'!F3*Main!$B$5)</f>
        <v>-18.576602635517503</v>
      </c>
      <c r="G3" s="2">
        <f>('[1]Qc, Summer, S1'!G3*Main!$B$5)</f>
        <v>-18.576602635517503</v>
      </c>
      <c r="H3" s="2">
        <f>('[1]Qc, Summer, S1'!H3*Main!$B$5)</f>
        <v>-7.4071515208229846</v>
      </c>
      <c r="I3" s="2">
        <f>('[1]Qc, Summer, S1'!I3*Main!$B$5)</f>
        <v>1.5353725166622589</v>
      </c>
      <c r="J3" s="2">
        <f>('[1]Qc, Summer, S1'!J3*Main!$B$5)</f>
        <v>4.875776195170249</v>
      </c>
      <c r="K3" s="2">
        <f>('[1]Qc, Summer, S1'!K3*Main!$B$5)</f>
        <v>4.875776195170249</v>
      </c>
      <c r="L3" s="2">
        <f>('[1]Qc, Summer, S1'!L3*Main!$B$5)</f>
        <v>4.4582187301380767</v>
      </c>
      <c r="M3" s="2">
        <f>('[1]Qc, Summer, S1'!M3*Main!$B$5)</f>
        <v>6.2675920549218942</v>
      </c>
      <c r="N3" s="2">
        <f>('[1]Qc, Summer, S1'!N3*Main!$B$5)</f>
        <v>8.4945228447378867</v>
      </c>
      <c r="O3" s="2">
        <f>('[1]Qc, Summer, S1'!O3*Main!$B$5)</f>
        <v>8.7555009550182668</v>
      </c>
      <c r="P3" s="2">
        <f>('[1]Qc, Summer, S1'!P3*Main!$B$5)</f>
        <v>4.9105695404243397</v>
      </c>
      <c r="Q3" s="2">
        <f>('[1]Qc, Summer, S1'!Q3*Main!$B$5)</f>
        <v>3.8318937291847401</v>
      </c>
      <c r="R3" s="2">
        <f>('[1]Qc, Summer, S1'!R3*Main!$B$5)</f>
        <v>-0.62196788963042582</v>
      </c>
      <c r="S3" s="2">
        <f>('[1]Qc, Summer, S1'!S3*Main!$B$5)</f>
        <v>-0.62196788963042582</v>
      </c>
      <c r="T3" s="2">
        <f>('[1]Qc, Summer, S1'!T3*Main!$B$5)</f>
        <v>-0.62196788963042582</v>
      </c>
      <c r="U3" s="2">
        <f>('[1]Qc, Summer, S1'!U3*Main!$B$5)</f>
        <v>-0.62196788963042582</v>
      </c>
      <c r="V3" s="2">
        <f>('[1]Qc, Summer, S1'!V3*Main!$B$5)</f>
        <v>-3.9623753003367232</v>
      </c>
      <c r="W3" s="2">
        <f>('[1]Qc, Summer, S1'!W3*Main!$B$5)</f>
        <v>-5.0758444372388221</v>
      </c>
      <c r="X3" s="2">
        <f>('[1]Qc, Summer, S1'!X3*Main!$B$5)</f>
        <v>-14.192320242813905</v>
      </c>
      <c r="Y3" s="2">
        <f>('[1]Qc, Summer, S1'!Y3*Main!$B$5)</f>
        <v>-14.192320242813905</v>
      </c>
    </row>
    <row r="4" spans="1:25" x14ac:dyDescent="0.3">
      <c r="A4">
        <v>3</v>
      </c>
      <c r="B4" s="2">
        <f>('[1]Qc, Summer, S1'!B4*Main!$B$5)</f>
        <v>11.344069961777755</v>
      </c>
      <c r="C4" s="2">
        <f>('[1]Qc, Summer, S1'!C4*Main!$B$5)</f>
        <v>8.6917558073069685</v>
      </c>
      <c r="D4" s="2">
        <f>('[1]Qc, Summer, S1'!D4*Main!$B$5)</f>
        <v>8.2367405501234465</v>
      </c>
      <c r="E4" s="2">
        <f>('[1]Qc, Summer, S1'!E4*Main!$B$5)</f>
        <v>7.1937543499720249</v>
      </c>
      <c r="F4" s="2">
        <f>('[1]Qc, Summer, S1'!F4*Main!$B$5)</f>
        <v>8.2814350127041987</v>
      </c>
      <c r="G4" s="2">
        <f>('[1]Qc, Summer, S1'!G4*Main!$B$5)</f>
        <v>3.8435423446333337</v>
      </c>
      <c r="H4" s="2">
        <f>('[1]Qc, Summer, S1'!H4*Main!$B$5)</f>
        <v>6.7060837555290789</v>
      </c>
      <c r="I4" s="2">
        <f>('[1]Qc, Summer, S1'!I4*Main!$B$5)</f>
        <v>12.886532276093767</v>
      </c>
      <c r="J4" s="2">
        <f>('[1]Qc, Summer, S1'!J4*Main!$B$5)</f>
        <v>18.745970631637274</v>
      </c>
      <c r="K4" s="2">
        <f>('[1]Qc, Summer, S1'!K4*Main!$B$5)</f>
        <v>22.275427028057162</v>
      </c>
      <c r="L4" s="2">
        <f>('[1]Qc, Summer, S1'!L4*Main!$B$5)</f>
        <v>24.317909688815011</v>
      </c>
      <c r="M4" s="2">
        <f>('[1]Qc, Summer, S1'!M4*Main!$B$5)</f>
        <v>25.205729788356074</v>
      </c>
      <c r="N4" s="2">
        <f>('[1]Qc, Summer, S1'!N4*Main!$B$5)</f>
        <v>26.338726731256795</v>
      </c>
      <c r="O4" s="2">
        <f>('[1]Qc, Summer, S1'!O4*Main!$B$5)</f>
        <v>26.538003765025003</v>
      </c>
      <c r="P4" s="2">
        <f>('[1]Qc, Summer, S1'!P4*Main!$B$5)</f>
        <v>26.349637550559397</v>
      </c>
      <c r="Q4" s="2">
        <f>('[1]Qc, Summer, S1'!Q4*Main!$B$5)</f>
        <v>25.47249582637674</v>
      </c>
      <c r="R4" s="2">
        <f>('[1]Qc, Summer, S1'!R4*Main!$B$5)</f>
        <v>24.241143398483647</v>
      </c>
      <c r="S4" s="2">
        <f>('[1]Qc, Summer, S1'!S4*Main!$B$5)</f>
        <v>21.511285281755356</v>
      </c>
      <c r="T4" s="2">
        <f>('[1]Qc, Summer, S1'!T4*Main!$B$5)</f>
        <v>21.411762764469298</v>
      </c>
      <c r="U4" s="2">
        <f>('[1]Qc, Summer, S1'!U4*Main!$B$5)</f>
        <v>20.369049765774633</v>
      </c>
      <c r="V4" s="2">
        <f>('[1]Qc, Summer, S1'!V4*Main!$B$5)</f>
        <v>18.360622515936914</v>
      </c>
      <c r="W4" s="2">
        <f>('[1]Qc, Summer, S1'!W4*Main!$B$5)</f>
        <v>22.010800739531831</v>
      </c>
      <c r="X4" s="2">
        <f>('[1]Qc, Summer, S1'!X4*Main!$B$5)</f>
        <v>19.722478633761828</v>
      </c>
      <c r="Y4" s="2">
        <f>('[1]Qc, Summer, S1'!Y4*Main!$B$5)</f>
        <v>15.871856768939024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-11.437213588675208</v>
      </c>
      <c r="C2" s="2">
        <f>('[1]Qc, Summer, S2'!C2*Main!$B$5)</f>
        <v>-14.869782044952686</v>
      </c>
      <c r="D2" s="2">
        <f>('[1]Qc, Summer, S2'!D2*Main!$B$5)</f>
        <v>-16.389369463165167</v>
      </c>
      <c r="E2" s="2">
        <f>('[1]Qc, Summer, S2'!E2*Main!$B$5)</f>
        <v>-14.956158285449421</v>
      </c>
      <c r="F2" s="2">
        <f>('[1]Qc, Summer, S2'!F2*Main!$B$5)</f>
        <v>-16.030989470778469</v>
      </c>
      <c r="G2" s="2">
        <f>('[1]Qc, Summer, S2'!G2*Main!$B$5)</f>
        <v>-16.400486326785455</v>
      </c>
      <c r="H2" s="2">
        <f>('[1]Qc, Summer, S2'!H2*Main!$B$5)</f>
        <v>-14.21414217125557</v>
      </c>
      <c r="I2" s="2">
        <f>('[1]Qc, Summer, S2'!I2*Main!$B$5)</f>
        <v>-2.2114011761584247</v>
      </c>
      <c r="J2" s="2">
        <f>('[1]Qc, Summer, S2'!J2*Main!$B$5)</f>
        <v>7.098435052415188</v>
      </c>
      <c r="K2" s="2">
        <f>('[1]Qc, Summer, S2'!K2*Main!$B$5)</f>
        <v>10.333941662843475</v>
      </c>
      <c r="L2" s="2">
        <f>('[1]Qc, Summer, S2'!L2*Main!$B$5)</f>
        <v>8.1234020238007609</v>
      </c>
      <c r="M2" s="2">
        <f>('[1]Qc, Summer, S2'!M2*Main!$B$5)</f>
        <v>10.82059453866658</v>
      </c>
      <c r="N2" s="2">
        <f>('[1]Qc, Summer, S2'!N2*Main!$B$5)</f>
        <v>9.6024106522727166</v>
      </c>
      <c r="O2" s="2">
        <f>('[1]Qc, Summer, S2'!O2*Main!$B$5)</f>
        <v>9.891527575145</v>
      </c>
      <c r="P2" s="2">
        <f>('[1]Qc, Summer, S2'!P2*Main!$B$5)</f>
        <v>5.1036652208397015</v>
      </c>
      <c r="Q2" s="2">
        <f>('[1]Qc, Summer, S2'!Q2*Main!$B$5)</f>
        <v>1.2902683478223371</v>
      </c>
      <c r="R2" s="2">
        <f>('[1]Qc, Summer, S2'!R2*Main!$B$5)</f>
        <v>2.8703329530146475</v>
      </c>
      <c r="S2" s="2">
        <f>('[1]Qc, Summer, S2'!S2*Main!$B$5)</f>
        <v>3.4864621193362031</v>
      </c>
      <c r="T2" s="2">
        <f>('[1]Qc, Summer, S2'!T2*Main!$B$5)</f>
        <v>2.1004621288093013</v>
      </c>
      <c r="U2" s="2">
        <f>('[1]Qc, Summer, S2'!U2*Main!$B$5)</f>
        <v>-0.39183378997952928</v>
      </c>
      <c r="V2" s="2">
        <f>('[1]Qc, Summer, S2'!V2*Main!$B$5)</f>
        <v>-1.5296561743570078</v>
      </c>
      <c r="W2" s="2">
        <f>('[1]Qc, Summer, S2'!W2*Main!$B$5)</f>
        <v>-1.0642214316197924</v>
      </c>
      <c r="X2" s="2">
        <f>('[1]Qc, Summer, S2'!X2*Main!$B$5)</f>
        <v>-5.1037320924763225</v>
      </c>
      <c r="Y2" s="2">
        <f>('[1]Qc, Summer, S2'!Y2*Main!$B$5)</f>
        <v>-6.9083169374193814</v>
      </c>
    </row>
    <row r="3" spans="1:25" x14ac:dyDescent="0.3">
      <c r="A3">
        <v>2</v>
      </c>
      <c r="B3" s="2">
        <f>('[1]Qc, Summer, S2'!B3*Main!$B$5)</f>
        <v>-14.474741267651464</v>
      </c>
      <c r="C3" s="2">
        <f>('[1]Qc, Summer, S2'!C3*Main!$B$5)</f>
        <v>-14.474741267651464</v>
      </c>
      <c r="D3" s="2">
        <f>('[1]Qc, Summer, S2'!D3*Main!$B$5)</f>
        <v>-16.804320991117244</v>
      </c>
      <c r="E3" s="2">
        <f>('[1]Qc, Summer, S2'!E3*Main!$B$5)</f>
        <v>-19.133900714583028</v>
      </c>
      <c r="F3" s="2">
        <f>('[1]Qc, Summer, S2'!F3*Main!$B$5)</f>
        <v>-19.133900714583028</v>
      </c>
      <c r="G3" s="2">
        <f>('[1]Qc, Summer, S2'!G3*Main!$B$5)</f>
        <v>-19.133900714583028</v>
      </c>
      <c r="H3" s="2">
        <f>('[1]Qc, Summer, S2'!H3*Main!$B$5)</f>
        <v>-7.6293660664476741</v>
      </c>
      <c r="I3" s="2">
        <f>('[1]Qc, Summer, S2'!I3*Main!$B$5)</f>
        <v>1.581433692162127</v>
      </c>
      <c r="J3" s="2">
        <f>('[1]Qc, Summer, S2'!J3*Main!$B$5)</f>
        <v>5.0220494810253564</v>
      </c>
      <c r="K3" s="2">
        <f>('[1]Qc, Summer, S2'!K3*Main!$B$5)</f>
        <v>5.0220494810253564</v>
      </c>
      <c r="L3" s="2">
        <f>('[1]Qc, Summer, S2'!L3*Main!$B$5)</f>
        <v>4.5919652920422189</v>
      </c>
      <c r="M3" s="2">
        <f>('[1]Qc, Summer, S2'!M3*Main!$B$5)</f>
        <v>6.4556198165695502</v>
      </c>
      <c r="N3" s="2">
        <f>('[1]Qc, Summer, S2'!N3*Main!$B$5)</f>
        <v>8.7493585300800216</v>
      </c>
      <c r="O3" s="2">
        <f>('[1]Qc, Summer, S2'!O3*Main!$B$5)</f>
        <v>9.0181659836688137</v>
      </c>
      <c r="P3" s="2">
        <f>('[1]Qc, Summer, S2'!P3*Main!$B$5)</f>
        <v>5.057886626637071</v>
      </c>
      <c r="Q3" s="2">
        <f>('[1]Qc, Summer, S2'!Q3*Main!$B$5)</f>
        <v>3.9468505410602828</v>
      </c>
      <c r="R3" s="2">
        <f>('[1]Qc, Summer, S2'!R3*Main!$B$5)</f>
        <v>-0.6406269263193386</v>
      </c>
      <c r="S3" s="2">
        <f>('[1]Qc, Summer, S2'!S3*Main!$B$5)</f>
        <v>-0.6406269263193386</v>
      </c>
      <c r="T3" s="2">
        <f>('[1]Qc, Summer, S2'!T3*Main!$B$5)</f>
        <v>-0.6406269263193386</v>
      </c>
      <c r="U3" s="2">
        <f>('[1]Qc, Summer, S2'!U3*Main!$B$5)</f>
        <v>-0.6406269263193386</v>
      </c>
      <c r="V3" s="2">
        <f>('[1]Qc, Summer, S2'!V3*Main!$B$5)</f>
        <v>-4.081246559346825</v>
      </c>
      <c r="W3" s="2">
        <f>('[1]Qc, Summer, S2'!W3*Main!$B$5)</f>
        <v>-5.2281197703559874</v>
      </c>
      <c r="X3" s="2">
        <f>('[1]Qc, Summer, S2'!X3*Main!$B$5)</f>
        <v>-14.618089850098324</v>
      </c>
      <c r="Y3" s="2">
        <f>('[1]Qc, Summer, S2'!Y3*Main!$B$5)</f>
        <v>-14.618089850098324</v>
      </c>
    </row>
    <row r="4" spans="1:25" x14ac:dyDescent="0.3">
      <c r="A4">
        <v>3</v>
      </c>
      <c r="B4" s="2">
        <f>('[1]Qc, Summer, S2'!B4*Main!$B$5)</f>
        <v>11.684392060631088</v>
      </c>
      <c r="C4" s="2">
        <f>('[1]Qc, Summer, S2'!C4*Main!$B$5)</f>
        <v>8.9525084815261753</v>
      </c>
      <c r="D4" s="2">
        <f>('[1]Qc, Summer, S2'!D4*Main!$B$5)</f>
        <v>8.4838427666271503</v>
      </c>
      <c r="E4" s="2">
        <f>('[1]Qc, Summer, S2'!E4*Main!$B$5)</f>
        <v>7.4095669804711859</v>
      </c>
      <c r="F4" s="2">
        <f>('[1]Qc, Summer, S2'!F4*Main!$B$5)</f>
        <v>8.5298780630853255</v>
      </c>
      <c r="G4" s="2">
        <f>('[1]Qc, Summer, S2'!G4*Main!$B$5)</f>
        <v>3.9588486149723336</v>
      </c>
      <c r="H4" s="2">
        <f>('[1]Qc, Summer, S2'!H4*Main!$B$5)</f>
        <v>6.9072662681949506</v>
      </c>
      <c r="I4" s="2">
        <f>('[1]Qc, Summer, S2'!I4*Main!$B$5)</f>
        <v>13.273128244376583</v>
      </c>
      <c r="J4" s="2">
        <f>('[1]Qc, Summer, S2'!J4*Main!$B$5)</f>
        <v>19.308349750586398</v>
      </c>
      <c r="K4" s="2">
        <f>('[1]Qc, Summer, S2'!K4*Main!$B$5)</f>
        <v>22.943689838898877</v>
      </c>
      <c r="L4" s="2">
        <f>('[1]Qc, Summer, S2'!L4*Main!$B$5)</f>
        <v>25.047446979479464</v>
      </c>
      <c r="M4" s="2">
        <f>('[1]Qc, Summer, S2'!M4*Main!$B$5)</f>
        <v>25.961901682006758</v>
      </c>
      <c r="N4" s="2">
        <f>('[1]Qc, Summer, S2'!N4*Main!$B$5)</f>
        <v>27.128888533194502</v>
      </c>
      <c r="O4" s="2">
        <f>('[1]Qc, Summer, S2'!O4*Main!$B$5)</f>
        <v>27.334143877975752</v>
      </c>
      <c r="P4" s="2">
        <f>('[1]Qc, Summer, S2'!P4*Main!$B$5)</f>
        <v>27.140126677076182</v>
      </c>
      <c r="Q4" s="2">
        <f>('[1]Qc, Summer, S2'!Q4*Main!$B$5)</f>
        <v>26.236670701168041</v>
      </c>
      <c r="R4" s="2">
        <f>('[1]Qc, Summer, S2'!R4*Main!$B$5)</f>
        <v>24.968377700438158</v>
      </c>
      <c r="S4" s="2">
        <f>('[1]Qc, Summer, S2'!S4*Main!$B$5)</f>
        <v>22.156623840208017</v>
      </c>
      <c r="T4" s="2">
        <f>('[1]Qc, Summer, S2'!T4*Main!$B$5)</f>
        <v>22.054115647403378</v>
      </c>
      <c r="U4" s="2">
        <f>('[1]Qc, Summer, S2'!U4*Main!$B$5)</f>
        <v>20.980121258747872</v>
      </c>
      <c r="V4" s="2">
        <f>('[1]Qc, Summer, S2'!V4*Main!$B$5)</f>
        <v>18.911441191415019</v>
      </c>
      <c r="W4" s="2">
        <f>('[1]Qc, Summer, S2'!W4*Main!$B$5)</f>
        <v>22.671124761717785</v>
      </c>
      <c r="X4" s="2">
        <f>('[1]Qc, Summer, S2'!X4*Main!$B$5)</f>
        <v>20.314152992774684</v>
      </c>
      <c r="Y4" s="2">
        <f>('[1]Qc, Summer, S2'!Y4*Main!$B$5)</f>
        <v>16.348012472007195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-11.437213588675208</v>
      </c>
      <c r="C2" s="2">
        <f>('[1]Qc, Summer, S2'!C2*Main!$B$5)</f>
        <v>-14.869782044952686</v>
      </c>
      <c r="D2" s="2">
        <f>('[1]Qc, Summer, S2'!D2*Main!$B$5)</f>
        <v>-16.389369463165167</v>
      </c>
      <c r="E2" s="2">
        <f>('[1]Qc, Summer, S2'!E2*Main!$B$5)</f>
        <v>-14.956158285449421</v>
      </c>
      <c r="F2" s="2">
        <f>('[1]Qc, Summer, S2'!F2*Main!$B$5)</f>
        <v>-16.030989470778469</v>
      </c>
      <c r="G2" s="2">
        <f>('[1]Qc, Summer, S2'!G2*Main!$B$5)</f>
        <v>-16.400486326785455</v>
      </c>
      <c r="H2" s="2">
        <f>('[1]Qc, Summer, S2'!H2*Main!$B$5)</f>
        <v>-14.21414217125557</v>
      </c>
      <c r="I2" s="2">
        <f>('[1]Qc, Summer, S2'!I2*Main!$B$5)</f>
        <v>-2.2114011761584247</v>
      </c>
      <c r="J2" s="2">
        <f>('[1]Qc, Summer, S2'!J2*Main!$B$5)</f>
        <v>7.098435052415188</v>
      </c>
      <c r="K2" s="2">
        <f>('[1]Qc, Summer, S2'!K2*Main!$B$5)</f>
        <v>10.333941662843475</v>
      </c>
      <c r="L2" s="2">
        <f>('[1]Qc, Summer, S2'!L2*Main!$B$5)</f>
        <v>8.1234020238007609</v>
      </c>
      <c r="M2" s="2">
        <f>('[1]Qc, Summer, S2'!M2*Main!$B$5)</f>
        <v>10.82059453866658</v>
      </c>
      <c r="N2" s="2">
        <f>('[1]Qc, Summer, S2'!N2*Main!$B$5)</f>
        <v>9.6024106522727166</v>
      </c>
      <c r="O2" s="2">
        <f>('[1]Qc, Summer, S2'!O2*Main!$B$5)</f>
        <v>9.891527575145</v>
      </c>
      <c r="P2" s="2">
        <f>('[1]Qc, Summer, S2'!P2*Main!$B$5)</f>
        <v>5.1036652208397015</v>
      </c>
      <c r="Q2" s="2">
        <f>('[1]Qc, Summer, S2'!Q2*Main!$B$5)</f>
        <v>1.2902683478223371</v>
      </c>
      <c r="R2" s="2">
        <f>('[1]Qc, Summer, S2'!R2*Main!$B$5)</f>
        <v>2.8703329530146475</v>
      </c>
      <c r="S2" s="2">
        <f>('[1]Qc, Summer, S2'!S2*Main!$B$5)</f>
        <v>3.4864621193362031</v>
      </c>
      <c r="T2" s="2">
        <f>('[1]Qc, Summer, S2'!T2*Main!$B$5)</f>
        <v>2.1004621288093013</v>
      </c>
      <c r="U2" s="2">
        <f>('[1]Qc, Summer, S2'!U2*Main!$B$5)</f>
        <v>-0.39183378997952928</v>
      </c>
      <c r="V2" s="2">
        <f>('[1]Qc, Summer, S2'!V2*Main!$B$5)</f>
        <v>-1.5296561743570078</v>
      </c>
      <c r="W2" s="2">
        <f>('[1]Qc, Summer, S2'!W2*Main!$B$5)</f>
        <v>-1.0642214316197924</v>
      </c>
      <c r="X2" s="2">
        <f>('[1]Qc, Summer, S2'!X2*Main!$B$5)</f>
        <v>-5.1037320924763225</v>
      </c>
      <c r="Y2" s="2">
        <f>('[1]Qc, Summer, S2'!Y2*Main!$B$5)</f>
        <v>-6.9083169374193814</v>
      </c>
    </row>
    <row r="3" spans="1:25" x14ac:dyDescent="0.3">
      <c r="A3">
        <v>2</v>
      </c>
      <c r="B3" s="2">
        <f>('[1]Qc, Summer, S2'!B3*Main!$B$5)</f>
        <v>-14.474741267651464</v>
      </c>
      <c r="C3" s="2">
        <f>('[1]Qc, Summer, S2'!C3*Main!$B$5)</f>
        <v>-14.474741267651464</v>
      </c>
      <c r="D3" s="2">
        <f>('[1]Qc, Summer, S2'!D3*Main!$B$5)</f>
        <v>-16.804320991117244</v>
      </c>
      <c r="E3" s="2">
        <f>('[1]Qc, Summer, S2'!E3*Main!$B$5)</f>
        <v>-19.133900714583028</v>
      </c>
      <c r="F3" s="2">
        <f>('[1]Qc, Summer, S2'!F3*Main!$B$5)</f>
        <v>-19.133900714583028</v>
      </c>
      <c r="G3" s="2">
        <f>('[1]Qc, Summer, S2'!G3*Main!$B$5)</f>
        <v>-19.133900714583028</v>
      </c>
      <c r="H3" s="2">
        <f>('[1]Qc, Summer, S2'!H3*Main!$B$5)</f>
        <v>-7.6293660664476741</v>
      </c>
      <c r="I3" s="2">
        <f>('[1]Qc, Summer, S2'!I3*Main!$B$5)</f>
        <v>1.581433692162127</v>
      </c>
      <c r="J3" s="2">
        <f>('[1]Qc, Summer, S2'!J3*Main!$B$5)</f>
        <v>5.0220494810253564</v>
      </c>
      <c r="K3" s="2">
        <f>('[1]Qc, Summer, S2'!K3*Main!$B$5)</f>
        <v>5.0220494810253564</v>
      </c>
      <c r="L3" s="2">
        <f>('[1]Qc, Summer, S2'!L3*Main!$B$5)</f>
        <v>4.5919652920422189</v>
      </c>
      <c r="M3" s="2">
        <f>('[1]Qc, Summer, S2'!M3*Main!$B$5)</f>
        <v>6.4556198165695502</v>
      </c>
      <c r="N3" s="2">
        <f>('[1]Qc, Summer, S2'!N3*Main!$B$5)</f>
        <v>8.7493585300800216</v>
      </c>
      <c r="O3" s="2">
        <f>('[1]Qc, Summer, S2'!O3*Main!$B$5)</f>
        <v>9.0181659836688137</v>
      </c>
      <c r="P3" s="2">
        <f>('[1]Qc, Summer, S2'!P3*Main!$B$5)</f>
        <v>5.057886626637071</v>
      </c>
      <c r="Q3" s="2">
        <f>('[1]Qc, Summer, S2'!Q3*Main!$B$5)</f>
        <v>3.9468505410602828</v>
      </c>
      <c r="R3" s="2">
        <f>('[1]Qc, Summer, S2'!R3*Main!$B$5)</f>
        <v>-0.6406269263193386</v>
      </c>
      <c r="S3" s="2">
        <f>('[1]Qc, Summer, S2'!S3*Main!$B$5)</f>
        <v>-0.6406269263193386</v>
      </c>
      <c r="T3" s="2">
        <f>('[1]Qc, Summer, S2'!T3*Main!$B$5)</f>
        <v>-0.6406269263193386</v>
      </c>
      <c r="U3" s="2">
        <f>('[1]Qc, Summer, S2'!U3*Main!$B$5)</f>
        <v>-0.6406269263193386</v>
      </c>
      <c r="V3" s="2">
        <f>('[1]Qc, Summer, S2'!V3*Main!$B$5)</f>
        <v>-4.081246559346825</v>
      </c>
      <c r="W3" s="2">
        <f>('[1]Qc, Summer, S2'!W3*Main!$B$5)</f>
        <v>-5.2281197703559874</v>
      </c>
      <c r="X3" s="2">
        <f>('[1]Qc, Summer, S2'!X3*Main!$B$5)</f>
        <v>-14.618089850098324</v>
      </c>
      <c r="Y3" s="2">
        <f>('[1]Qc, Summer, S2'!Y3*Main!$B$5)</f>
        <v>-14.618089850098324</v>
      </c>
    </row>
    <row r="4" spans="1:25" x14ac:dyDescent="0.3">
      <c r="A4">
        <v>3</v>
      </c>
      <c r="B4" s="2">
        <f>('[1]Qc, Summer, S2'!B4*Main!$B$5)</f>
        <v>11.684392060631088</v>
      </c>
      <c r="C4" s="2">
        <f>('[1]Qc, Summer, S2'!C4*Main!$B$5)</f>
        <v>8.9525084815261753</v>
      </c>
      <c r="D4" s="2">
        <f>('[1]Qc, Summer, S2'!D4*Main!$B$5)</f>
        <v>8.4838427666271503</v>
      </c>
      <c r="E4" s="2">
        <f>('[1]Qc, Summer, S2'!E4*Main!$B$5)</f>
        <v>7.4095669804711859</v>
      </c>
      <c r="F4" s="2">
        <f>('[1]Qc, Summer, S2'!F4*Main!$B$5)</f>
        <v>8.5298780630853255</v>
      </c>
      <c r="G4" s="2">
        <f>('[1]Qc, Summer, S2'!G4*Main!$B$5)</f>
        <v>3.9588486149723336</v>
      </c>
      <c r="H4" s="2">
        <f>('[1]Qc, Summer, S2'!H4*Main!$B$5)</f>
        <v>6.9072662681949506</v>
      </c>
      <c r="I4" s="2">
        <f>('[1]Qc, Summer, S2'!I4*Main!$B$5)</f>
        <v>13.273128244376583</v>
      </c>
      <c r="J4" s="2">
        <f>('[1]Qc, Summer, S2'!J4*Main!$B$5)</f>
        <v>19.308349750586398</v>
      </c>
      <c r="K4" s="2">
        <f>('[1]Qc, Summer, S2'!K4*Main!$B$5)</f>
        <v>22.943689838898877</v>
      </c>
      <c r="L4" s="2">
        <f>('[1]Qc, Summer, S2'!L4*Main!$B$5)</f>
        <v>25.047446979479464</v>
      </c>
      <c r="M4" s="2">
        <f>('[1]Qc, Summer, S2'!M4*Main!$B$5)</f>
        <v>25.961901682006758</v>
      </c>
      <c r="N4" s="2">
        <f>('[1]Qc, Summer, S2'!N4*Main!$B$5)</f>
        <v>27.128888533194502</v>
      </c>
      <c r="O4" s="2">
        <f>('[1]Qc, Summer, S2'!O4*Main!$B$5)</f>
        <v>27.334143877975752</v>
      </c>
      <c r="P4" s="2">
        <f>('[1]Qc, Summer, S2'!P4*Main!$B$5)</f>
        <v>27.140126677076182</v>
      </c>
      <c r="Q4" s="2">
        <f>('[1]Qc, Summer, S2'!Q4*Main!$B$5)</f>
        <v>26.236670701168041</v>
      </c>
      <c r="R4" s="2">
        <f>('[1]Qc, Summer, S2'!R4*Main!$B$5)</f>
        <v>24.968377700438158</v>
      </c>
      <c r="S4" s="2">
        <f>('[1]Qc, Summer, S2'!S4*Main!$B$5)</f>
        <v>22.156623840208017</v>
      </c>
      <c r="T4" s="2">
        <f>('[1]Qc, Summer, S2'!T4*Main!$B$5)</f>
        <v>22.054115647403378</v>
      </c>
      <c r="U4" s="2">
        <f>('[1]Qc, Summer, S2'!U4*Main!$B$5)</f>
        <v>20.980121258747872</v>
      </c>
      <c r="V4" s="2">
        <f>('[1]Qc, Summer, S2'!V4*Main!$B$5)</f>
        <v>18.911441191415019</v>
      </c>
      <c r="W4" s="2">
        <f>('[1]Qc, Summer, S2'!W4*Main!$B$5)</f>
        <v>22.671124761717785</v>
      </c>
      <c r="X4" s="2">
        <f>('[1]Qc, Summer, S2'!X4*Main!$B$5)</f>
        <v>20.314152992774684</v>
      </c>
      <c r="Y4" s="2">
        <f>('[1]Qc, Summer, S2'!Y4*Main!$B$5)</f>
        <v>16.348012472007195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-11.437213588675208</v>
      </c>
      <c r="C2" s="2">
        <f>('[1]Qc, Summer, S2'!C2*Main!$B$5)</f>
        <v>-14.869782044952686</v>
      </c>
      <c r="D2" s="2">
        <f>('[1]Qc, Summer, S2'!D2*Main!$B$5)</f>
        <v>-16.389369463165167</v>
      </c>
      <c r="E2" s="2">
        <f>('[1]Qc, Summer, S2'!E2*Main!$B$5)</f>
        <v>-14.956158285449421</v>
      </c>
      <c r="F2" s="2">
        <f>('[1]Qc, Summer, S2'!F2*Main!$B$5)</f>
        <v>-16.030989470778469</v>
      </c>
      <c r="G2" s="2">
        <f>('[1]Qc, Summer, S2'!G2*Main!$B$5)</f>
        <v>-16.400486326785455</v>
      </c>
      <c r="H2" s="2">
        <f>('[1]Qc, Summer, S2'!H2*Main!$B$5)</f>
        <v>-14.21414217125557</v>
      </c>
      <c r="I2" s="2">
        <f>('[1]Qc, Summer, S2'!I2*Main!$B$5)</f>
        <v>-2.2114011761584247</v>
      </c>
      <c r="J2" s="2">
        <f>('[1]Qc, Summer, S2'!J2*Main!$B$5)</f>
        <v>7.098435052415188</v>
      </c>
      <c r="K2" s="2">
        <f>('[1]Qc, Summer, S2'!K2*Main!$B$5)</f>
        <v>10.333941662843475</v>
      </c>
      <c r="L2" s="2">
        <f>('[1]Qc, Summer, S2'!L2*Main!$B$5)</f>
        <v>8.1234020238007609</v>
      </c>
      <c r="M2" s="2">
        <f>('[1]Qc, Summer, S2'!M2*Main!$B$5)</f>
        <v>10.82059453866658</v>
      </c>
      <c r="N2" s="2">
        <f>('[1]Qc, Summer, S2'!N2*Main!$B$5)</f>
        <v>9.6024106522727166</v>
      </c>
      <c r="O2" s="2">
        <f>('[1]Qc, Summer, S2'!O2*Main!$B$5)</f>
        <v>9.891527575145</v>
      </c>
      <c r="P2" s="2">
        <f>('[1]Qc, Summer, S2'!P2*Main!$B$5)</f>
        <v>5.1036652208397015</v>
      </c>
      <c r="Q2" s="2">
        <f>('[1]Qc, Summer, S2'!Q2*Main!$B$5)</f>
        <v>1.2902683478223371</v>
      </c>
      <c r="R2" s="2">
        <f>('[1]Qc, Summer, S2'!R2*Main!$B$5)</f>
        <v>2.8703329530146475</v>
      </c>
      <c r="S2" s="2">
        <f>('[1]Qc, Summer, S2'!S2*Main!$B$5)</f>
        <v>3.4864621193362031</v>
      </c>
      <c r="T2" s="2">
        <f>('[1]Qc, Summer, S2'!T2*Main!$B$5)</f>
        <v>2.1004621288093013</v>
      </c>
      <c r="U2" s="2">
        <f>('[1]Qc, Summer, S2'!U2*Main!$B$5)</f>
        <v>-0.39183378997952928</v>
      </c>
      <c r="V2" s="2">
        <f>('[1]Qc, Summer, S2'!V2*Main!$B$5)</f>
        <v>-1.5296561743570078</v>
      </c>
      <c r="W2" s="2">
        <f>('[1]Qc, Summer, S2'!W2*Main!$B$5)</f>
        <v>-1.0642214316197924</v>
      </c>
      <c r="X2" s="2">
        <f>('[1]Qc, Summer, S2'!X2*Main!$B$5)</f>
        <v>-5.1037320924763225</v>
      </c>
      <c r="Y2" s="2">
        <f>('[1]Qc, Summer, S2'!Y2*Main!$B$5)</f>
        <v>-6.9083169374193814</v>
      </c>
    </row>
    <row r="3" spans="1:25" x14ac:dyDescent="0.3">
      <c r="A3">
        <v>2</v>
      </c>
      <c r="B3" s="2">
        <f>('[1]Qc, Summer, S2'!B3*Main!$B$5)</f>
        <v>-14.474741267651464</v>
      </c>
      <c r="C3" s="2">
        <f>('[1]Qc, Summer, S2'!C3*Main!$B$5)</f>
        <v>-14.474741267651464</v>
      </c>
      <c r="D3" s="2">
        <f>('[1]Qc, Summer, S2'!D3*Main!$B$5)</f>
        <v>-16.804320991117244</v>
      </c>
      <c r="E3" s="2">
        <f>('[1]Qc, Summer, S2'!E3*Main!$B$5)</f>
        <v>-19.133900714583028</v>
      </c>
      <c r="F3" s="2">
        <f>('[1]Qc, Summer, S2'!F3*Main!$B$5)</f>
        <v>-19.133900714583028</v>
      </c>
      <c r="G3" s="2">
        <f>('[1]Qc, Summer, S2'!G3*Main!$B$5)</f>
        <v>-19.133900714583028</v>
      </c>
      <c r="H3" s="2">
        <f>('[1]Qc, Summer, S2'!H3*Main!$B$5)</f>
        <v>-7.6293660664476741</v>
      </c>
      <c r="I3" s="2">
        <f>('[1]Qc, Summer, S2'!I3*Main!$B$5)</f>
        <v>1.581433692162127</v>
      </c>
      <c r="J3" s="2">
        <f>('[1]Qc, Summer, S2'!J3*Main!$B$5)</f>
        <v>5.0220494810253564</v>
      </c>
      <c r="K3" s="2">
        <f>('[1]Qc, Summer, S2'!K3*Main!$B$5)</f>
        <v>5.0220494810253564</v>
      </c>
      <c r="L3" s="2">
        <f>('[1]Qc, Summer, S2'!L3*Main!$B$5)</f>
        <v>4.5919652920422189</v>
      </c>
      <c r="M3" s="2">
        <f>('[1]Qc, Summer, S2'!M3*Main!$B$5)</f>
        <v>6.4556198165695502</v>
      </c>
      <c r="N3" s="2">
        <f>('[1]Qc, Summer, S2'!N3*Main!$B$5)</f>
        <v>8.7493585300800216</v>
      </c>
      <c r="O3" s="2">
        <f>('[1]Qc, Summer, S2'!O3*Main!$B$5)</f>
        <v>9.0181659836688137</v>
      </c>
      <c r="P3" s="2">
        <f>('[1]Qc, Summer, S2'!P3*Main!$B$5)</f>
        <v>5.057886626637071</v>
      </c>
      <c r="Q3" s="2">
        <f>('[1]Qc, Summer, S2'!Q3*Main!$B$5)</f>
        <v>3.9468505410602828</v>
      </c>
      <c r="R3" s="2">
        <f>('[1]Qc, Summer, S2'!R3*Main!$B$5)</f>
        <v>-0.6406269263193386</v>
      </c>
      <c r="S3" s="2">
        <f>('[1]Qc, Summer, S2'!S3*Main!$B$5)</f>
        <v>-0.6406269263193386</v>
      </c>
      <c r="T3" s="2">
        <f>('[1]Qc, Summer, S2'!T3*Main!$B$5)</f>
        <v>-0.6406269263193386</v>
      </c>
      <c r="U3" s="2">
        <f>('[1]Qc, Summer, S2'!U3*Main!$B$5)</f>
        <v>-0.6406269263193386</v>
      </c>
      <c r="V3" s="2">
        <f>('[1]Qc, Summer, S2'!V3*Main!$B$5)</f>
        <v>-4.081246559346825</v>
      </c>
      <c r="W3" s="2">
        <f>('[1]Qc, Summer, S2'!W3*Main!$B$5)</f>
        <v>-5.2281197703559874</v>
      </c>
      <c r="X3" s="2">
        <f>('[1]Qc, Summer, S2'!X3*Main!$B$5)</f>
        <v>-14.618089850098324</v>
      </c>
      <c r="Y3" s="2">
        <f>('[1]Qc, Summer, S2'!Y3*Main!$B$5)</f>
        <v>-14.618089850098324</v>
      </c>
    </row>
    <row r="4" spans="1:25" x14ac:dyDescent="0.3">
      <c r="A4">
        <v>3</v>
      </c>
      <c r="B4" s="2">
        <f>('[1]Qc, Summer, S2'!B4*Main!$B$5)</f>
        <v>11.684392060631088</v>
      </c>
      <c r="C4" s="2">
        <f>('[1]Qc, Summer, S2'!C4*Main!$B$5)</f>
        <v>8.9525084815261753</v>
      </c>
      <c r="D4" s="2">
        <f>('[1]Qc, Summer, S2'!D4*Main!$B$5)</f>
        <v>8.4838427666271503</v>
      </c>
      <c r="E4" s="2">
        <f>('[1]Qc, Summer, S2'!E4*Main!$B$5)</f>
        <v>7.4095669804711859</v>
      </c>
      <c r="F4" s="2">
        <f>('[1]Qc, Summer, S2'!F4*Main!$B$5)</f>
        <v>8.5298780630853255</v>
      </c>
      <c r="G4" s="2">
        <f>('[1]Qc, Summer, S2'!G4*Main!$B$5)</f>
        <v>3.9588486149723336</v>
      </c>
      <c r="H4" s="2">
        <f>('[1]Qc, Summer, S2'!H4*Main!$B$5)</f>
        <v>6.9072662681949506</v>
      </c>
      <c r="I4" s="2">
        <f>('[1]Qc, Summer, S2'!I4*Main!$B$5)</f>
        <v>13.273128244376583</v>
      </c>
      <c r="J4" s="2">
        <f>('[1]Qc, Summer, S2'!J4*Main!$B$5)</f>
        <v>19.308349750586398</v>
      </c>
      <c r="K4" s="2">
        <f>('[1]Qc, Summer, S2'!K4*Main!$B$5)</f>
        <v>22.943689838898877</v>
      </c>
      <c r="L4" s="2">
        <f>('[1]Qc, Summer, S2'!L4*Main!$B$5)</f>
        <v>25.047446979479464</v>
      </c>
      <c r="M4" s="2">
        <f>('[1]Qc, Summer, S2'!M4*Main!$B$5)</f>
        <v>25.961901682006758</v>
      </c>
      <c r="N4" s="2">
        <f>('[1]Qc, Summer, S2'!N4*Main!$B$5)</f>
        <v>27.128888533194502</v>
      </c>
      <c r="O4" s="2">
        <f>('[1]Qc, Summer, S2'!O4*Main!$B$5)</f>
        <v>27.334143877975752</v>
      </c>
      <c r="P4" s="2">
        <f>('[1]Qc, Summer, S2'!P4*Main!$B$5)</f>
        <v>27.140126677076182</v>
      </c>
      <c r="Q4" s="2">
        <f>('[1]Qc, Summer, S2'!Q4*Main!$B$5)</f>
        <v>26.236670701168041</v>
      </c>
      <c r="R4" s="2">
        <f>('[1]Qc, Summer, S2'!R4*Main!$B$5)</f>
        <v>24.968377700438158</v>
      </c>
      <c r="S4" s="2">
        <f>('[1]Qc, Summer, S2'!S4*Main!$B$5)</f>
        <v>22.156623840208017</v>
      </c>
      <c r="T4" s="2">
        <f>('[1]Qc, Summer, S2'!T4*Main!$B$5)</f>
        <v>22.054115647403378</v>
      </c>
      <c r="U4" s="2">
        <f>('[1]Qc, Summer, S2'!U4*Main!$B$5)</f>
        <v>20.980121258747872</v>
      </c>
      <c r="V4" s="2">
        <f>('[1]Qc, Summer, S2'!V4*Main!$B$5)</f>
        <v>18.911441191415019</v>
      </c>
      <c r="W4" s="2">
        <f>('[1]Qc, Summer, S2'!W4*Main!$B$5)</f>
        <v>22.671124761717785</v>
      </c>
      <c r="X4" s="2">
        <f>('[1]Qc, Summer, S2'!X4*Main!$B$5)</f>
        <v>20.314152992774684</v>
      </c>
      <c r="Y4" s="2">
        <f>('[1]Qc, Summer, S2'!Y4*Main!$B$5)</f>
        <v>16.348012472007195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-10.882009045535636</v>
      </c>
      <c r="C2" s="2">
        <f>('[1]Qc, Summer, S3'!C2*Main!$B$5)</f>
        <v>-14.147947965100613</v>
      </c>
      <c r="D2" s="2">
        <f>('[1]Qc, Summer, S3'!D2*Main!$B$5)</f>
        <v>-15.593769003788212</v>
      </c>
      <c r="E2" s="2">
        <f>('[1]Qc, Summer, S3'!E2*Main!$B$5)</f>
        <v>-14.230131184214009</v>
      </c>
      <c r="F2" s="2">
        <f>('[1]Qc, Summer, S3'!F2*Main!$B$5)</f>
        <v>-15.252786098410583</v>
      </c>
      <c r="G2" s="2">
        <f>('[1]Qc, Summer, S3'!G2*Main!$B$5)</f>
        <v>-15.604346213834701</v>
      </c>
      <c r="H2" s="2">
        <f>('[1]Qc, Summer, S3'!H2*Main!$B$5)</f>
        <v>-13.524135269738309</v>
      </c>
      <c r="I2" s="2">
        <f>('[1]Qc, Summer, S3'!I2*Main!$B$5)</f>
        <v>-2.1040516045002486</v>
      </c>
      <c r="J2" s="2">
        <f>('[1]Qc, Summer, S3'!J2*Main!$B$5)</f>
        <v>6.7538508265697903</v>
      </c>
      <c r="K2" s="2">
        <f>('[1]Qc, Summer, S3'!K2*Main!$B$5)</f>
        <v>9.8322940093073843</v>
      </c>
      <c r="L2" s="2">
        <f>('[1]Qc, Summer, S3'!L2*Main!$B$5)</f>
        <v>7.7290621197327622</v>
      </c>
      <c r="M2" s="2">
        <f>('[1]Qc, Summer, S3'!M2*Main!$B$5)</f>
        <v>10.295322959119659</v>
      </c>
      <c r="N2" s="2">
        <f>('[1]Qc, Summer, S3'!N2*Main!$B$5)</f>
        <v>9.136274212842002</v>
      </c>
      <c r="O2" s="2">
        <f>('[1]Qc, Summer, S3'!O2*Main!$B$5)</f>
        <v>9.4113563336331065</v>
      </c>
      <c r="P2" s="2">
        <f>('[1]Qc, Summer, S3'!P2*Main!$B$5)</f>
        <v>4.8559144819639881</v>
      </c>
      <c r="Q2" s="2">
        <f>('[1]Qc, Summer, S3'!Q2*Main!$B$5)</f>
        <v>1.2276339620057186</v>
      </c>
      <c r="R2" s="2">
        <f>('[1]Qc, Summer, S3'!R2*Main!$B$5)</f>
        <v>2.7309964018974315</v>
      </c>
      <c r="S2" s="2">
        <f>('[1]Qc, Summer, S3'!S2*Main!$B$5)</f>
        <v>3.3172163853878431</v>
      </c>
      <c r="T2" s="2">
        <f>('[1]Qc, Summer, S3'!T2*Main!$B$5)</f>
        <v>1.9984979477991416</v>
      </c>
      <c r="U2" s="2">
        <f>('[1]Qc, Summer, S3'!U2*Main!$B$5)</f>
        <v>-0.37281273221353267</v>
      </c>
      <c r="V2" s="2">
        <f>('[1]Qc, Summer, S3'!V2*Main!$B$5)</f>
        <v>-1.4554010202620073</v>
      </c>
      <c r="W2" s="2">
        <f>('[1]Qc, Summer, S3'!W2*Main!$B$5)</f>
        <v>-1.0125601970751423</v>
      </c>
      <c r="X2" s="2">
        <f>('[1]Qc, Summer, S3'!X2*Main!$B$5)</f>
        <v>-4.8559781074046553</v>
      </c>
      <c r="Y2" s="2">
        <f>('[1]Qc, Summer, S3'!Y2*Main!$B$5)</f>
        <v>-6.5729617462825196</v>
      </c>
    </row>
    <row r="3" spans="1:25" x14ac:dyDescent="0.3">
      <c r="A3">
        <v>2</v>
      </c>
      <c r="B3" s="2">
        <f>('[1]Qc, Summer, S3'!B3*Main!$B$5)</f>
        <v>-13.772083924561588</v>
      </c>
      <c r="C3" s="2">
        <f>('[1]Qc, Summer, S3'!C3*Main!$B$5)</f>
        <v>-13.772083924561588</v>
      </c>
      <c r="D3" s="2">
        <f>('[1]Qc, Summer, S3'!D3*Main!$B$5)</f>
        <v>-15.988577253684369</v>
      </c>
      <c r="E3" s="2">
        <f>('[1]Qc, Summer, S3'!E3*Main!$B$5)</f>
        <v>-18.205070582807149</v>
      </c>
      <c r="F3" s="2">
        <f>('[1]Qc, Summer, S3'!F3*Main!$B$5)</f>
        <v>-18.205070582807149</v>
      </c>
      <c r="G3" s="2">
        <f>('[1]Qc, Summer, S3'!G3*Main!$B$5)</f>
        <v>-18.205070582807149</v>
      </c>
      <c r="H3" s="2">
        <f>('[1]Qc, Summer, S3'!H3*Main!$B$5)</f>
        <v>-7.259008490406524</v>
      </c>
      <c r="I3" s="2">
        <f>('[1]Qc, Summer, S3'!I3*Main!$B$5)</f>
        <v>1.5046650663290138</v>
      </c>
      <c r="J3" s="2">
        <f>('[1]Qc, Summer, S3'!J3*Main!$B$5)</f>
        <v>4.7782606712668434</v>
      </c>
      <c r="K3" s="2">
        <f>('[1]Qc, Summer, S3'!K3*Main!$B$5)</f>
        <v>4.7782606712668434</v>
      </c>
      <c r="L3" s="2">
        <f>('[1]Qc, Summer, S3'!L3*Main!$B$5)</f>
        <v>4.3690543555353143</v>
      </c>
      <c r="M3" s="2">
        <f>('[1]Qc, Summer, S3'!M3*Main!$B$5)</f>
        <v>6.1422402138234569</v>
      </c>
      <c r="N3" s="2">
        <f>('[1]Qc, Summer, S3'!N3*Main!$B$5)</f>
        <v>8.3246323878431276</v>
      </c>
      <c r="O3" s="2">
        <f>('[1]Qc, Summer, S3'!O3*Main!$B$5)</f>
        <v>8.5803909359179009</v>
      </c>
      <c r="P3" s="2">
        <f>('[1]Qc, Summer, S3'!P3*Main!$B$5)</f>
        <v>4.8123581496158536</v>
      </c>
      <c r="Q3" s="2">
        <f>('[1]Qc, Summer, S3'!Q3*Main!$B$5)</f>
        <v>3.7552558546010455</v>
      </c>
      <c r="R3" s="2">
        <f>('[1]Qc, Summer, S3'!R3*Main!$B$5)</f>
        <v>-0.6095285318378173</v>
      </c>
      <c r="S3" s="2">
        <f>('[1]Qc, Summer, S3'!S3*Main!$B$5)</f>
        <v>-0.6095285318378173</v>
      </c>
      <c r="T3" s="2">
        <f>('[1]Qc, Summer, S3'!T3*Main!$B$5)</f>
        <v>-0.6095285318378173</v>
      </c>
      <c r="U3" s="2">
        <f>('[1]Qc, Summer, S3'!U3*Main!$B$5)</f>
        <v>-0.6095285318378173</v>
      </c>
      <c r="V3" s="2">
        <f>('[1]Qc, Summer, S3'!V3*Main!$B$5)</f>
        <v>-3.8831277943299889</v>
      </c>
      <c r="W3" s="2">
        <f>('[1]Qc, Summer, S3'!W3*Main!$B$5)</f>
        <v>-4.9743275484940455</v>
      </c>
      <c r="X3" s="2">
        <f>('[1]Qc, Summer, S3'!X3*Main!$B$5)</f>
        <v>-13.908473837957629</v>
      </c>
      <c r="Y3" s="2">
        <f>('[1]Qc, Summer, S3'!Y3*Main!$B$5)</f>
        <v>-13.908473837957629</v>
      </c>
    </row>
    <row r="4" spans="1:25" x14ac:dyDescent="0.3">
      <c r="A4">
        <v>3</v>
      </c>
      <c r="B4" s="2">
        <f>('[1]Qc, Summer, S3'!B4*Main!$B$5)</f>
        <v>11.117188562542202</v>
      </c>
      <c r="C4" s="2">
        <f>('[1]Qc, Summer, S3'!C4*Main!$B$5)</f>
        <v>8.5179206911608283</v>
      </c>
      <c r="D4" s="2">
        <f>('[1]Qc, Summer, S3'!D4*Main!$B$5)</f>
        <v>8.0720057391209767</v>
      </c>
      <c r="E4" s="2">
        <f>('[1]Qc, Summer, S3'!E4*Main!$B$5)</f>
        <v>7.0498792629725839</v>
      </c>
      <c r="F4" s="2">
        <f>('[1]Qc, Summer, S3'!F4*Main!$B$5)</f>
        <v>8.1158063124501147</v>
      </c>
      <c r="G4" s="2">
        <f>('[1]Qc, Summer, S3'!G4*Main!$B$5)</f>
        <v>3.766671497740667</v>
      </c>
      <c r="H4" s="2">
        <f>('[1]Qc, Summer, S3'!H4*Main!$B$5)</f>
        <v>6.5719620804184968</v>
      </c>
      <c r="I4" s="2">
        <f>('[1]Qc, Summer, S3'!I4*Main!$B$5)</f>
        <v>12.628801630571893</v>
      </c>
      <c r="J4" s="2">
        <f>('[1]Qc, Summer, S3'!J4*Main!$B$5)</f>
        <v>18.371051219004531</v>
      </c>
      <c r="K4" s="2">
        <f>('[1]Qc, Summer, S3'!K4*Main!$B$5)</f>
        <v>21.82991848749602</v>
      </c>
      <c r="L4" s="2">
        <f>('[1]Qc, Summer, S3'!L4*Main!$B$5)</f>
        <v>23.831551495038713</v>
      </c>
      <c r="M4" s="2">
        <f>('[1]Qc, Summer, S3'!M4*Main!$B$5)</f>
        <v>24.701615192588953</v>
      </c>
      <c r="N4" s="2">
        <f>('[1]Qc, Summer, S3'!N4*Main!$B$5)</f>
        <v>25.811952196631658</v>
      </c>
      <c r="O4" s="2">
        <f>('[1]Qc, Summer, S3'!O4*Main!$B$5)</f>
        <v>26.007243689724504</v>
      </c>
      <c r="P4" s="2">
        <f>('[1]Qc, Summer, S3'!P4*Main!$B$5)</f>
        <v>25.822644799548208</v>
      </c>
      <c r="Q4" s="2">
        <f>('[1]Qc, Summer, S3'!Q4*Main!$B$5)</f>
        <v>24.963045909849203</v>
      </c>
      <c r="R4" s="2">
        <f>('[1]Qc, Summer, S3'!R4*Main!$B$5)</f>
        <v>23.756320530513975</v>
      </c>
      <c r="S4" s="2">
        <f>('[1]Qc, Summer, S3'!S4*Main!$B$5)</f>
        <v>21.08105957612025</v>
      </c>
      <c r="T4" s="2">
        <f>('[1]Qc, Summer, S3'!T4*Main!$B$5)</f>
        <v>20.983527509179911</v>
      </c>
      <c r="U4" s="2">
        <f>('[1]Qc, Summer, S3'!U4*Main!$B$5)</f>
        <v>19.961668770459145</v>
      </c>
      <c r="V4" s="2">
        <f>('[1]Qc, Summer, S3'!V4*Main!$B$5)</f>
        <v>17.993410065618171</v>
      </c>
      <c r="W4" s="2">
        <f>('[1]Qc, Summer, S3'!W4*Main!$B$5)</f>
        <v>21.570584724741192</v>
      </c>
      <c r="X4" s="2">
        <f>('[1]Qc, Summer, S3'!X4*Main!$B$5)</f>
        <v>19.328029061086593</v>
      </c>
      <c r="Y4" s="2">
        <f>('[1]Qc, Summer, S3'!Y4*Main!$B$5)</f>
        <v>15.554419633560242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-10.882009045535636</v>
      </c>
      <c r="C2" s="2">
        <f>('[1]Qc, Summer, S3'!C2*Main!$B$5)</f>
        <v>-14.147947965100613</v>
      </c>
      <c r="D2" s="2">
        <f>('[1]Qc, Summer, S3'!D2*Main!$B$5)</f>
        <v>-15.593769003788212</v>
      </c>
      <c r="E2" s="2">
        <f>('[1]Qc, Summer, S3'!E2*Main!$B$5)</f>
        <v>-14.230131184214009</v>
      </c>
      <c r="F2" s="2">
        <f>('[1]Qc, Summer, S3'!F2*Main!$B$5)</f>
        <v>-15.252786098410583</v>
      </c>
      <c r="G2" s="2">
        <f>('[1]Qc, Summer, S3'!G2*Main!$B$5)</f>
        <v>-15.604346213834701</v>
      </c>
      <c r="H2" s="2">
        <f>('[1]Qc, Summer, S3'!H2*Main!$B$5)</f>
        <v>-13.524135269738309</v>
      </c>
      <c r="I2" s="2">
        <f>('[1]Qc, Summer, S3'!I2*Main!$B$5)</f>
        <v>-2.1040516045002486</v>
      </c>
      <c r="J2" s="2">
        <f>('[1]Qc, Summer, S3'!J2*Main!$B$5)</f>
        <v>6.7538508265697903</v>
      </c>
      <c r="K2" s="2">
        <f>('[1]Qc, Summer, S3'!K2*Main!$B$5)</f>
        <v>9.8322940093073843</v>
      </c>
      <c r="L2" s="2">
        <f>('[1]Qc, Summer, S3'!L2*Main!$B$5)</f>
        <v>7.7290621197327622</v>
      </c>
      <c r="M2" s="2">
        <f>('[1]Qc, Summer, S3'!M2*Main!$B$5)</f>
        <v>10.295322959119659</v>
      </c>
      <c r="N2" s="2">
        <f>('[1]Qc, Summer, S3'!N2*Main!$B$5)</f>
        <v>9.136274212842002</v>
      </c>
      <c r="O2" s="2">
        <f>('[1]Qc, Summer, S3'!O2*Main!$B$5)</f>
        <v>9.4113563336331065</v>
      </c>
      <c r="P2" s="2">
        <f>('[1]Qc, Summer, S3'!P2*Main!$B$5)</f>
        <v>4.8559144819639881</v>
      </c>
      <c r="Q2" s="2">
        <f>('[1]Qc, Summer, S3'!Q2*Main!$B$5)</f>
        <v>1.2276339620057186</v>
      </c>
      <c r="R2" s="2">
        <f>('[1]Qc, Summer, S3'!R2*Main!$B$5)</f>
        <v>2.7309964018974315</v>
      </c>
      <c r="S2" s="2">
        <f>('[1]Qc, Summer, S3'!S2*Main!$B$5)</f>
        <v>3.3172163853878431</v>
      </c>
      <c r="T2" s="2">
        <f>('[1]Qc, Summer, S3'!T2*Main!$B$5)</f>
        <v>1.9984979477991416</v>
      </c>
      <c r="U2" s="2">
        <f>('[1]Qc, Summer, S3'!U2*Main!$B$5)</f>
        <v>-0.37281273221353267</v>
      </c>
      <c r="V2" s="2">
        <f>('[1]Qc, Summer, S3'!V2*Main!$B$5)</f>
        <v>-1.4554010202620073</v>
      </c>
      <c r="W2" s="2">
        <f>('[1]Qc, Summer, S3'!W2*Main!$B$5)</f>
        <v>-1.0125601970751423</v>
      </c>
      <c r="X2" s="2">
        <f>('[1]Qc, Summer, S3'!X2*Main!$B$5)</f>
        <v>-4.8559781074046553</v>
      </c>
      <c r="Y2" s="2">
        <f>('[1]Qc, Summer, S3'!Y2*Main!$B$5)</f>
        <v>-6.5729617462825196</v>
      </c>
    </row>
    <row r="3" spans="1:25" x14ac:dyDescent="0.3">
      <c r="A3">
        <v>2</v>
      </c>
      <c r="B3" s="2">
        <f>('[1]Qc, Summer, S3'!B3*Main!$B$5)</f>
        <v>-13.772083924561588</v>
      </c>
      <c r="C3" s="2">
        <f>('[1]Qc, Summer, S3'!C3*Main!$B$5)</f>
        <v>-13.772083924561588</v>
      </c>
      <c r="D3" s="2">
        <f>('[1]Qc, Summer, S3'!D3*Main!$B$5)</f>
        <v>-15.988577253684369</v>
      </c>
      <c r="E3" s="2">
        <f>('[1]Qc, Summer, S3'!E3*Main!$B$5)</f>
        <v>-18.205070582807149</v>
      </c>
      <c r="F3" s="2">
        <f>('[1]Qc, Summer, S3'!F3*Main!$B$5)</f>
        <v>-18.205070582807149</v>
      </c>
      <c r="G3" s="2">
        <f>('[1]Qc, Summer, S3'!G3*Main!$B$5)</f>
        <v>-18.205070582807149</v>
      </c>
      <c r="H3" s="2">
        <f>('[1]Qc, Summer, S3'!H3*Main!$B$5)</f>
        <v>-7.259008490406524</v>
      </c>
      <c r="I3" s="2">
        <f>('[1]Qc, Summer, S3'!I3*Main!$B$5)</f>
        <v>1.5046650663290138</v>
      </c>
      <c r="J3" s="2">
        <f>('[1]Qc, Summer, S3'!J3*Main!$B$5)</f>
        <v>4.7782606712668434</v>
      </c>
      <c r="K3" s="2">
        <f>('[1]Qc, Summer, S3'!K3*Main!$B$5)</f>
        <v>4.7782606712668434</v>
      </c>
      <c r="L3" s="2">
        <f>('[1]Qc, Summer, S3'!L3*Main!$B$5)</f>
        <v>4.3690543555353143</v>
      </c>
      <c r="M3" s="2">
        <f>('[1]Qc, Summer, S3'!M3*Main!$B$5)</f>
        <v>6.1422402138234569</v>
      </c>
      <c r="N3" s="2">
        <f>('[1]Qc, Summer, S3'!N3*Main!$B$5)</f>
        <v>8.3246323878431276</v>
      </c>
      <c r="O3" s="2">
        <f>('[1]Qc, Summer, S3'!O3*Main!$B$5)</f>
        <v>8.5803909359179009</v>
      </c>
      <c r="P3" s="2">
        <f>('[1]Qc, Summer, S3'!P3*Main!$B$5)</f>
        <v>4.8123581496158536</v>
      </c>
      <c r="Q3" s="2">
        <f>('[1]Qc, Summer, S3'!Q3*Main!$B$5)</f>
        <v>3.7552558546010455</v>
      </c>
      <c r="R3" s="2">
        <f>('[1]Qc, Summer, S3'!R3*Main!$B$5)</f>
        <v>-0.6095285318378173</v>
      </c>
      <c r="S3" s="2">
        <f>('[1]Qc, Summer, S3'!S3*Main!$B$5)</f>
        <v>-0.6095285318378173</v>
      </c>
      <c r="T3" s="2">
        <f>('[1]Qc, Summer, S3'!T3*Main!$B$5)</f>
        <v>-0.6095285318378173</v>
      </c>
      <c r="U3" s="2">
        <f>('[1]Qc, Summer, S3'!U3*Main!$B$5)</f>
        <v>-0.6095285318378173</v>
      </c>
      <c r="V3" s="2">
        <f>('[1]Qc, Summer, S3'!V3*Main!$B$5)</f>
        <v>-3.8831277943299889</v>
      </c>
      <c r="W3" s="2">
        <f>('[1]Qc, Summer, S3'!W3*Main!$B$5)</f>
        <v>-4.9743275484940455</v>
      </c>
      <c r="X3" s="2">
        <f>('[1]Qc, Summer, S3'!X3*Main!$B$5)</f>
        <v>-13.908473837957629</v>
      </c>
      <c r="Y3" s="2">
        <f>('[1]Qc, Summer, S3'!Y3*Main!$B$5)</f>
        <v>-13.908473837957629</v>
      </c>
    </row>
    <row r="4" spans="1:25" x14ac:dyDescent="0.3">
      <c r="A4">
        <v>3</v>
      </c>
      <c r="B4" s="2">
        <f>('[1]Qc, Summer, S3'!B4*Main!$B$5)</f>
        <v>11.117188562542202</v>
      </c>
      <c r="C4" s="2">
        <f>('[1]Qc, Summer, S3'!C4*Main!$B$5)</f>
        <v>8.5179206911608283</v>
      </c>
      <c r="D4" s="2">
        <f>('[1]Qc, Summer, S3'!D4*Main!$B$5)</f>
        <v>8.0720057391209767</v>
      </c>
      <c r="E4" s="2">
        <f>('[1]Qc, Summer, S3'!E4*Main!$B$5)</f>
        <v>7.0498792629725839</v>
      </c>
      <c r="F4" s="2">
        <f>('[1]Qc, Summer, S3'!F4*Main!$B$5)</f>
        <v>8.1158063124501147</v>
      </c>
      <c r="G4" s="2">
        <f>('[1]Qc, Summer, S3'!G4*Main!$B$5)</f>
        <v>3.766671497740667</v>
      </c>
      <c r="H4" s="2">
        <f>('[1]Qc, Summer, S3'!H4*Main!$B$5)</f>
        <v>6.5719620804184968</v>
      </c>
      <c r="I4" s="2">
        <f>('[1]Qc, Summer, S3'!I4*Main!$B$5)</f>
        <v>12.628801630571893</v>
      </c>
      <c r="J4" s="2">
        <f>('[1]Qc, Summer, S3'!J4*Main!$B$5)</f>
        <v>18.371051219004531</v>
      </c>
      <c r="K4" s="2">
        <f>('[1]Qc, Summer, S3'!K4*Main!$B$5)</f>
        <v>21.82991848749602</v>
      </c>
      <c r="L4" s="2">
        <f>('[1]Qc, Summer, S3'!L4*Main!$B$5)</f>
        <v>23.831551495038713</v>
      </c>
      <c r="M4" s="2">
        <f>('[1]Qc, Summer, S3'!M4*Main!$B$5)</f>
        <v>24.701615192588953</v>
      </c>
      <c r="N4" s="2">
        <f>('[1]Qc, Summer, S3'!N4*Main!$B$5)</f>
        <v>25.811952196631658</v>
      </c>
      <c r="O4" s="2">
        <f>('[1]Qc, Summer, S3'!O4*Main!$B$5)</f>
        <v>26.007243689724504</v>
      </c>
      <c r="P4" s="2">
        <f>('[1]Qc, Summer, S3'!P4*Main!$B$5)</f>
        <v>25.822644799548208</v>
      </c>
      <c r="Q4" s="2">
        <f>('[1]Qc, Summer, S3'!Q4*Main!$B$5)</f>
        <v>24.963045909849203</v>
      </c>
      <c r="R4" s="2">
        <f>('[1]Qc, Summer, S3'!R4*Main!$B$5)</f>
        <v>23.756320530513975</v>
      </c>
      <c r="S4" s="2">
        <f>('[1]Qc, Summer, S3'!S4*Main!$B$5)</f>
        <v>21.08105957612025</v>
      </c>
      <c r="T4" s="2">
        <f>('[1]Qc, Summer, S3'!T4*Main!$B$5)</f>
        <v>20.983527509179911</v>
      </c>
      <c r="U4" s="2">
        <f>('[1]Qc, Summer, S3'!U4*Main!$B$5)</f>
        <v>19.961668770459145</v>
      </c>
      <c r="V4" s="2">
        <f>('[1]Qc, Summer, S3'!V4*Main!$B$5)</f>
        <v>17.993410065618171</v>
      </c>
      <c r="W4" s="2">
        <f>('[1]Qc, Summer, S3'!W4*Main!$B$5)</f>
        <v>21.570584724741192</v>
      </c>
      <c r="X4" s="2">
        <f>('[1]Qc, Summer, S3'!X4*Main!$B$5)</f>
        <v>19.328029061086593</v>
      </c>
      <c r="Y4" s="2">
        <f>('[1]Qc, Summer, S3'!Y4*Main!$B$5)</f>
        <v>15.554419633560242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-10.882009045535636</v>
      </c>
      <c r="C2" s="2">
        <f>('[1]Qc, Summer, S3'!C2*Main!$B$5)</f>
        <v>-14.147947965100613</v>
      </c>
      <c r="D2" s="2">
        <f>('[1]Qc, Summer, S3'!D2*Main!$B$5)</f>
        <v>-15.593769003788212</v>
      </c>
      <c r="E2" s="2">
        <f>('[1]Qc, Summer, S3'!E2*Main!$B$5)</f>
        <v>-14.230131184214009</v>
      </c>
      <c r="F2" s="2">
        <f>('[1]Qc, Summer, S3'!F2*Main!$B$5)</f>
        <v>-15.252786098410583</v>
      </c>
      <c r="G2" s="2">
        <f>('[1]Qc, Summer, S3'!G2*Main!$B$5)</f>
        <v>-15.604346213834701</v>
      </c>
      <c r="H2" s="2">
        <f>('[1]Qc, Summer, S3'!H2*Main!$B$5)</f>
        <v>-13.524135269738309</v>
      </c>
      <c r="I2" s="2">
        <f>('[1]Qc, Summer, S3'!I2*Main!$B$5)</f>
        <v>-2.1040516045002486</v>
      </c>
      <c r="J2" s="2">
        <f>('[1]Qc, Summer, S3'!J2*Main!$B$5)</f>
        <v>6.7538508265697903</v>
      </c>
      <c r="K2" s="2">
        <f>('[1]Qc, Summer, S3'!K2*Main!$B$5)</f>
        <v>9.8322940093073843</v>
      </c>
      <c r="L2" s="2">
        <f>('[1]Qc, Summer, S3'!L2*Main!$B$5)</f>
        <v>7.7290621197327622</v>
      </c>
      <c r="M2" s="2">
        <f>('[1]Qc, Summer, S3'!M2*Main!$B$5)</f>
        <v>10.295322959119659</v>
      </c>
      <c r="N2" s="2">
        <f>('[1]Qc, Summer, S3'!N2*Main!$B$5)</f>
        <v>9.136274212842002</v>
      </c>
      <c r="O2" s="2">
        <f>('[1]Qc, Summer, S3'!O2*Main!$B$5)</f>
        <v>9.4113563336331065</v>
      </c>
      <c r="P2" s="2">
        <f>('[1]Qc, Summer, S3'!P2*Main!$B$5)</f>
        <v>4.8559144819639881</v>
      </c>
      <c r="Q2" s="2">
        <f>('[1]Qc, Summer, S3'!Q2*Main!$B$5)</f>
        <v>1.2276339620057186</v>
      </c>
      <c r="R2" s="2">
        <f>('[1]Qc, Summer, S3'!R2*Main!$B$5)</f>
        <v>2.7309964018974315</v>
      </c>
      <c r="S2" s="2">
        <f>('[1]Qc, Summer, S3'!S2*Main!$B$5)</f>
        <v>3.3172163853878431</v>
      </c>
      <c r="T2" s="2">
        <f>('[1]Qc, Summer, S3'!T2*Main!$B$5)</f>
        <v>1.9984979477991416</v>
      </c>
      <c r="U2" s="2">
        <f>('[1]Qc, Summer, S3'!U2*Main!$B$5)</f>
        <v>-0.37281273221353267</v>
      </c>
      <c r="V2" s="2">
        <f>('[1]Qc, Summer, S3'!V2*Main!$B$5)</f>
        <v>-1.4554010202620073</v>
      </c>
      <c r="W2" s="2">
        <f>('[1]Qc, Summer, S3'!W2*Main!$B$5)</f>
        <v>-1.0125601970751423</v>
      </c>
      <c r="X2" s="2">
        <f>('[1]Qc, Summer, S3'!X2*Main!$B$5)</f>
        <v>-4.8559781074046553</v>
      </c>
      <c r="Y2" s="2">
        <f>('[1]Qc, Summer, S3'!Y2*Main!$B$5)</f>
        <v>-6.5729617462825196</v>
      </c>
    </row>
    <row r="3" spans="1:25" x14ac:dyDescent="0.3">
      <c r="A3">
        <v>2</v>
      </c>
      <c r="B3" s="2">
        <f>('[1]Qc, Summer, S3'!B3*Main!$B$5)</f>
        <v>-13.772083924561588</v>
      </c>
      <c r="C3" s="2">
        <f>('[1]Qc, Summer, S3'!C3*Main!$B$5)</f>
        <v>-13.772083924561588</v>
      </c>
      <c r="D3" s="2">
        <f>('[1]Qc, Summer, S3'!D3*Main!$B$5)</f>
        <v>-15.988577253684369</v>
      </c>
      <c r="E3" s="2">
        <f>('[1]Qc, Summer, S3'!E3*Main!$B$5)</f>
        <v>-18.205070582807149</v>
      </c>
      <c r="F3" s="2">
        <f>('[1]Qc, Summer, S3'!F3*Main!$B$5)</f>
        <v>-18.205070582807149</v>
      </c>
      <c r="G3" s="2">
        <f>('[1]Qc, Summer, S3'!G3*Main!$B$5)</f>
        <v>-18.205070582807149</v>
      </c>
      <c r="H3" s="2">
        <f>('[1]Qc, Summer, S3'!H3*Main!$B$5)</f>
        <v>-7.259008490406524</v>
      </c>
      <c r="I3" s="2">
        <f>('[1]Qc, Summer, S3'!I3*Main!$B$5)</f>
        <v>1.5046650663290138</v>
      </c>
      <c r="J3" s="2">
        <f>('[1]Qc, Summer, S3'!J3*Main!$B$5)</f>
        <v>4.7782606712668434</v>
      </c>
      <c r="K3" s="2">
        <f>('[1]Qc, Summer, S3'!K3*Main!$B$5)</f>
        <v>4.7782606712668434</v>
      </c>
      <c r="L3" s="2">
        <f>('[1]Qc, Summer, S3'!L3*Main!$B$5)</f>
        <v>4.3690543555353143</v>
      </c>
      <c r="M3" s="2">
        <f>('[1]Qc, Summer, S3'!M3*Main!$B$5)</f>
        <v>6.1422402138234569</v>
      </c>
      <c r="N3" s="2">
        <f>('[1]Qc, Summer, S3'!N3*Main!$B$5)</f>
        <v>8.3246323878431276</v>
      </c>
      <c r="O3" s="2">
        <f>('[1]Qc, Summer, S3'!O3*Main!$B$5)</f>
        <v>8.5803909359179009</v>
      </c>
      <c r="P3" s="2">
        <f>('[1]Qc, Summer, S3'!P3*Main!$B$5)</f>
        <v>4.8123581496158536</v>
      </c>
      <c r="Q3" s="2">
        <f>('[1]Qc, Summer, S3'!Q3*Main!$B$5)</f>
        <v>3.7552558546010455</v>
      </c>
      <c r="R3" s="2">
        <f>('[1]Qc, Summer, S3'!R3*Main!$B$5)</f>
        <v>-0.6095285318378173</v>
      </c>
      <c r="S3" s="2">
        <f>('[1]Qc, Summer, S3'!S3*Main!$B$5)</f>
        <v>-0.6095285318378173</v>
      </c>
      <c r="T3" s="2">
        <f>('[1]Qc, Summer, S3'!T3*Main!$B$5)</f>
        <v>-0.6095285318378173</v>
      </c>
      <c r="U3" s="2">
        <f>('[1]Qc, Summer, S3'!U3*Main!$B$5)</f>
        <v>-0.6095285318378173</v>
      </c>
      <c r="V3" s="2">
        <f>('[1]Qc, Summer, S3'!V3*Main!$B$5)</f>
        <v>-3.8831277943299889</v>
      </c>
      <c r="W3" s="2">
        <f>('[1]Qc, Summer, S3'!W3*Main!$B$5)</f>
        <v>-4.9743275484940455</v>
      </c>
      <c r="X3" s="2">
        <f>('[1]Qc, Summer, S3'!X3*Main!$B$5)</f>
        <v>-13.908473837957629</v>
      </c>
      <c r="Y3" s="2">
        <f>('[1]Qc, Summer, S3'!Y3*Main!$B$5)</f>
        <v>-13.908473837957629</v>
      </c>
    </row>
    <row r="4" spans="1:25" x14ac:dyDescent="0.3">
      <c r="A4">
        <v>3</v>
      </c>
      <c r="B4" s="2">
        <f>('[1]Qc, Summer, S3'!B4*Main!$B$5)</f>
        <v>11.117188562542202</v>
      </c>
      <c r="C4" s="2">
        <f>('[1]Qc, Summer, S3'!C4*Main!$B$5)</f>
        <v>8.5179206911608283</v>
      </c>
      <c r="D4" s="2">
        <f>('[1]Qc, Summer, S3'!D4*Main!$B$5)</f>
        <v>8.0720057391209767</v>
      </c>
      <c r="E4" s="2">
        <f>('[1]Qc, Summer, S3'!E4*Main!$B$5)</f>
        <v>7.0498792629725839</v>
      </c>
      <c r="F4" s="2">
        <f>('[1]Qc, Summer, S3'!F4*Main!$B$5)</f>
        <v>8.1158063124501147</v>
      </c>
      <c r="G4" s="2">
        <f>('[1]Qc, Summer, S3'!G4*Main!$B$5)</f>
        <v>3.766671497740667</v>
      </c>
      <c r="H4" s="2">
        <f>('[1]Qc, Summer, S3'!H4*Main!$B$5)</f>
        <v>6.5719620804184968</v>
      </c>
      <c r="I4" s="2">
        <f>('[1]Qc, Summer, S3'!I4*Main!$B$5)</f>
        <v>12.628801630571893</v>
      </c>
      <c r="J4" s="2">
        <f>('[1]Qc, Summer, S3'!J4*Main!$B$5)</f>
        <v>18.371051219004531</v>
      </c>
      <c r="K4" s="2">
        <f>('[1]Qc, Summer, S3'!K4*Main!$B$5)</f>
        <v>21.82991848749602</v>
      </c>
      <c r="L4" s="2">
        <f>('[1]Qc, Summer, S3'!L4*Main!$B$5)</f>
        <v>23.831551495038713</v>
      </c>
      <c r="M4" s="2">
        <f>('[1]Qc, Summer, S3'!M4*Main!$B$5)</f>
        <v>24.701615192588953</v>
      </c>
      <c r="N4" s="2">
        <f>('[1]Qc, Summer, S3'!N4*Main!$B$5)</f>
        <v>25.811952196631658</v>
      </c>
      <c r="O4" s="2">
        <f>('[1]Qc, Summer, S3'!O4*Main!$B$5)</f>
        <v>26.007243689724504</v>
      </c>
      <c r="P4" s="2">
        <f>('[1]Qc, Summer, S3'!P4*Main!$B$5)</f>
        <v>25.822644799548208</v>
      </c>
      <c r="Q4" s="2">
        <f>('[1]Qc, Summer, S3'!Q4*Main!$B$5)</f>
        <v>24.963045909849203</v>
      </c>
      <c r="R4" s="2">
        <f>('[1]Qc, Summer, S3'!R4*Main!$B$5)</f>
        <v>23.756320530513975</v>
      </c>
      <c r="S4" s="2">
        <f>('[1]Qc, Summer, S3'!S4*Main!$B$5)</f>
        <v>21.08105957612025</v>
      </c>
      <c r="T4" s="2">
        <f>('[1]Qc, Summer, S3'!T4*Main!$B$5)</f>
        <v>20.983527509179911</v>
      </c>
      <c r="U4" s="2">
        <f>('[1]Qc, Summer, S3'!U4*Main!$B$5)</f>
        <v>19.961668770459145</v>
      </c>
      <c r="V4" s="2">
        <f>('[1]Qc, Summer, S3'!V4*Main!$B$5)</f>
        <v>17.993410065618171</v>
      </c>
      <c r="W4" s="2">
        <f>('[1]Qc, Summer, S3'!W4*Main!$B$5)</f>
        <v>21.570584724741192</v>
      </c>
      <c r="X4" s="2">
        <f>('[1]Qc, Summer, S3'!X4*Main!$B$5)</f>
        <v>19.328029061086593</v>
      </c>
      <c r="Y4" s="2">
        <f>('[1]Qc, Summer, S3'!Y4*Main!$B$5)</f>
        <v>15.554419633560242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2.2332448093209263</v>
      </c>
      <c r="C2" s="2">
        <f>('FL Characterization'!C$4-'FL Characterization'!C$2)*VLOOKUP($A2,'FL Ratio'!$A$2:$B$21,2,FALSE)</f>
        <v>2.4585191214535076</v>
      </c>
      <c r="D2" s="2">
        <f>('FL Characterization'!D$4-'FL Characterization'!D$2)*VLOOKUP($A2,'FL Ratio'!$A$2:$B$21,2,FALSE)</f>
        <v>3.1999961679010114</v>
      </c>
      <c r="E2" s="2">
        <f>('FL Characterization'!E$4-'FL Characterization'!E$2)*VLOOKUP($A2,'FL Ratio'!$A$2:$B$21,2,FALSE)</f>
        <v>3.668666934648114</v>
      </c>
      <c r="F2" s="2">
        <f>('FL Characterization'!F$4-'FL Characterization'!F$2)*VLOOKUP($A2,'FL Ratio'!$A$2:$B$21,2,FALSE)</f>
        <v>4.3135183254901186</v>
      </c>
      <c r="G2" s="2">
        <f>('FL Characterization'!G$4-'FL Characterization'!G$2)*VLOOKUP($A2,'FL Ratio'!$A$2:$B$21,2,FALSE)</f>
        <v>5.0421923566005518</v>
      </c>
      <c r="H2" s="2">
        <f>('FL Characterization'!H$4-'FL Characterization'!H$2)*VLOOKUP($A2,'FL Ratio'!$A$2:$B$21,2,FALSE)</f>
        <v>4.4946624374149717</v>
      </c>
      <c r="I2" s="2">
        <f>('FL Characterization'!I$4-'FL Characterization'!I$2)*VLOOKUP($A2,'FL Ratio'!$A$2:$B$21,2,FALSE)</f>
        <v>6.4256138290550719</v>
      </c>
      <c r="J2" s="2">
        <f>('FL Characterization'!J$4-'FL Characterization'!J$2)*VLOOKUP($A2,'FL Ratio'!$A$2:$B$21,2,FALSE)</f>
        <v>5.8947834950917581</v>
      </c>
      <c r="K2" s="2">
        <f>('FL Characterization'!K$4-'FL Characterization'!K$2)*VLOOKUP($A2,'FL Ratio'!$A$2:$B$21,2,FALSE)</f>
        <v>6.6578153765391122</v>
      </c>
      <c r="L2" s="2">
        <f>('FL Characterization'!L$4-'FL Characterization'!L$2)*VLOOKUP($A2,'FL Ratio'!$A$2:$B$21,2,FALSE)</f>
        <v>6.8424540312975139</v>
      </c>
      <c r="M2" s="2">
        <f>('FL Characterization'!M$4-'FL Characterization'!M$2)*VLOOKUP($A2,'FL Ratio'!$A$2:$B$21,2,FALSE)</f>
        <v>6.3469402275635094</v>
      </c>
      <c r="N2" s="2">
        <f>('FL Characterization'!N$4-'FL Characterization'!N$2)*VLOOKUP($A2,'FL Ratio'!$A$2:$B$21,2,FALSE)</f>
        <v>5.9874198053386047</v>
      </c>
      <c r="O2" s="2">
        <f>('FL Characterization'!O$4-'FL Characterization'!O$2)*VLOOKUP($A2,'FL Ratio'!$A$2:$B$21,2,FALSE)</f>
        <v>5.512285680607329</v>
      </c>
      <c r="P2" s="2">
        <f>('FL Characterization'!P$4-'FL Characterization'!P$2)*VLOOKUP($A2,'FL Ratio'!$A$2:$B$21,2,FALSE)</f>
        <v>5.0774161113564045</v>
      </c>
      <c r="Q2" s="2">
        <f>('FL Characterization'!Q$4-'FL Characterization'!Q$2)*VLOOKUP($A2,'FL Ratio'!$A$2:$B$21,2,FALSE)</f>
        <v>4.5696095573893443</v>
      </c>
      <c r="R2" s="2">
        <f>('FL Characterization'!R$4-'FL Characterization'!R$2)*VLOOKUP($A2,'FL Ratio'!$A$2:$B$21,2,FALSE)</f>
        <v>4.522046664663705</v>
      </c>
      <c r="S2" s="2">
        <f>('FL Characterization'!S$4-'FL Characterization'!S$2)*VLOOKUP($A2,'FL Ratio'!$A$2:$B$21,2,FALSE)</f>
        <v>3.5828650842792689</v>
      </c>
      <c r="T2" s="2">
        <f>('FL Characterization'!T$4-'FL Characterization'!T$2)*VLOOKUP($A2,'FL Ratio'!$A$2:$B$21,2,FALSE)</f>
        <v>2.9643928530568804</v>
      </c>
      <c r="U2" s="2">
        <f>('FL Characterization'!U$4-'FL Characterization'!U$2)*VLOOKUP($A2,'FL Ratio'!$A$2:$B$21,2,FALSE)</f>
        <v>3.5176439264389772</v>
      </c>
      <c r="V2" s="2">
        <f>('FL Characterization'!V$4-'FL Characterization'!V$2)*VLOOKUP($A2,'FL Ratio'!$A$2:$B$21,2,FALSE)</f>
        <v>3.584133015749849</v>
      </c>
      <c r="W2" s="2">
        <f>('FL Characterization'!W$4-'FL Characterization'!W$2)*VLOOKUP($A2,'FL Ratio'!$A$2:$B$21,2,FALSE)</f>
        <v>4.0959443776544706</v>
      </c>
      <c r="X2" s="2">
        <f>('FL Characterization'!X$4-'FL Characterization'!X$2)*VLOOKUP($A2,'FL Ratio'!$A$2:$B$21,2,FALSE)</f>
        <v>1.9887968993405585</v>
      </c>
      <c r="Y2" s="2">
        <f>('FL Characterization'!Y$4-'FL Characterization'!Y$2)*VLOOKUP($A2,'FL Ratio'!$A$2:$B$21,2,FALSE)</f>
        <v>1.9094738695347975</v>
      </c>
    </row>
    <row r="3" spans="1:25" x14ac:dyDescent="0.3">
      <c r="A3">
        <v>2</v>
      </c>
      <c r="B3" s="2">
        <f>('FL Characterization'!B$4-'FL Characterization'!B$2)*VLOOKUP($A3,'FL Ratio'!$A$2:$B$21,2,FALSE)</f>
        <v>2.2332448093209263</v>
      </c>
      <c r="C3" s="2">
        <f>('FL Characterization'!C$4-'FL Characterization'!C$2)*VLOOKUP($A3,'FL Ratio'!$A$2:$B$21,2,FALSE)</f>
        <v>2.4585191214535076</v>
      </c>
      <c r="D3" s="2">
        <f>('FL Characterization'!D$4-'FL Characterization'!D$2)*VLOOKUP($A3,'FL Ratio'!$A$2:$B$21,2,FALSE)</f>
        <v>3.1999961679010114</v>
      </c>
      <c r="E3" s="2">
        <f>('FL Characterization'!E$4-'FL Characterization'!E$2)*VLOOKUP($A3,'FL Ratio'!$A$2:$B$21,2,FALSE)</f>
        <v>3.668666934648114</v>
      </c>
      <c r="F3" s="2">
        <f>('FL Characterization'!F$4-'FL Characterization'!F$2)*VLOOKUP($A3,'FL Ratio'!$A$2:$B$21,2,FALSE)</f>
        <v>4.3135183254901186</v>
      </c>
      <c r="G3" s="2">
        <f>('FL Characterization'!G$4-'FL Characterization'!G$2)*VLOOKUP($A3,'FL Ratio'!$A$2:$B$21,2,FALSE)</f>
        <v>5.0421923566005518</v>
      </c>
      <c r="H3" s="2">
        <f>('FL Characterization'!H$4-'FL Characterization'!H$2)*VLOOKUP($A3,'FL Ratio'!$A$2:$B$21,2,FALSE)</f>
        <v>4.4946624374149717</v>
      </c>
      <c r="I3" s="2">
        <f>('FL Characterization'!I$4-'FL Characterization'!I$2)*VLOOKUP($A3,'FL Ratio'!$A$2:$B$21,2,FALSE)</f>
        <v>6.4256138290550719</v>
      </c>
      <c r="J3" s="2">
        <f>('FL Characterization'!J$4-'FL Characterization'!J$2)*VLOOKUP($A3,'FL Ratio'!$A$2:$B$21,2,FALSE)</f>
        <v>5.8947834950917581</v>
      </c>
      <c r="K3" s="2">
        <f>('FL Characterization'!K$4-'FL Characterization'!K$2)*VLOOKUP($A3,'FL Ratio'!$A$2:$B$21,2,FALSE)</f>
        <v>6.6578153765391122</v>
      </c>
      <c r="L3" s="2">
        <f>('FL Characterization'!L$4-'FL Characterization'!L$2)*VLOOKUP($A3,'FL Ratio'!$A$2:$B$21,2,FALSE)</f>
        <v>6.8424540312975139</v>
      </c>
      <c r="M3" s="2">
        <f>('FL Characterization'!M$4-'FL Characterization'!M$2)*VLOOKUP($A3,'FL Ratio'!$A$2:$B$21,2,FALSE)</f>
        <v>6.3469402275635094</v>
      </c>
      <c r="N3" s="2">
        <f>('FL Characterization'!N$4-'FL Characterization'!N$2)*VLOOKUP($A3,'FL Ratio'!$A$2:$B$21,2,FALSE)</f>
        <v>5.9874198053386047</v>
      </c>
      <c r="O3" s="2">
        <f>('FL Characterization'!O$4-'FL Characterization'!O$2)*VLOOKUP($A3,'FL Ratio'!$A$2:$B$21,2,FALSE)</f>
        <v>5.512285680607329</v>
      </c>
      <c r="P3" s="2">
        <f>('FL Characterization'!P$4-'FL Characterization'!P$2)*VLOOKUP($A3,'FL Ratio'!$A$2:$B$21,2,FALSE)</f>
        <v>5.0774161113564045</v>
      </c>
      <c r="Q3" s="2">
        <f>('FL Characterization'!Q$4-'FL Characterization'!Q$2)*VLOOKUP($A3,'FL Ratio'!$A$2:$B$21,2,FALSE)</f>
        <v>4.5696095573893443</v>
      </c>
      <c r="R3" s="2">
        <f>('FL Characterization'!R$4-'FL Characterization'!R$2)*VLOOKUP($A3,'FL Ratio'!$A$2:$B$21,2,FALSE)</f>
        <v>4.522046664663705</v>
      </c>
      <c r="S3" s="2">
        <f>('FL Characterization'!S$4-'FL Characterization'!S$2)*VLOOKUP($A3,'FL Ratio'!$A$2:$B$21,2,FALSE)</f>
        <v>3.5828650842792689</v>
      </c>
      <c r="T3" s="2">
        <f>('FL Characterization'!T$4-'FL Characterization'!T$2)*VLOOKUP($A3,'FL Ratio'!$A$2:$B$21,2,FALSE)</f>
        <v>2.9643928530568804</v>
      </c>
      <c r="U3" s="2">
        <f>('FL Characterization'!U$4-'FL Characterization'!U$2)*VLOOKUP($A3,'FL Ratio'!$A$2:$B$21,2,FALSE)</f>
        <v>3.5176439264389772</v>
      </c>
      <c r="V3" s="2">
        <f>('FL Characterization'!V$4-'FL Characterization'!V$2)*VLOOKUP($A3,'FL Ratio'!$A$2:$B$21,2,FALSE)</f>
        <v>3.584133015749849</v>
      </c>
      <c r="W3" s="2">
        <f>('FL Characterization'!W$4-'FL Characterization'!W$2)*VLOOKUP($A3,'FL Ratio'!$A$2:$B$21,2,FALSE)</f>
        <v>4.0959443776544706</v>
      </c>
      <c r="X3" s="2">
        <f>('FL Characterization'!X$4-'FL Characterization'!X$2)*VLOOKUP($A3,'FL Ratio'!$A$2:$B$21,2,FALSE)</f>
        <v>1.9887968993405585</v>
      </c>
      <c r="Y3" s="2">
        <f>('FL Characterization'!Y$4-'FL Characterization'!Y$2)*VLOOKUP($A3,'FL Ratio'!$A$2:$B$21,2,FALSE)</f>
        <v>1.9094738695347975</v>
      </c>
    </row>
    <row r="4" spans="1:25" x14ac:dyDescent="0.3">
      <c r="A4">
        <v>3</v>
      </c>
      <c r="B4" s="2">
        <f>('FL Characterization'!B$4-'FL Characterization'!B$2)*VLOOKUP($A4,'FL Ratio'!$A$2:$B$21,2,FALSE)</f>
        <v>2.2332448093209263</v>
      </c>
      <c r="C4" s="2">
        <f>('FL Characterization'!C$4-'FL Characterization'!C$2)*VLOOKUP($A4,'FL Ratio'!$A$2:$B$21,2,FALSE)</f>
        <v>2.4585191214535076</v>
      </c>
      <c r="D4" s="2">
        <f>('FL Characterization'!D$4-'FL Characterization'!D$2)*VLOOKUP($A4,'FL Ratio'!$A$2:$B$21,2,FALSE)</f>
        <v>3.1999961679010114</v>
      </c>
      <c r="E4" s="2">
        <f>('FL Characterization'!E$4-'FL Characterization'!E$2)*VLOOKUP($A4,'FL Ratio'!$A$2:$B$21,2,FALSE)</f>
        <v>3.668666934648114</v>
      </c>
      <c r="F4" s="2">
        <f>('FL Characterization'!F$4-'FL Characterization'!F$2)*VLOOKUP($A4,'FL Ratio'!$A$2:$B$21,2,FALSE)</f>
        <v>4.3135183254901186</v>
      </c>
      <c r="G4" s="2">
        <f>('FL Characterization'!G$4-'FL Characterization'!G$2)*VLOOKUP($A4,'FL Ratio'!$A$2:$B$21,2,FALSE)</f>
        <v>5.0421923566005518</v>
      </c>
      <c r="H4" s="2">
        <f>('FL Characterization'!H$4-'FL Characterization'!H$2)*VLOOKUP($A4,'FL Ratio'!$A$2:$B$21,2,FALSE)</f>
        <v>4.4946624374149717</v>
      </c>
      <c r="I4" s="2">
        <f>('FL Characterization'!I$4-'FL Characterization'!I$2)*VLOOKUP($A4,'FL Ratio'!$A$2:$B$21,2,FALSE)</f>
        <v>6.4256138290550719</v>
      </c>
      <c r="J4" s="2">
        <f>('FL Characterization'!J$4-'FL Characterization'!J$2)*VLOOKUP($A4,'FL Ratio'!$A$2:$B$21,2,FALSE)</f>
        <v>5.8947834950917581</v>
      </c>
      <c r="K4" s="2">
        <f>('FL Characterization'!K$4-'FL Characterization'!K$2)*VLOOKUP($A4,'FL Ratio'!$A$2:$B$21,2,FALSE)</f>
        <v>6.6578153765391122</v>
      </c>
      <c r="L4" s="2">
        <f>('FL Characterization'!L$4-'FL Characterization'!L$2)*VLOOKUP($A4,'FL Ratio'!$A$2:$B$21,2,FALSE)</f>
        <v>6.8424540312975139</v>
      </c>
      <c r="M4" s="2">
        <f>('FL Characterization'!M$4-'FL Characterization'!M$2)*VLOOKUP($A4,'FL Ratio'!$A$2:$B$21,2,FALSE)</f>
        <v>6.3469402275635094</v>
      </c>
      <c r="N4" s="2">
        <f>('FL Characterization'!N$4-'FL Characterization'!N$2)*VLOOKUP($A4,'FL Ratio'!$A$2:$B$21,2,FALSE)</f>
        <v>5.9874198053386047</v>
      </c>
      <c r="O4" s="2">
        <f>('FL Characterization'!O$4-'FL Characterization'!O$2)*VLOOKUP($A4,'FL Ratio'!$A$2:$B$21,2,FALSE)</f>
        <v>5.512285680607329</v>
      </c>
      <c r="P4" s="2">
        <f>('FL Characterization'!P$4-'FL Characterization'!P$2)*VLOOKUP($A4,'FL Ratio'!$A$2:$B$21,2,FALSE)</f>
        <v>5.0774161113564045</v>
      </c>
      <c r="Q4" s="2">
        <f>('FL Characterization'!Q$4-'FL Characterization'!Q$2)*VLOOKUP($A4,'FL Ratio'!$A$2:$B$21,2,FALSE)</f>
        <v>4.5696095573893443</v>
      </c>
      <c r="R4" s="2">
        <f>('FL Characterization'!R$4-'FL Characterization'!R$2)*VLOOKUP($A4,'FL Ratio'!$A$2:$B$21,2,FALSE)</f>
        <v>4.522046664663705</v>
      </c>
      <c r="S4" s="2">
        <f>('FL Characterization'!S$4-'FL Characterization'!S$2)*VLOOKUP($A4,'FL Ratio'!$A$2:$B$21,2,FALSE)</f>
        <v>3.5828650842792689</v>
      </c>
      <c r="T4" s="2">
        <f>('FL Characterization'!T$4-'FL Characterization'!T$2)*VLOOKUP($A4,'FL Ratio'!$A$2:$B$21,2,FALSE)</f>
        <v>2.9643928530568804</v>
      </c>
      <c r="U4" s="2">
        <f>('FL Characterization'!U$4-'FL Characterization'!U$2)*VLOOKUP($A4,'FL Ratio'!$A$2:$B$21,2,FALSE)</f>
        <v>3.5176439264389772</v>
      </c>
      <c r="V4" s="2">
        <f>('FL Characterization'!V$4-'FL Characterization'!V$2)*VLOOKUP($A4,'FL Ratio'!$A$2:$B$21,2,FALSE)</f>
        <v>3.584133015749849</v>
      </c>
      <c r="W4" s="2">
        <f>('FL Characterization'!W$4-'FL Characterization'!W$2)*VLOOKUP($A4,'FL Ratio'!$A$2:$B$21,2,FALSE)</f>
        <v>4.0959443776544706</v>
      </c>
      <c r="X4" s="2">
        <f>('FL Characterization'!X$4-'FL Characterization'!X$2)*VLOOKUP($A4,'FL Ratio'!$A$2:$B$21,2,FALSE)</f>
        <v>1.9887968993405585</v>
      </c>
      <c r="Y4" s="2">
        <f>('FL Characterization'!Y$4-'FL Characterization'!Y$2)*VLOOKUP($A4,'FL Ratio'!$A$2:$B$21,2,FALSE)</f>
        <v>1.9094738695347975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6.1913712211549781</v>
      </c>
      <c r="C2" s="2">
        <f>('FL Characterization'!C$2-'FL Characterization'!C$3)*VLOOKUP($A2,'FL Ratio'!$A$2:$B$21,2,FALSE)</f>
        <v>6.55226781290283</v>
      </c>
      <c r="D2" s="2">
        <f>('FL Characterization'!D$2-'FL Characterization'!D$3)*VLOOKUP($A2,'FL Ratio'!$A$2:$B$21,2,FALSE)</f>
        <v>6.9190401846362928</v>
      </c>
      <c r="E2" s="2">
        <f>('FL Characterization'!E$2-'FL Characterization'!E$3)*VLOOKUP($A2,'FL Ratio'!$A$2:$B$21,2,FALSE)</f>
        <v>7.2335490396556281</v>
      </c>
      <c r="F2" s="2">
        <f>('FL Characterization'!F$2-'FL Characterization'!F$3)*VLOOKUP($A2,'FL Ratio'!$A$2:$B$21,2,FALSE)</f>
        <v>7.3156553336651005</v>
      </c>
      <c r="G2" s="2">
        <f>('FL Characterization'!G$2-'FL Characterization'!G$3)*VLOOKUP($A2,'FL Ratio'!$A$2:$B$21,2,FALSE)</f>
        <v>7.6525849281032183</v>
      </c>
      <c r="H2" s="2">
        <f>('FL Characterization'!H$2-'FL Characterization'!H$3)*VLOOKUP($A2,'FL Ratio'!$A$2:$B$21,2,FALSE)</f>
        <v>7.6134646034621714</v>
      </c>
      <c r="I2" s="2">
        <f>('FL Characterization'!I$2-'FL Characterization'!I$3)*VLOOKUP($A2,'FL Ratio'!$A$2:$B$21,2,FALSE)</f>
        <v>7.1965007005884534</v>
      </c>
      <c r="J2" s="2">
        <f>('FL Characterization'!J$2-'FL Characterization'!J$3)*VLOOKUP($A2,'FL Ratio'!$A$2:$B$21,2,FALSE)</f>
        <v>6.5203221248757917</v>
      </c>
      <c r="K2" s="2">
        <f>('FL Characterization'!K$2-'FL Characterization'!K$3)*VLOOKUP($A2,'FL Ratio'!$A$2:$B$21,2,FALSE)</f>
        <v>9.574908200711814</v>
      </c>
      <c r="L2" s="2">
        <f>('FL Characterization'!L$2-'FL Characterization'!L$3)*VLOOKUP($A2,'FL Ratio'!$A$2:$B$21,2,FALSE)</f>
        <v>9.3502833168934334</v>
      </c>
      <c r="M2" s="2">
        <f>('FL Characterization'!M$2-'FL Characterization'!M$3)*VLOOKUP($A2,'FL Ratio'!$A$2:$B$21,2,FALSE)</f>
        <v>8.6099350387063254</v>
      </c>
      <c r="N2" s="2">
        <f>('FL Characterization'!N$2-'FL Characterization'!N$3)*VLOOKUP($A2,'FL Ratio'!$A$2:$B$21,2,FALSE)</f>
        <v>8.4007263460607184</v>
      </c>
      <c r="O2" s="2">
        <f>('FL Characterization'!O$2-'FL Characterization'!O$3)*VLOOKUP($A2,'FL Ratio'!$A$2:$B$21,2,FALSE)</f>
        <v>8.4352542847656444</v>
      </c>
      <c r="P2" s="2">
        <f>('FL Characterization'!P$2-'FL Characterization'!P$3)*VLOOKUP($A2,'FL Ratio'!$A$2:$B$21,2,FALSE)</f>
        <v>8.0356239328494823</v>
      </c>
      <c r="Q2" s="2">
        <f>('FL Characterization'!Q$2-'FL Characterization'!Q$3)*VLOOKUP($A2,'FL Ratio'!$A$2:$B$21,2,FALSE)</f>
        <v>7.3658468648053557</v>
      </c>
      <c r="R2" s="2">
        <f>('FL Characterization'!R$2-'FL Characterization'!R$3)*VLOOKUP($A2,'FL Ratio'!$A$2:$B$21,2,FALSE)</f>
        <v>6.6199011330530055</v>
      </c>
      <c r="S2" s="2">
        <f>('FL Characterization'!S$2-'FL Characterization'!S$3)*VLOOKUP($A2,'FL Ratio'!$A$2:$B$21,2,FALSE)</f>
        <v>6.3824268461608238</v>
      </c>
      <c r="T2" s="2">
        <f>('FL Characterization'!T$2-'FL Characterization'!T$3)*VLOOKUP($A2,'FL Ratio'!$A$2:$B$21,2,FALSE)</f>
        <v>4.011967111596948</v>
      </c>
      <c r="U2" s="2">
        <f>('FL Characterization'!U$2-'FL Characterization'!U$3)*VLOOKUP($A2,'FL Ratio'!$A$2:$B$21,2,FALSE)</f>
        <v>4.290432695178227</v>
      </c>
      <c r="V2" s="2">
        <f>('FL Characterization'!V$2-'FL Characterization'!V$3)*VLOOKUP($A2,'FL Ratio'!$A$2:$B$21,2,FALSE)</f>
        <v>4.6908207134609547</v>
      </c>
      <c r="W2" s="2">
        <f>('FL Characterization'!W$2-'FL Characterization'!W$3)*VLOOKUP($A2,'FL Ratio'!$A$2:$B$21,2,FALSE)</f>
        <v>4.8027543221868632</v>
      </c>
      <c r="X2" s="2">
        <f>('FL Characterization'!X$2-'FL Characterization'!X$3)*VLOOKUP($A2,'FL Ratio'!$A$2:$B$21,2,FALSE)</f>
        <v>5.0089478119451147</v>
      </c>
      <c r="Y2" s="2">
        <f>('FL Characterization'!Y$2-'FL Characterization'!Y$3)*VLOOKUP($A2,'FL Ratio'!$A$2:$B$21,2,FALSE)</f>
        <v>5.5289543406717749</v>
      </c>
    </row>
    <row r="3" spans="1:25" x14ac:dyDescent="0.3">
      <c r="A3">
        <v>2</v>
      </c>
      <c r="B3" s="2">
        <f>('FL Characterization'!B$2-'FL Characterization'!B$3)*VLOOKUP($A3,'FL Ratio'!$A$2:$B$21,2,FALSE)</f>
        <v>6.1913712211549781</v>
      </c>
      <c r="C3" s="2">
        <f>('FL Characterization'!C$2-'FL Characterization'!C$3)*VLOOKUP($A3,'FL Ratio'!$A$2:$B$21,2,FALSE)</f>
        <v>6.55226781290283</v>
      </c>
      <c r="D3" s="2">
        <f>('FL Characterization'!D$2-'FL Characterization'!D$3)*VLOOKUP($A3,'FL Ratio'!$A$2:$B$21,2,FALSE)</f>
        <v>6.9190401846362928</v>
      </c>
      <c r="E3" s="2">
        <f>('FL Characterization'!E$2-'FL Characterization'!E$3)*VLOOKUP($A3,'FL Ratio'!$A$2:$B$21,2,FALSE)</f>
        <v>7.2335490396556281</v>
      </c>
      <c r="F3" s="2">
        <f>('FL Characterization'!F$2-'FL Characterization'!F$3)*VLOOKUP($A3,'FL Ratio'!$A$2:$B$21,2,FALSE)</f>
        <v>7.3156553336651005</v>
      </c>
      <c r="G3" s="2">
        <f>('FL Characterization'!G$2-'FL Characterization'!G$3)*VLOOKUP($A3,'FL Ratio'!$A$2:$B$21,2,FALSE)</f>
        <v>7.6525849281032183</v>
      </c>
      <c r="H3" s="2">
        <f>('FL Characterization'!H$2-'FL Characterization'!H$3)*VLOOKUP($A3,'FL Ratio'!$A$2:$B$21,2,FALSE)</f>
        <v>7.6134646034621714</v>
      </c>
      <c r="I3" s="2">
        <f>('FL Characterization'!I$2-'FL Characterization'!I$3)*VLOOKUP($A3,'FL Ratio'!$A$2:$B$21,2,FALSE)</f>
        <v>7.1965007005884534</v>
      </c>
      <c r="J3" s="2">
        <f>('FL Characterization'!J$2-'FL Characterization'!J$3)*VLOOKUP($A3,'FL Ratio'!$A$2:$B$21,2,FALSE)</f>
        <v>6.5203221248757917</v>
      </c>
      <c r="K3" s="2">
        <f>('FL Characterization'!K$2-'FL Characterization'!K$3)*VLOOKUP($A3,'FL Ratio'!$A$2:$B$21,2,FALSE)</f>
        <v>9.574908200711814</v>
      </c>
      <c r="L3" s="2">
        <f>('FL Characterization'!L$2-'FL Characterization'!L$3)*VLOOKUP($A3,'FL Ratio'!$A$2:$B$21,2,FALSE)</f>
        <v>9.3502833168934334</v>
      </c>
      <c r="M3" s="2">
        <f>('FL Characterization'!M$2-'FL Characterization'!M$3)*VLOOKUP($A3,'FL Ratio'!$A$2:$B$21,2,FALSE)</f>
        <v>8.6099350387063254</v>
      </c>
      <c r="N3" s="2">
        <f>('FL Characterization'!N$2-'FL Characterization'!N$3)*VLOOKUP($A3,'FL Ratio'!$A$2:$B$21,2,FALSE)</f>
        <v>8.4007263460607184</v>
      </c>
      <c r="O3" s="2">
        <f>('FL Characterization'!O$2-'FL Characterization'!O$3)*VLOOKUP($A3,'FL Ratio'!$A$2:$B$21,2,FALSE)</f>
        <v>8.4352542847656444</v>
      </c>
      <c r="P3" s="2">
        <f>('FL Characterization'!P$2-'FL Characterization'!P$3)*VLOOKUP($A3,'FL Ratio'!$A$2:$B$21,2,FALSE)</f>
        <v>8.0356239328494823</v>
      </c>
      <c r="Q3" s="2">
        <f>('FL Characterization'!Q$2-'FL Characterization'!Q$3)*VLOOKUP($A3,'FL Ratio'!$A$2:$B$21,2,FALSE)</f>
        <v>7.3658468648053557</v>
      </c>
      <c r="R3" s="2">
        <f>('FL Characterization'!R$2-'FL Characterization'!R$3)*VLOOKUP($A3,'FL Ratio'!$A$2:$B$21,2,FALSE)</f>
        <v>6.6199011330530055</v>
      </c>
      <c r="S3" s="2">
        <f>('FL Characterization'!S$2-'FL Characterization'!S$3)*VLOOKUP($A3,'FL Ratio'!$A$2:$B$21,2,FALSE)</f>
        <v>6.3824268461608238</v>
      </c>
      <c r="T3" s="2">
        <f>('FL Characterization'!T$2-'FL Characterization'!T$3)*VLOOKUP($A3,'FL Ratio'!$A$2:$B$21,2,FALSE)</f>
        <v>4.011967111596948</v>
      </c>
      <c r="U3" s="2">
        <f>('FL Characterization'!U$2-'FL Characterization'!U$3)*VLOOKUP($A3,'FL Ratio'!$A$2:$B$21,2,FALSE)</f>
        <v>4.290432695178227</v>
      </c>
      <c r="V3" s="2">
        <f>('FL Characterization'!V$2-'FL Characterization'!V$3)*VLOOKUP($A3,'FL Ratio'!$A$2:$B$21,2,FALSE)</f>
        <v>4.6908207134609547</v>
      </c>
      <c r="W3" s="2">
        <f>('FL Characterization'!W$2-'FL Characterization'!W$3)*VLOOKUP($A3,'FL Ratio'!$A$2:$B$21,2,FALSE)</f>
        <v>4.8027543221868632</v>
      </c>
      <c r="X3" s="2">
        <f>('FL Characterization'!X$2-'FL Characterization'!X$3)*VLOOKUP($A3,'FL Ratio'!$A$2:$B$21,2,FALSE)</f>
        <v>5.0089478119451147</v>
      </c>
      <c r="Y3" s="2">
        <f>('FL Characterization'!Y$2-'FL Characterization'!Y$3)*VLOOKUP($A3,'FL Ratio'!$A$2:$B$21,2,FALSE)</f>
        <v>5.5289543406717749</v>
      </c>
    </row>
    <row r="4" spans="1:25" x14ac:dyDescent="0.3">
      <c r="A4">
        <v>3</v>
      </c>
      <c r="B4" s="2">
        <f>('FL Characterization'!B$2-'FL Characterization'!B$3)*VLOOKUP($A4,'FL Ratio'!$A$2:$B$21,2,FALSE)</f>
        <v>6.1913712211549781</v>
      </c>
      <c r="C4" s="2">
        <f>('FL Characterization'!C$2-'FL Characterization'!C$3)*VLOOKUP($A4,'FL Ratio'!$A$2:$B$21,2,FALSE)</f>
        <v>6.55226781290283</v>
      </c>
      <c r="D4" s="2">
        <f>('FL Characterization'!D$2-'FL Characterization'!D$3)*VLOOKUP($A4,'FL Ratio'!$A$2:$B$21,2,FALSE)</f>
        <v>6.9190401846362928</v>
      </c>
      <c r="E4" s="2">
        <f>('FL Characterization'!E$2-'FL Characterization'!E$3)*VLOOKUP($A4,'FL Ratio'!$A$2:$B$21,2,FALSE)</f>
        <v>7.2335490396556281</v>
      </c>
      <c r="F4" s="2">
        <f>('FL Characterization'!F$2-'FL Characterization'!F$3)*VLOOKUP($A4,'FL Ratio'!$A$2:$B$21,2,FALSE)</f>
        <v>7.3156553336651005</v>
      </c>
      <c r="G4" s="2">
        <f>('FL Characterization'!G$2-'FL Characterization'!G$3)*VLOOKUP($A4,'FL Ratio'!$A$2:$B$21,2,FALSE)</f>
        <v>7.6525849281032183</v>
      </c>
      <c r="H4" s="2">
        <f>('FL Characterization'!H$2-'FL Characterization'!H$3)*VLOOKUP($A4,'FL Ratio'!$A$2:$B$21,2,FALSE)</f>
        <v>7.6134646034621714</v>
      </c>
      <c r="I4" s="2">
        <f>('FL Characterization'!I$2-'FL Characterization'!I$3)*VLOOKUP($A4,'FL Ratio'!$A$2:$B$21,2,FALSE)</f>
        <v>7.1965007005884534</v>
      </c>
      <c r="J4" s="2">
        <f>('FL Characterization'!J$2-'FL Characterization'!J$3)*VLOOKUP($A4,'FL Ratio'!$A$2:$B$21,2,FALSE)</f>
        <v>6.5203221248757917</v>
      </c>
      <c r="K4" s="2">
        <f>('FL Characterization'!K$2-'FL Characterization'!K$3)*VLOOKUP($A4,'FL Ratio'!$A$2:$B$21,2,FALSE)</f>
        <v>9.574908200711814</v>
      </c>
      <c r="L4" s="2">
        <f>('FL Characterization'!L$2-'FL Characterization'!L$3)*VLOOKUP($A4,'FL Ratio'!$A$2:$B$21,2,FALSE)</f>
        <v>9.3502833168934334</v>
      </c>
      <c r="M4" s="2">
        <f>('FL Characterization'!M$2-'FL Characterization'!M$3)*VLOOKUP($A4,'FL Ratio'!$A$2:$B$21,2,FALSE)</f>
        <v>8.6099350387063254</v>
      </c>
      <c r="N4" s="2">
        <f>('FL Characterization'!N$2-'FL Characterization'!N$3)*VLOOKUP($A4,'FL Ratio'!$A$2:$B$21,2,FALSE)</f>
        <v>8.4007263460607184</v>
      </c>
      <c r="O4" s="2">
        <f>('FL Characterization'!O$2-'FL Characterization'!O$3)*VLOOKUP($A4,'FL Ratio'!$A$2:$B$21,2,FALSE)</f>
        <v>8.4352542847656444</v>
      </c>
      <c r="P4" s="2">
        <f>('FL Characterization'!P$2-'FL Characterization'!P$3)*VLOOKUP($A4,'FL Ratio'!$A$2:$B$21,2,FALSE)</f>
        <v>8.0356239328494823</v>
      </c>
      <c r="Q4" s="2">
        <f>('FL Characterization'!Q$2-'FL Characterization'!Q$3)*VLOOKUP($A4,'FL Ratio'!$A$2:$B$21,2,FALSE)</f>
        <v>7.3658468648053557</v>
      </c>
      <c r="R4" s="2">
        <f>('FL Characterization'!R$2-'FL Characterization'!R$3)*VLOOKUP($A4,'FL Ratio'!$A$2:$B$21,2,FALSE)</f>
        <v>6.6199011330530055</v>
      </c>
      <c r="S4" s="2">
        <f>('FL Characterization'!S$2-'FL Characterization'!S$3)*VLOOKUP($A4,'FL Ratio'!$A$2:$B$21,2,FALSE)</f>
        <v>6.3824268461608238</v>
      </c>
      <c r="T4" s="2">
        <f>('FL Characterization'!T$2-'FL Characterization'!T$3)*VLOOKUP($A4,'FL Ratio'!$A$2:$B$21,2,FALSE)</f>
        <v>4.011967111596948</v>
      </c>
      <c r="U4" s="2">
        <f>('FL Characterization'!U$2-'FL Characterization'!U$3)*VLOOKUP($A4,'FL Ratio'!$A$2:$B$21,2,FALSE)</f>
        <v>4.290432695178227</v>
      </c>
      <c r="V4" s="2">
        <f>('FL Characterization'!V$2-'FL Characterization'!V$3)*VLOOKUP($A4,'FL Ratio'!$A$2:$B$21,2,FALSE)</f>
        <v>4.6908207134609547</v>
      </c>
      <c r="W4" s="2">
        <f>('FL Characterization'!W$2-'FL Characterization'!W$3)*VLOOKUP($A4,'FL Ratio'!$A$2:$B$21,2,FALSE)</f>
        <v>4.8027543221868632</v>
      </c>
      <c r="X4" s="2">
        <f>('FL Characterization'!X$2-'FL Characterization'!X$3)*VLOOKUP($A4,'FL Ratio'!$A$2:$B$21,2,FALSE)</f>
        <v>5.0089478119451147</v>
      </c>
      <c r="Y4" s="2">
        <f>('FL Characterization'!Y$2-'FL Characterization'!Y$3)*VLOOKUP($A4,'FL Ratio'!$A$2:$B$21,2,FALSE)</f>
        <v>5.5289543406717749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AD65C-DBC9-40DA-ABEE-816149CE725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8.1051786431152131</v>
      </c>
      <c r="C5" s="9">
        <f>VLOOKUP($A5,'RES installed'!$A$2:$C$7,3,FALSE)*'[1]Profiles, RES, Summer'!C$5</f>
        <v>7.4126856684062625</v>
      </c>
      <c r="D5" s="9">
        <f>VLOOKUP($A5,'RES installed'!$A$2:$C$7,3,FALSE)*'[1]Profiles, RES, Summer'!D$5</f>
        <v>6.4853472501003608</v>
      </c>
      <c r="E5" s="9">
        <f>VLOOKUP($A5,'RES installed'!$A$2:$C$7,3,FALSE)*'[1]Profiles, RES, Summer'!E$5</f>
        <v>6.461260537936572</v>
      </c>
      <c r="F5" s="9">
        <f>VLOOKUP($A5,'RES installed'!$A$2:$C$7,3,FALSE)*'[1]Profiles, RES, Summer'!F$5</f>
        <v>6.1180248896025695</v>
      </c>
      <c r="G5" s="9">
        <f>VLOOKUP($A5,'RES installed'!$A$2:$C$7,3,FALSE)*'[1]Profiles, RES, Summer'!G$5</f>
        <v>5.6362906463267768</v>
      </c>
      <c r="H5" s="9">
        <f>VLOOKUP($A5,'RES installed'!$A$2:$C$7,3,FALSE)*'[1]Profiles, RES, Summer'!H$5</f>
        <v>4.9558410276997193</v>
      </c>
      <c r="I5" s="9">
        <f>VLOOKUP($A5,'RES installed'!$A$2:$C$7,3,FALSE)*'[1]Profiles, RES, Summer'!I$5</f>
        <v>3.8960256924929744</v>
      </c>
      <c r="J5" s="9">
        <f>VLOOKUP($A5,'RES installed'!$A$2:$C$7,3,FALSE)*'[1]Profiles, RES, Summer'!J$5</f>
        <v>3.2396627860297067</v>
      </c>
      <c r="K5" s="9">
        <f>VLOOKUP($A5,'RES installed'!$A$2:$C$7,3,FALSE)*'[1]Profiles, RES, Summer'!K$5</f>
        <v>3.0289040545965475</v>
      </c>
      <c r="L5" s="9">
        <f>VLOOKUP($A5,'RES installed'!$A$2:$C$7,3,FALSE)*'[1]Profiles, RES, Summer'!L$5</f>
        <v>2.7880369329586512</v>
      </c>
      <c r="M5" s="9">
        <f>VLOOKUP($A5,'RES installed'!$A$2:$C$7,3,FALSE)*'[1]Profiles, RES, Summer'!M$5</f>
        <v>3.1372942593336011</v>
      </c>
      <c r="N5" s="9">
        <f>VLOOKUP($A5,'RES installed'!$A$2:$C$7,3,FALSE)*'[1]Profiles, RES, Summer'!N$5</f>
        <v>3.9441991168205535</v>
      </c>
      <c r="O5" s="9">
        <f>VLOOKUP($A5,'RES installed'!$A$2:$C$7,3,FALSE)*'[1]Profiles, RES, Summer'!O$5</f>
        <v>4.8956242472902449</v>
      </c>
      <c r="P5" s="9">
        <f>VLOOKUP($A5,'RES installed'!$A$2:$C$7,3,FALSE)*'[1]Profiles, RES, Summer'!P$5</f>
        <v>6.5335206744279404</v>
      </c>
      <c r="Q5" s="9">
        <f>VLOOKUP($A5,'RES installed'!$A$2:$C$7,3,FALSE)*'[1]Profiles, RES, Summer'!Q$5</f>
        <v>8.3400240867121642</v>
      </c>
      <c r="R5" s="9">
        <f>VLOOKUP($A5,'RES installed'!$A$2:$C$7,3,FALSE)*'[1]Profiles, RES, Summer'!R$5</f>
        <v>9.8574869530309108</v>
      </c>
      <c r="S5" s="9">
        <f>VLOOKUP($A5,'RES installed'!$A$2:$C$7,3,FALSE)*'[1]Profiles, RES, Summer'!S$5</f>
        <v>10.519871537535126</v>
      </c>
      <c r="T5" s="9">
        <f>VLOOKUP($A5,'RES installed'!$A$2:$C$7,3,FALSE)*'[1]Profiles, RES, Summer'!T$5</f>
        <v>11.320754716981133</v>
      </c>
      <c r="U5" s="9">
        <f>VLOOKUP($A5,'RES installed'!$A$2:$C$7,3,FALSE)*'[1]Profiles, RES, Summer'!U$5</f>
        <v>12.609393817743877</v>
      </c>
      <c r="V5" s="9">
        <f>VLOOKUP($A5,'RES installed'!$A$2:$C$7,3,FALSE)*'[1]Profiles, RES, Summer'!V$5</f>
        <v>13.904054596547573</v>
      </c>
      <c r="W5" s="9">
        <f>VLOOKUP($A5,'RES installed'!$A$2:$C$7,3,FALSE)*'[1]Profiles, RES, Summer'!W$5</f>
        <v>14.482135688478524</v>
      </c>
      <c r="X5" s="9">
        <f>VLOOKUP($A5,'RES installed'!$A$2:$C$7,3,FALSE)*'[1]Profiles, RES, Summer'!X$5</f>
        <v>14.548374146928943</v>
      </c>
      <c r="Y5" s="9">
        <f>VLOOKUP($A5,'RES installed'!$A$2:$C$7,3,FALSE)*'[1]Profiles, RES, Summer'!Y$5</f>
        <v>14.030509835407466</v>
      </c>
    </row>
    <row r="6" spans="1:25" x14ac:dyDescent="0.3">
      <c r="A6" s="8">
        <v>5</v>
      </c>
      <c r="B6" s="9">
        <f>VLOOKUP($A6,'RES installed'!$A$2:$C$7,3,FALSE)*'[1]Profiles, RES, Summer'!B$5</f>
        <v>5.403452428743476</v>
      </c>
      <c r="C6" s="9">
        <f>VLOOKUP($A6,'RES installed'!$A$2:$C$7,3,FALSE)*'[1]Profiles, RES, Summer'!C$5</f>
        <v>4.941790445604175</v>
      </c>
      <c r="D6" s="9">
        <f>VLOOKUP($A6,'RES installed'!$A$2:$C$7,3,FALSE)*'[1]Profiles, RES, Summer'!D$5</f>
        <v>4.3235648334002406</v>
      </c>
      <c r="E6" s="9">
        <f>VLOOKUP($A6,'RES installed'!$A$2:$C$7,3,FALSE)*'[1]Profiles, RES, Summer'!E$5</f>
        <v>4.3075070252910477</v>
      </c>
      <c r="F6" s="9">
        <f>VLOOKUP($A6,'RES installed'!$A$2:$C$7,3,FALSE)*'[1]Profiles, RES, Summer'!F$5</f>
        <v>4.0786832597350466</v>
      </c>
      <c r="G6" s="9">
        <f>VLOOKUP($A6,'RES installed'!$A$2:$C$7,3,FALSE)*'[1]Profiles, RES, Summer'!G$5</f>
        <v>3.7575270975511845</v>
      </c>
      <c r="H6" s="9">
        <f>VLOOKUP($A6,'RES installed'!$A$2:$C$7,3,FALSE)*'[1]Profiles, RES, Summer'!H$5</f>
        <v>3.3038940184664796</v>
      </c>
      <c r="I6" s="9">
        <f>VLOOKUP($A6,'RES installed'!$A$2:$C$7,3,FALSE)*'[1]Profiles, RES, Summer'!I$5</f>
        <v>2.5973504616619829</v>
      </c>
      <c r="J6" s="9">
        <f>VLOOKUP($A6,'RES installed'!$A$2:$C$7,3,FALSE)*'[1]Profiles, RES, Summer'!J$5</f>
        <v>2.1597751906864713</v>
      </c>
      <c r="K6" s="9">
        <f>VLOOKUP($A6,'RES installed'!$A$2:$C$7,3,FALSE)*'[1]Profiles, RES, Summer'!K$5</f>
        <v>2.019269369731032</v>
      </c>
      <c r="L6" s="9">
        <f>VLOOKUP($A6,'RES installed'!$A$2:$C$7,3,FALSE)*'[1]Profiles, RES, Summer'!L$5</f>
        <v>1.8586912886391007</v>
      </c>
      <c r="M6" s="9">
        <f>VLOOKUP($A6,'RES installed'!$A$2:$C$7,3,FALSE)*'[1]Profiles, RES, Summer'!M$5</f>
        <v>2.0915295062224009</v>
      </c>
      <c r="N6" s="9">
        <f>VLOOKUP($A6,'RES installed'!$A$2:$C$7,3,FALSE)*'[1]Profiles, RES, Summer'!N$5</f>
        <v>2.6294660778803691</v>
      </c>
      <c r="O6" s="9">
        <f>VLOOKUP($A6,'RES installed'!$A$2:$C$7,3,FALSE)*'[1]Profiles, RES, Summer'!O$5</f>
        <v>3.2637494981934969</v>
      </c>
      <c r="P6" s="9">
        <f>VLOOKUP($A6,'RES installed'!$A$2:$C$7,3,FALSE)*'[1]Profiles, RES, Summer'!P$5</f>
        <v>4.3556804496186272</v>
      </c>
      <c r="Q6" s="9">
        <f>VLOOKUP($A6,'RES installed'!$A$2:$C$7,3,FALSE)*'[1]Profiles, RES, Summer'!Q$5</f>
        <v>5.5600160578081095</v>
      </c>
      <c r="R6" s="9">
        <f>VLOOKUP($A6,'RES installed'!$A$2:$C$7,3,FALSE)*'[1]Profiles, RES, Summer'!R$5</f>
        <v>6.5716579686872745</v>
      </c>
      <c r="S6" s="9">
        <f>VLOOKUP($A6,'RES installed'!$A$2:$C$7,3,FALSE)*'[1]Profiles, RES, Summer'!S$5</f>
        <v>7.0132476916900846</v>
      </c>
      <c r="T6" s="9">
        <f>VLOOKUP($A6,'RES installed'!$A$2:$C$7,3,FALSE)*'[1]Profiles, RES, Summer'!T$5</f>
        <v>7.5471698113207548</v>
      </c>
      <c r="U6" s="9">
        <f>VLOOKUP($A6,'RES installed'!$A$2:$C$7,3,FALSE)*'[1]Profiles, RES, Summer'!U$5</f>
        <v>8.4062625451625852</v>
      </c>
      <c r="V6" s="9">
        <f>VLOOKUP($A6,'RES installed'!$A$2:$C$7,3,FALSE)*'[1]Profiles, RES, Summer'!V$5</f>
        <v>9.2693697310317145</v>
      </c>
      <c r="W6" s="9">
        <f>VLOOKUP($A6,'RES installed'!$A$2:$C$7,3,FALSE)*'[1]Profiles, RES, Summer'!W$5</f>
        <v>9.654757125652349</v>
      </c>
      <c r="X6" s="9">
        <f>VLOOKUP($A6,'RES installed'!$A$2:$C$7,3,FALSE)*'[1]Profiles, RES, Summer'!X$5</f>
        <v>9.6989160979526297</v>
      </c>
      <c r="Y6" s="9">
        <f>VLOOKUP($A6,'RES installed'!$A$2:$C$7,3,FALSE)*'[1]Profiles, RES, Summer'!Y$5</f>
        <v>9.3536732236049787</v>
      </c>
    </row>
    <row r="7" spans="1:25" x14ac:dyDescent="0.3">
      <c r="A7" s="8">
        <v>6</v>
      </c>
      <c r="B7" s="9">
        <f>VLOOKUP($A7,'RES installed'!$A$2:$C$7,3,FALSE)*'[1]Profiles, RES, Summer'!B$5</f>
        <v>8.1051786431152131</v>
      </c>
      <c r="C7" s="9">
        <f>VLOOKUP($A7,'RES installed'!$A$2:$C$7,3,FALSE)*'[1]Profiles, RES, Summer'!C$5</f>
        <v>7.4126856684062625</v>
      </c>
      <c r="D7" s="9">
        <f>VLOOKUP($A7,'RES installed'!$A$2:$C$7,3,FALSE)*'[1]Profiles, RES, Summer'!D$5</f>
        <v>6.4853472501003608</v>
      </c>
      <c r="E7" s="9">
        <f>VLOOKUP($A7,'RES installed'!$A$2:$C$7,3,FALSE)*'[1]Profiles, RES, Summer'!E$5</f>
        <v>6.461260537936572</v>
      </c>
      <c r="F7" s="9">
        <f>VLOOKUP($A7,'RES installed'!$A$2:$C$7,3,FALSE)*'[1]Profiles, RES, Summer'!F$5</f>
        <v>6.1180248896025695</v>
      </c>
      <c r="G7" s="9">
        <f>VLOOKUP($A7,'RES installed'!$A$2:$C$7,3,FALSE)*'[1]Profiles, RES, Summer'!G$5</f>
        <v>5.6362906463267768</v>
      </c>
      <c r="H7" s="9">
        <f>VLOOKUP($A7,'RES installed'!$A$2:$C$7,3,FALSE)*'[1]Profiles, RES, Summer'!H$5</f>
        <v>4.9558410276997193</v>
      </c>
      <c r="I7" s="9">
        <f>VLOOKUP($A7,'RES installed'!$A$2:$C$7,3,FALSE)*'[1]Profiles, RES, Summer'!I$5</f>
        <v>3.8960256924929744</v>
      </c>
      <c r="J7" s="9">
        <f>VLOOKUP($A7,'RES installed'!$A$2:$C$7,3,FALSE)*'[1]Profiles, RES, Summer'!J$5</f>
        <v>3.2396627860297067</v>
      </c>
      <c r="K7" s="9">
        <f>VLOOKUP($A7,'RES installed'!$A$2:$C$7,3,FALSE)*'[1]Profiles, RES, Summer'!K$5</f>
        <v>3.0289040545965475</v>
      </c>
      <c r="L7" s="9">
        <f>VLOOKUP($A7,'RES installed'!$A$2:$C$7,3,FALSE)*'[1]Profiles, RES, Summer'!L$5</f>
        <v>2.7880369329586512</v>
      </c>
      <c r="M7" s="9">
        <f>VLOOKUP($A7,'RES installed'!$A$2:$C$7,3,FALSE)*'[1]Profiles, RES, Summer'!M$5</f>
        <v>3.1372942593336011</v>
      </c>
      <c r="N7" s="9">
        <f>VLOOKUP($A7,'RES installed'!$A$2:$C$7,3,FALSE)*'[1]Profiles, RES, Summer'!N$5</f>
        <v>3.9441991168205535</v>
      </c>
      <c r="O7" s="9">
        <f>VLOOKUP($A7,'RES installed'!$A$2:$C$7,3,FALSE)*'[1]Profiles, RES, Summer'!O$5</f>
        <v>4.8956242472902449</v>
      </c>
      <c r="P7" s="9">
        <f>VLOOKUP($A7,'RES installed'!$A$2:$C$7,3,FALSE)*'[1]Profiles, RES, Summer'!P$5</f>
        <v>6.5335206744279404</v>
      </c>
      <c r="Q7" s="9">
        <f>VLOOKUP($A7,'RES installed'!$A$2:$C$7,3,FALSE)*'[1]Profiles, RES, Summer'!Q$5</f>
        <v>8.3400240867121642</v>
      </c>
      <c r="R7" s="9">
        <f>VLOOKUP($A7,'RES installed'!$A$2:$C$7,3,FALSE)*'[1]Profiles, RES, Summer'!R$5</f>
        <v>9.8574869530309108</v>
      </c>
      <c r="S7" s="9">
        <f>VLOOKUP($A7,'RES installed'!$A$2:$C$7,3,FALSE)*'[1]Profiles, RES, Summer'!S$5</f>
        <v>10.519871537535126</v>
      </c>
      <c r="T7" s="9">
        <f>VLOOKUP($A7,'RES installed'!$A$2:$C$7,3,FALSE)*'[1]Profiles, RES, Summer'!T$5</f>
        <v>11.320754716981133</v>
      </c>
      <c r="U7" s="9">
        <f>VLOOKUP($A7,'RES installed'!$A$2:$C$7,3,FALSE)*'[1]Profiles, RES, Summer'!U$5</f>
        <v>12.609393817743877</v>
      </c>
      <c r="V7" s="9">
        <f>VLOOKUP($A7,'RES installed'!$A$2:$C$7,3,FALSE)*'[1]Profiles, RES, Summer'!V$5</f>
        <v>13.904054596547573</v>
      </c>
      <c r="W7" s="9">
        <f>VLOOKUP($A7,'RES installed'!$A$2:$C$7,3,FALSE)*'[1]Profiles, RES, Summer'!W$5</f>
        <v>14.482135688478524</v>
      </c>
      <c r="X7" s="9">
        <f>VLOOKUP($A7,'RES installed'!$A$2:$C$7,3,FALSE)*'[1]Profiles, RES, Summer'!X$5</f>
        <v>14.548374146928943</v>
      </c>
      <c r="Y7" s="9">
        <f>VLOOKUP($A7,'RES installed'!$A$2:$C$7,3,FALSE)*'[1]Profiles, RES, Summer'!Y$5</f>
        <v>14.030509835407466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6.8233510235026537E-2</v>
      </c>
      <c r="H8" s="6">
        <f>VLOOKUP($A8,'RES installed'!$A$2:$C$7,3,FALSE)*'[1]Profiles, RES, Summer'!H$2</f>
        <v>2.0015163002274452</v>
      </c>
      <c r="I8" s="6">
        <f>VLOOKUP($A8,'RES installed'!$A$2:$C$7,3,FALSE)*'[1]Profiles, RES, Summer'!I$2</f>
        <v>8.3244882486732372</v>
      </c>
      <c r="J8" s="6">
        <f>VLOOKUP($A8,'RES installed'!$A$2:$C$7,3,FALSE)*'[1]Profiles, RES, Summer'!J$2</f>
        <v>17.240333586050038</v>
      </c>
      <c r="K8" s="6">
        <f>VLOOKUP($A8,'RES installed'!$A$2:$C$7,3,FALSE)*'[1]Profiles, RES, Summer'!K$2</f>
        <v>22.687642153146324</v>
      </c>
      <c r="L8" s="6">
        <f>VLOOKUP($A8,'RES installed'!$A$2:$C$7,3,FALSE)*'[1]Profiles, RES, Summer'!L$2</f>
        <v>26.065200909780135</v>
      </c>
      <c r="M8" s="6">
        <f>VLOOKUP($A8,'RES installed'!$A$2:$C$7,3,FALSE)*'[1]Profiles, RES, Summer'!M$2</f>
        <v>27.589082638362395</v>
      </c>
      <c r="N8" s="6">
        <f>VLOOKUP($A8,'RES installed'!$A$2:$C$7,3,FALSE)*'[1]Profiles, RES, Summer'!N$2</f>
        <v>28.203184230477635</v>
      </c>
      <c r="O8" s="6">
        <f>VLOOKUP($A8,'RES installed'!$A$2:$C$7,3,FALSE)*'[1]Profiles, RES, Summer'!O$2</f>
        <v>28.214556482183475</v>
      </c>
      <c r="P8" s="6">
        <f>VLOOKUP($A8,'RES installed'!$A$2:$C$7,3,FALSE)*'[1]Profiles, RES, Summer'!P$2</f>
        <v>27.247915087187263</v>
      </c>
      <c r="Q8" s="6">
        <f>VLOOKUP($A8,'RES installed'!$A$2:$C$7,3,FALSE)*'[1]Profiles, RES, Summer'!Q$2</f>
        <v>24.234268385140258</v>
      </c>
      <c r="R8" s="6">
        <f>VLOOKUP($A8,'RES installed'!$A$2:$C$7,3,FALSE)*'[1]Profiles, RES, Summer'!R$2</f>
        <v>19.423805913570888</v>
      </c>
      <c r="S8" s="6">
        <f>VLOOKUP($A8,'RES installed'!$A$2:$C$7,3,FALSE)*'[1]Profiles, RES, Summer'!S$2</f>
        <v>12.566338134950721</v>
      </c>
      <c r="T8" s="6">
        <f>VLOOKUP($A8,'RES installed'!$A$2:$C$7,3,FALSE)*'[1]Profiles, RES, Summer'!T$2</f>
        <v>4.3783169067475365</v>
      </c>
      <c r="U8" s="6">
        <f>VLOOKUP($A8,'RES installed'!$A$2:$C$7,3,FALSE)*'[1]Profiles, RES, Summer'!U$2</f>
        <v>0.3639120545868082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2.2744503411675512E-2</v>
      </c>
      <c r="H9" s="6">
        <f>VLOOKUP($A9,'RES installed'!$A$2:$C$7,3,FALSE)*'[1]Profiles, RES, Summer'!H$2</f>
        <v>0.66717210007581507</v>
      </c>
      <c r="I9" s="6">
        <f>VLOOKUP($A9,'RES installed'!$A$2:$C$7,3,FALSE)*'[1]Profiles, RES, Summer'!I$2</f>
        <v>2.7748294162244127</v>
      </c>
      <c r="J9" s="6">
        <f>VLOOKUP($A9,'RES installed'!$A$2:$C$7,3,FALSE)*'[1]Profiles, RES, Summer'!J$2</f>
        <v>5.7467778620166801</v>
      </c>
      <c r="K9" s="6">
        <f>VLOOKUP($A9,'RES installed'!$A$2:$C$7,3,FALSE)*'[1]Profiles, RES, Summer'!K$2</f>
        <v>7.5625473843821078</v>
      </c>
      <c r="L9" s="6">
        <f>VLOOKUP($A9,'RES installed'!$A$2:$C$7,3,FALSE)*'[1]Profiles, RES, Summer'!L$2</f>
        <v>8.6884003032600461</v>
      </c>
      <c r="M9" s="6">
        <f>VLOOKUP($A9,'RES installed'!$A$2:$C$7,3,FALSE)*'[1]Profiles, RES, Summer'!M$2</f>
        <v>9.1963608794541312</v>
      </c>
      <c r="N9" s="6">
        <f>VLOOKUP($A9,'RES installed'!$A$2:$C$7,3,FALSE)*'[1]Profiles, RES, Summer'!N$2</f>
        <v>9.4010614101592118</v>
      </c>
      <c r="O9" s="6">
        <f>VLOOKUP($A9,'RES installed'!$A$2:$C$7,3,FALSE)*'[1]Profiles, RES, Summer'!O$2</f>
        <v>9.4048521607278239</v>
      </c>
      <c r="P9" s="6">
        <f>VLOOKUP($A9,'RES installed'!$A$2:$C$7,3,FALSE)*'[1]Profiles, RES, Summer'!P$2</f>
        <v>9.0826383623957536</v>
      </c>
      <c r="Q9" s="6">
        <f>VLOOKUP($A9,'RES installed'!$A$2:$C$7,3,FALSE)*'[1]Profiles, RES, Summer'!Q$2</f>
        <v>8.0780894617134198</v>
      </c>
      <c r="R9" s="6">
        <f>VLOOKUP($A9,'RES installed'!$A$2:$C$7,3,FALSE)*'[1]Profiles, RES, Summer'!R$2</f>
        <v>6.474601971190296</v>
      </c>
      <c r="S9" s="6">
        <f>VLOOKUP($A9,'RES installed'!$A$2:$C$7,3,FALSE)*'[1]Profiles, RES, Summer'!S$2</f>
        <v>4.1887793783169069</v>
      </c>
      <c r="T9" s="6">
        <f>VLOOKUP($A9,'RES installed'!$A$2:$C$7,3,FALSE)*'[1]Profiles, RES, Summer'!T$2</f>
        <v>1.4594389689158453</v>
      </c>
      <c r="U9" s="6">
        <f>VLOOKUP($A9,'RES installed'!$A$2:$C$7,3,FALSE)*'[1]Profiles, RES, Summer'!U$2</f>
        <v>0.12130401819560273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4.5489006823351025E-2</v>
      </c>
      <c r="H10" s="6">
        <f>VLOOKUP($A10,'RES installed'!$A$2:$C$7,3,FALSE)*'[1]Profiles, RES, Summer'!H$2</f>
        <v>1.3343442001516301</v>
      </c>
      <c r="I10" s="6">
        <f>VLOOKUP($A10,'RES installed'!$A$2:$C$7,3,FALSE)*'[1]Profiles, RES, Summer'!I$2</f>
        <v>5.5496588324488254</v>
      </c>
      <c r="J10" s="6">
        <f>VLOOKUP($A10,'RES installed'!$A$2:$C$7,3,FALSE)*'[1]Profiles, RES, Summer'!J$2</f>
        <v>11.49355572403336</v>
      </c>
      <c r="K10" s="6">
        <f>VLOOKUP($A10,'RES installed'!$A$2:$C$7,3,FALSE)*'[1]Profiles, RES, Summer'!K$2</f>
        <v>15.125094768764216</v>
      </c>
      <c r="L10" s="6">
        <f>VLOOKUP($A10,'RES installed'!$A$2:$C$7,3,FALSE)*'[1]Profiles, RES, Summer'!L$2</f>
        <v>17.376800606520092</v>
      </c>
      <c r="M10" s="6">
        <f>VLOOKUP($A10,'RES installed'!$A$2:$C$7,3,FALSE)*'[1]Profiles, RES, Summer'!M$2</f>
        <v>18.392721758908262</v>
      </c>
      <c r="N10" s="6">
        <f>VLOOKUP($A10,'RES installed'!$A$2:$C$7,3,FALSE)*'[1]Profiles, RES, Summer'!N$2</f>
        <v>18.802122820318424</v>
      </c>
      <c r="O10" s="6">
        <f>VLOOKUP($A10,'RES installed'!$A$2:$C$7,3,FALSE)*'[1]Profiles, RES, Summer'!O$2</f>
        <v>18.809704321455648</v>
      </c>
      <c r="P10" s="6">
        <f>VLOOKUP($A10,'RES installed'!$A$2:$C$7,3,FALSE)*'[1]Profiles, RES, Summer'!P$2</f>
        <v>18.165276724791507</v>
      </c>
      <c r="Q10" s="6">
        <f>VLOOKUP($A10,'RES installed'!$A$2:$C$7,3,FALSE)*'[1]Profiles, RES, Summer'!Q$2</f>
        <v>16.15617892342684</v>
      </c>
      <c r="R10" s="6">
        <f>VLOOKUP($A10,'RES installed'!$A$2:$C$7,3,FALSE)*'[1]Profiles, RES, Summer'!R$2</f>
        <v>12.949203942380592</v>
      </c>
      <c r="S10" s="6">
        <f>VLOOKUP($A10,'RES installed'!$A$2:$C$7,3,FALSE)*'[1]Profiles, RES, Summer'!S$2</f>
        <v>8.3775587566338139</v>
      </c>
      <c r="T10" s="6">
        <f>VLOOKUP($A10,'RES installed'!$A$2:$C$7,3,FALSE)*'[1]Profiles, RES, Summer'!T$2</f>
        <v>2.9188779378316907</v>
      </c>
      <c r="U10" s="6">
        <f>VLOOKUP($A10,'RES installed'!$A$2:$C$7,3,FALSE)*'[1]Profiles, RES, Summer'!U$2</f>
        <v>0.24260803639120546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788BB-74A3-477E-9B6F-19351CC6CB9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8.5507828181453238</v>
      </c>
      <c r="C5" s="9">
        <f>VLOOKUP($A5,'RES installed'!$A$2:$C$7,3,FALSE)*'[1]Profiles, RES, Summer'!C$6</f>
        <v>7.9425933360096339</v>
      </c>
      <c r="D5" s="9">
        <f>VLOOKUP($A5,'RES installed'!$A$2:$C$7,3,FALSE)*'[1]Profiles, RES, Summer'!D$6</f>
        <v>8.0750702529104768</v>
      </c>
      <c r="E5" s="9">
        <f>VLOOKUP($A5,'RES installed'!$A$2:$C$7,3,FALSE)*'[1]Profiles, RES, Summer'!E$6</f>
        <v>7.298273785628262</v>
      </c>
      <c r="F5" s="9">
        <f>VLOOKUP($A5,'RES installed'!$A$2:$C$7,3,FALSE)*'[1]Profiles, RES, Summer'!F$6</f>
        <v>6.8285828984343633</v>
      </c>
      <c r="G5" s="9">
        <f>VLOOKUP($A5,'RES installed'!$A$2:$C$7,3,FALSE)*'[1]Profiles, RES, Summer'!G$6</f>
        <v>7.2501003613006825</v>
      </c>
      <c r="H5" s="9">
        <f>VLOOKUP($A5,'RES installed'!$A$2:$C$7,3,FALSE)*'[1]Profiles, RES, Summer'!H$6</f>
        <v>7.1718185467683657</v>
      </c>
      <c r="I5" s="9">
        <f>VLOOKUP($A5,'RES installed'!$A$2:$C$7,3,FALSE)*'[1]Profiles, RES, Summer'!I$6</f>
        <v>5.2870333199518269</v>
      </c>
      <c r="J5" s="9">
        <f>VLOOKUP($A5,'RES installed'!$A$2:$C$7,3,FALSE)*'[1]Profiles, RES, Summer'!J$6</f>
        <v>3.3841830590124449</v>
      </c>
      <c r="K5" s="9">
        <f>VLOOKUP($A5,'RES installed'!$A$2:$C$7,3,FALSE)*'[1]Profiles, RES, Summer'!K$6</f>
        <v>2.4628663187474906</v>
      </c>
      <c r="L5" s="9">
        <f>VLOOKUP($A5,'RES installed'!$A$2:$C$7,3,FALSE)*'[1]Profiles, RES, Summer'!L$6</f>
        <v>1.8606985146527497</v>
      </c>
      <c r="M5" s="9">
        <f>VLOOKUP($A5,'RES installed'!$A$2:$C$7,3,FALSE)*'[1]Profiles, RES, Summer'!M$6</f>
        <v>1.746286631874749</v>
      </c>
      <c r="N5" s="9">
        <f>VLOOKUP($A5,'RES installed'!$A$2:$C$7,3,FALSE)*'[1]Profiles, RES, Summer'!N$6</f>
        <v>2.18586912886391</v>
      </c>
      <c r="O5" s="9">
        <f>VLOOKUP($A5,'RES installed'!$A$2:$C$7,3,FALSE)*'[1]Profiles, RES, Summer'!O$6</f>
        <v>2.8362103572862303</v>
      </c>
      <c r="P5" s="9">
        <f>VLOOKUP($A5,'RES installed'!$A$2:$C$7,3,FALSE)*'[1]Profiles, RES, Summer'!P$6</f>
        <v>4.0405459654757125</v>
      </c>
      <c r="Q5" s="9">
        <f>VLOOKUP($A5,'RES installed'!$A$2:$C$7,3,FALSE)*'[1]Profiles, RES, Summer'!Q$6</f>
        <v>5.1003613006824562</v>
      </c>
      <c r="R5" s="9">
        <f>VLOOKUP($A5,'RES installed'!$A$2:$C$7,3,FALSE)*'[1]Profiles, RES, Summer'!R$6</f>
        <v>6.1059815335206746</v>
      </c>
      <c r="S5" s="9">
        <f>VLOOKUP($A5,'RES installed'!$A$2:$C$7,3,FALSE)*'[1]Profiles, RES, Summer'!S$6</f>
        <v>6.5214773183460464</v>
      </c>
      <c r="T5" s="9">
        <f>VLOOKUP($A5,'RES installed'!$A$2:$C$7,3,FALSE)*'[1]Profiles, RES, Summer'!T$6</f>
        <v>6.2023283821758328</v>
      </c>
      <c r="U5" s="9">
        <f>VLOOKUP($A5,'RES installed'!$A$2:$C$7,3,FALSE)*'[1]Profiles, RES, Summer'!U$6</f>
        <v>6.015656362906463</v>
      </c>
      <c r="V5" s="9">
        <f>VLOOKUP($A5,'RES installed'!$A$2:$C$7,3,FALSE)*'[1]Profiles, RES, Summer'!V$6</f>
        <v>6.0337213970293053</v>
      </c>
      <c r="W5" s="9">
        <f>VLOOKUP($A5,'RES installed'!$A$2:$C$7,3,FALSE)*'[1]Profiles, RES, Summer'!W$6</f>
        <v>5.5459654757125652</v>
      </c>
      <c r="X5" s="9">
        <f>VLOOKUP($A5,'RES installed'!$A$2:$C$7,3,FALSE)*'[1]Profiles, RES, Summer'!X$6</f>
        <v>5.1425130469690892</v>
      </c>
      <c r="Y5" s="9">
        <f>VLOOKUP($A5,'RES installed'!$A$2:$C$7,3,FALSE)*'[1]Profiles, RES, Summer'!Y$6</f>
        <v>5.2328382175832999</v>
      </c>
    </row>
    <row r="6" spans="1:25" x14ac:dyDescent="0.3">
      <c r="A6" s="8">
        <v>5</v>
      </c>
      <c r="B6" s="9">
        <f>VLOOKUP($A6,'RES installed'!$A$2:$C$7,3,FALSE)*'[1]Profiles, RES, Summer'!B$6</f>
        <v>5.7005218787635492</v>
      </c>
      <c r="C6" s="9">
        <f>VLOOKUP($A6,'RES installed'!$A$2:$C$7,3,FALSE)*'[1]Profiles, RES, Summer'!C$6</f>
        <v>5.2950622240064229</v>
      </c>
      <c r="D6" s="9">
        <f>VLOOKUP($A6,'RES installed'!$A$2:$C$7,3,FALSE)*'[1]Profiles, RES, Summer'!D$6</f>
        <v>5.3833801686069851</v>
      </c>
      <c r="E6" s="9">
        <f>VLOOKUP($A6,'RES installed'!$A$2:$C$7,3,FALSE)*'[1]Profiles, RES, Summer'!E$6</f>
        <v>4.8655158570855077</v>
      </c>
      <c r="F6" s="9">
        <f>VLOOKUP($A6,'RES installed'!$A$2:$C$7,3,FALSE)*'[1]Profiles, RES, Summer'!F$6</f>
        <v>4.5523885989562425</v>
      </c>
      <c r="G6" s="9">
        <f>VLOOKUP($A6,'RES installed'!$A$2:$C$7,3,FALSE)*'[1]Profiles, RES, Summer'!G$6</f>
        <v>4.8334002408671219</v>
      </c>
      <c r="H6" s="9">
        <f>VLOOKUP($A6,'RES installed'!$A$2:$C$7,3,FALSE)*'[1]Profiles, RES, Summer'!H$6</f>
        <v>4.7812123645122444</v>
      </c>
      <c r="I6" s="9">
        <f>VLOOKUP($A6,'RES installed'!$A$2:$C$7,3,FALSE)*'[1]Profiles, RES, Summer'!I$6</f>
        <v>3.5246888799678846</v>
      </c>
      <c r="J6" s="9">
        <f>VLOOKUP($A6,'RES installed'!$A$2:$C$7,3,FALSE)*'[1]Profiles, RES, Summer'!J$6</f>
        <v>2.2561220393416299</v>
      </c>
      <c r="K6" s="9">
        <f>VLOOKUP($A6,'RES installed'!$A$2:$C$7,3,FALSE)*'[1]Profiles, RES, Summer'!K$6</f>
        <v>1.6419108791649939</v>
      </c>
      <c r="L6" s="9">
        <f>VLOOKUP($A6,'RES installed'!$A$2:$C$7,3,FALSE)*'[1]Profiles, RES, Summer'!L$6</f>
        <v>1.2404656764351665</v>
      </c>
      <c r="M6" s="9">
        <f>VLOOKUP($A6,'RES installed'!$A$2:$C$7,3,FALSE)*'[1]Profiles, RES, Summer'!M$6</f>
        <v>1.1641910879164994</v>
      </c>
      <c r="N6" s="9">
        <f>VLOOKUP($A6,'RES installed'!$A$2:$C$7,3,FALSE)*'[1]Profiles, RES, Summer'!N$6</f>
        <v>1.4572460859092735</v>
      </c>
      <c r="O6" s="9">
        <f>VLOOKUP($A6,'RES installed'!$A$2:$C$7,3,FALSE)*'[1]Profiles, RES, Summer'!O$6</f>
        <v>1.8908069048574869</v>
      </c>
      <c r="P6" s="9">
        <f>VLOOKUP($A6,'RES installed'!$A$2:$C$7,3,FALSE)*'[1]Profiles, RES, Summer'!P$6</f>
        <v>2.693697310317142</v>
      </c>
      <c r="Q6" s="9">
        <f>VLOOKUP($A6,'RES installed'!$A$2:$C$7,3,FALSE)*'[1]Profiles, RES, Summer'!Q$6</f>
        <v>3.4002408671216378</v>
      </c>
      <c r="R6" s="9">
        <f>VLOOKUP($A6,'RES installed'!$A$2:$C$7,3,FALSE)*'[1]Profiles, RES, Summer'!R$6</f>
        <v>4.0706543556804498</v>
      </c>
      <c r="S6" s="9">
        <f>VLOOKUP($A6,'RES installed'!$A$2:$C$7,3,FALSE)*'[1]Profiles, RES, Summer'!S$6</f>
        <v>4.3476515455640303</v>
      </c>
      <c r="T6" s="9">
        <f>VLOOKUP($A6,'RES installed'!$A$2:$C$7,3,FALSE)*'[1]Profiles, RES, Summer'!T$6</f>
        <v>4.1348855881172222</v>
      </c>
      <c r="U6" s="9">
        <f>VLOOKUP($A6,'RES installed'!$A$2:$C$7,3,FALSE)*'[1]Profiles, RES, Summer'!U$6</f>
        <v>4.0104375752709753</v>
      </c>
      <c r="V6" s="9">
        <f>VLOOKUP($A6,'RES installed'!$A$2:$C$7,3,FALSE)*'[1]Profiles, RES, Summer'!V$6</f>
        <v>4.0224809313528702</v>
      </c>
      <c r="W6" s="9">
        <f>VLOOKUP($A6,'RES installed'!$A$2:$C$7,3,FALSE)*'[1]Profiles, RES, Summer'!W$6</f>
        <v>3.6973103171417101</v>
      </c>
      <c r="X6" s="9">
        <f>VLOOKUP($A6,'RES installed'!$A$2:$C$7,3,FALSE)*'[1]Profiles, RES, Summer'!X$6</f>
        <v>3.428342031312726</v>
      </c>
      <c r="Y6" s="9">
        <f>VLOOKUP($A6,'RES installed'!$A$2:$C$7,3,FALSE)*'[1]Profiles, RES, Summer'!Y$6</f>
        <v>3.4885588117221999</v>
      </c>
    </row>
    <row r="7" spans="1:25" x14ac:dyDescent="0.3">
      <c r="A7" s="8">
        <v>6</v>
      </c>
      <c r="B7" s="9">
        <f>VLOOKUP($A7,'RES installed'!$A$2:$C$7,3,FALSE)*'[1]Profiles, RES, Summer'!B$6</f>
        <v>8.5507828181453238</v>
      </c>
      <c r="C7" s="9">
        <f>VLOOKUP($A7,'RES installed'!$A$2:$C$7,3,FALSE)*'[1]Profiles, RES, Summer'!C$6</f>
        <v>7.9425933360096339</v>
      </c>
      <c r="D7" s="9">
        <f>VLOOKUP($A7,'RES installed'!$A$2:$C$7,3,FALSE)*'[1]Profiles, RES, Summer'!D$6</f>
        <v>8.0750702529104768</v>
      </c>
      <c r="E7" s="9">
        <f>VLOOKUP($A7,'RES installed'!$A$2:$C$7,3,FALSE)*'[1]Profiles, RES, Summer'!E$6</f>
        <v>7.298273785628262</v>
      </c>
      <c r="F7" s="9">
        <f>VLOOKUP($A7,'RES installed'!$A$2:$C$7,3,FALSE)*'[1]Profiles, RES, Summer'!F$6</f>
        <v>6.8285828984343633</v>
      </c>
      <c r="G7" s="9">
        <f>VLOOKUP($A7,'RES installed'!$A$2:$C$7,3,FALSE)*'[1]Profiles, RES, Summer'!G$6</f>
        <v>7.2501003613006825</v>
      </c>
      <c r="H7" s="9">
        <f>VLOOKUP($A7,'RES installed'!$A$2:$C$7,3,FALSE)*'[1]Profiles, RES, Summer'!H$6</f>
        <v>7.1718185467683657</v>
      </c>
      <c r="I7" s="9">
        <f>VLOOKUP($A7,'RES installed'!$A$2:$C$7,3,FALSE)*'[1]Profiles, RES, Summer'!I$6</f>
        <v>5.2870333199518269</v>
      </c>
      <c r="J7" s="9">
        <f>VLOOKUP($A7,'RES installed'!$A$2:$C$7,3,FALSE)*'[1]Profiles, RES, Summer'!J$6</f>
        <v>3.3841830590124449</v>
      </c>
      <c r="K7" s="9">
        <f>VLOOKUP($A7,'RES installed'!$A$2:$C$7,3,FALSE)*'[1]Profiles, RES, Summer'!K$6</f>
        <v>2.4628663187474906</v>
      </c>
      <c r="L7" s="9">
        <f>VLOOKUP($A7,'RES installed'!$A$2:$C$7,3,FALSE)*'[1]Profiles, RES, Summer'!L$6</f>
        <v>1.8606985146527497</v>
      </c>
      <c r="M7" s="9">
        <f>VLOOKUP($A7,'RES installed'!$A$2:$C$7,3,FALSE)*'[1]Profiles, RES, Summer'!M$6</f>
        <v>1.746286631874749</v>
      </c>
      <c r="N7" s="9">
        <f>VLOOKUP($A7,'RES installed'!$A$2:$C$7,3,FALSE)*'[1]Profiles, RES, Summer'!N$6</f>
        <v>2.18586912886391</v>
      </c>
      <c r="O7" s="9">
        <f>VLOOKUP($A7,'RES installed'!$A$2:$C$7,3,FALSE)*'[1]Profiles, RES, Summer'!O$6</f>
        <v>2.8362103572862303</v>
      </c>
      <c r="P7" s="9">
        <f>VLOOKUP($A7,'RES installed'!$A$2:$C$7,3,FALSE)*'[1]Profiles, RES, Summer'!P$6</f>
        <v>4.0405459654757125</v>
      </c>
      <c r="Q7" s="9">
        <f>VLOOKUP($A7,'RES installed'!$A$2:$C$7,3,FALSE)*'[1]Profiles, RES, Summer'!Q$6</f>
        <v>5.1003613006824562</v>
      </c>
      <c r="R7" s="9">
        <f>VLOOKUP($A7,'RES installed'!$A$2:$C$7,3,FALSE)*'[1]Profiles, RES, Summer'!R$6</f>
        <v>6.1059815335206746</v>
      </c>
      <c r="S7" s="9">
        <f>VLOOKUP($A7,'RES installed'!$A$2:$C$7,3,FALSE)*'[1]Profiles, RES, Summer'!S$6</f>
        <v>6.5214773183460464</v>
      </c>
      <c r="T7" s="9">
        <f>VLOOKUP($A7,'RES installed'!$A$2:$C$7,3,FALSE)*'[1]Profiles, RES, Summer'!T$6</f>
        <v>6.2023283821758328</v>
      </c>
      <c r="U7" s="9">
        <f>VLOOKUP($A7,'RES installed'!$A$2:$C$7,3,FALSE)*'[1]Profiles, RES, Summer'!U$6</f>
        <v>6.015656362906463</v>
      </c>
      <c r="V7" s="9">
        <f>VLOOKUP($A7,'RES installed'!$A$2:$C$7,3,FALSE)*'[1]Profiles, RES, Summer'!V$6</f>
        <v>6.0337213970293053</v>
      </c>
      <c r="W7" s="9">
        <f>VLOOKUP($A7,'RES installed'!$A$2:$C$7,3,FALSE)*'[1]Profiles, RES, Summer'!W$6</f>
        <v>5.5459654757125652</v>
      </c>
      <c r="X7" s="9">
        <f>VLOOKUP($A7,'RES installed'!$A$2:$C$7,3,FALSE)*'[1]Profiles, RES, Summer'!X$6</f>
        <v>5.1425130469690892</v>
      </c>
      <c r="Y7" s="9">
        <f>VLOOKUP($A7,'RES installed'!$A$2:$C$7,3,FALSE)*'[1]Profiles, RES, Summer'!Y$6</f>
        <v>5.2328382175832999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5.6861258529188781E-2</v>
      </c>
      <c r="H8" s="6">
        <f>VLOOKUP($A8,'RES installed'!$A$2:$C$7,3,FALSE)*'[1]Profiles, RES, Summer'!H$3</f>
        <v>2.3995451099317662</v>
      </c>
      <c r="I8" s="6">
        <f>VLOOKUP($A8,'RES installed'!$A$2:$C$7,3,FALSE)*'[1]Profiles, RES, Summer'!I$3</f>
        <v>9.6550416982562552</v>
      </c>
      <c r="J8" s="6">
        <f>VLOOKUP($A8,'RES installed'!$A$2:$C$7,3,FALSE)*'[1]Profiles, RES, Summer'!J$3</f>
        <v>17.649734647460196</v>
      </c>
      <c r="K8" s="6">
        <f>VLOOKUP($A8,'RES installed'!$A$2:$C$7,3,FALSE)*'[1]Profiles, RES, Summer'!K$3</f>
        <v>23.21076573161486</v>
      </c>
      <c r="L8" s="6">
        <f>VLOOKUP($A8,'RES installed'!$A$2:$C$7,3,FALSE)*'[1]Profiles, RES, Summer'!L$3</f>
        <v>26.997725549658831</v>
      </c>
      <c r="M8" s="6">
        <f>VLOOKUP($A8,'RES installed'!$A$2:$C$7,3,FALSE)*'[1]Profiles, RES, Summer'!M$3</f>
        <v>28.396512509476878</v>
      </c>
      <c r="N8" s="6">
        <f>VLOOKUP($A8,'RES installed'!$A$2:$C$7,3,FALSE)*'[1]Profiles, RES, Summer'!N$3</f>
        <v>28.476118271417739</v>
      </c>
      <c r="O8" s="6">
        <f>VLOOKUP($A8,'RES installed'!$A$2:$C$7,3,FALSE)*'[1]Profiles, RES, Summer'!O$3</f>
        <v>27.873388931008339</v>
      </c>
      <c r="P8" s="6">
        <f>VLOOKUP($A8,'RES installed'!$A$2:$C$7,3,FALSE)*'[1]Profiles, RES, Summer'!P$3</f>
        <v>26.986353297952995</v>
      </c>
      <c r="Q8" s="6">
        <f>VLOOKUP($A8,'RES installed'!$A$2:$C$7,3,FALSE)*'[1]Profiles, RES, Summer'!Q$3</f>
        <v>24.075056861258528</v>
      </c>
      <c r="R8" s="6">
        <f>VLOOKUP($A8,'RES installed'!$A$2:$C$7,3,FALSE)*'[1]Profiles, RES, Summer'!R$3</f>
        <v>19.332827899924187</v>
      </c>
      <c r="S8" s="6">
        <f>VLOOKUP($A8,'RES installed'!$A$2:$C$7,3,FALSE)*'[1]Profiles, RES, Summer'!S$3</f>
        <v>12.122820318423049</v>
      </c>
      <c r="T8" s="6">
        <f>VLOOKUP($A8,'RES installed'!$A$2:$C$7,3,FALSE)*'[1]Profiles, RES, Summer'!T$3</f>
        <v>3.9461713419257012</v>
      </c>
      <c r="U8" s="6">
        <f>VLOOKUP($A8,'RES installed'!$A$2:$C$7,3,FALSE)*'[1]Profiles, RES, Summer'!U$3</f>
        <v>0.26156178923426837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1.8953752843062926E-2</v>
      </c>
      <c r="H9" s="6">
        <f>VLOOKUP($A9,'RES installed'!$A$2:$C$7,3,FALSE)*'[1]Profiles, RES, Summer'!H$3</f>
        <v>0.79984836997725539</v>
      </c>
      <c r="I9" s="6">
        <f>VLOOKUP($A9,'RES installed'!$A$2:$C$7,3,FALSE)*'[1]Profiles, RES, Summer'!I$3</f>
        <v>3.2183472327520852</v>
      </c>
      <c r="J9" s="6">
        <f>VLOOKUP($A9,'RES installed'!$A$2:$C$7,3,FALSE)*'[1]Profiles, RES, Summer'!J$3</f>
        <v>5.8832448824867321</v>
      </c>
      <c r="K9" s="6">
        <f>VLOOKUP($A9,'RES installed'!$A$2:$C$7,3,FALSE)*'[1]Profiles, RES, Summer'!K$3</f>
        <v>7.7369219105382872</v>
      </c>
      <c r="L9" s="6">
        <f>VLOOKUP($A9,'RES installed'!$A$2:$C$7,3,FALSE)*'[1]Profiles, RES, Summer'!L$3</f>
        <v>8.9992418498862765</v>
      </c>
      <c r="M9" s="6">
        <f>VLOOKUP($A9,'RES installed'!$A$2:$C$7,3,FALSE)*'[1]Profiles, RES, Summer'!M$3</f>
        <v>9.4655041698256266</v>
      </c>
      <c r="N9" s="6">
        <f>VLOOKUP($A9,'RES installed'!$A$2:$C$7,3,FALSE)*'[1]Profiles, RES, Summer'!N$3</f>
        <v>9.4920394238059131</v>
      </c>
      <c r="O9" s="6">
        <f>VLOOKUP($A9,'RES installed'!$A$2:$C$7,3,FALSE)*'[1]Profiles, RES, Summer'!O$3</f>
        <v>9.2911296436694464</v>
      </c>
      <c r="P9" s="6">
        <f>VLOOKUP($A9,'RES installed'!$A$2:$C$7,3,FALSE)*'[1]Profiles, RES, Summer'!P$3</f>
        <v>8.9954510993176644</v>
      </c>
      <c r="Q9" s="6">
        <f>VLOOKUP($A9,'RES installed'!$A$2:$C$7,3,FALSE)*'[1]Profiles, RES, Summer'!Q$3</f>
        <v>8.0250189537528431</v>
      </c>
      <c r="R9" s="6">
        <f>VLOOKUP($A9,'RES installed'!$A$2:$C$7,3,FALSE)*'[1]Profiles, RES, Summer'!R$3</f>
        <v>6.4442759666413956</v>
      </c>
      <c r="S9" s="6">
        <f>VLOOKUP($A9,'RES installed'!$A$2:$C$7,3,FALSE)*'[1]Profiles, RES, Summer'!S$3</f>
        <v>4.040940106141016</v>
      </c>
      <c r="T9" s="6">
        <f>VLOOKUP($A9,'RES installed'!$A$2:$C$7,3,FALSE)*'[1]Profiles, RES, Summer'!T$3</f>
        <v>1.3153904473085669</v>
      </c>
      <c r="U9" s="6">
        <f>VLOOKUP($A9,'RES installed'!$A$2:$C$7,3,FALSE)*'[1]Profiles, RES, Summer'!U$3</f>
        <v>8.7187263078089466E-2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3.7907505686125852E-2</v>
      </c>
      <c r="H10" s="6">
        <f>VLOOKUP($A10,'RES installed'!$A$2:$C$7,3,FALSE)*'[1]Profiles, RES, Summer'!H$3</f>
        <v>1.5996967399545108</v>
      </c>
      <c r="I10" s="6">
        <f>VLOOKUP($A10,'RES installed'!$A$2:$C$7,3,FALSE)*'[1]Profiles, RES, Summer'!I$3</f>
        <v>6.4366944655041705</v>
      </c>
      <c r="J10" s="6">
        <f>VLOOKUP($A10,'RES installed'!$A$2:$C$7,3,FALSE)*'[1]Profiles, RES, Summer'!J$3</f>
        <v>11.766489764973464</v>
      </c>
      <c r="K10" s="6">
        <f>VLOOKUP($A10,'RES installed'!$A$2:$C$7,3,FALSE)*'[1]Profiles, RES, Summer'!K$3</f>
        <v>15.473843821076574</v>
      </c>
      <c r="L10" s="6">
        <f>VLOOKUP($A10,'RES installed'!$A$2:$C$7,3,FALSE)*'[1]Profiles, RES, Summer'!L$3</f>
        <v>17.998483699772553</v>
      </c>
      <c r="M10" s="6">
        <f>VLOOKUP($A10,'RES installed'!$A$2:$C$7,3,FALSE)*'[1]Profiles, RES, Summer'!M$3</f>
        <v>18.931008339651253</v>
      </c>
      <c r="N10" s="6">
        <f>VLOOKUP($A10,'RES installed'!$A$2:$C$7,3,FALSE)*'[1]Profiles, RES, Summer'!N$3</f>
        <v>18.984078847611826</v>
      </c>
      <c r="O10" s="6">
        <f>VLOOKUP($A10,'RES installed'!$A$2:$C$7,3,FALSE)*'[1]Profiles, RES, Summer'!O$3</f>
        <v>18.582259287338893</v>
      </c>
      <c r="P10" s="6">
        <f>VLOOKUP($A10,'RES installed'!$A$2:$C$7,3,FALSE)*'[1]Profiles, RES, Summer'!P$3</f>
        <v>17.990902198635329</v>
      </c>
      <c r="Q10" s="6">
        <f>VLOOKUP($A10,'RES installed'!$A$2:$C$7,3,FALSE)*'[1]Profiles, RES, Summer'!Q$3</f>
        <v>16.050037907505686</v>
      </c>
      <c r="R10" s="6">
        <f>VLOOKUP($A10,'RES installed'!$A$2:$C$7,3,FALSE)*'[1]Profiles, RES, Summer'!R$3</f>
        <v>12.888551933282791</v>
      </c>
      <c r="S10" s="6">
        <f>VLOOKUP($A10,'RES installed'!$A$2:$C$7,3,FALSE)*'[1]Profiles, RES, Summer'!S$3</f>
        <v>8.0818802122820319</v>
      </c>
      <c r="T10" s="6">
        <f>VLOOKUP($A10,'RES installed'!$A$2:$C$7,3,FALSE)*'[1]Profiles, RES, Summer'!T$3</f>
        <v>2.6307808946171338</v>
      </c>
      <c r="U10" s="6">
        <f>VLOOKUP($A10,'RES installed'!$A$2:$C$7,3,FALSE)*'[1]Profiles, RES, Summer'!U$3</f>
        <v>0.17437452615617893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C5497-56F8-42F6-A945-D4621CE2E97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8.93014853472501</v>
      </c>
      <c r="C5" s="9">
        <f>VLOOKUP($A5,'RES installed'!$A$2:$C$7,3,FALSE)*'[1]Profiles, RES, Summer'!C$7</f>
        <v>8.0329185066238455</v>
      </c>
      <c r="D5" s="9">
        <f>VLOOKUP($A5,'RES installed'!$A$2:$C$7,3,FALSE)*'[1]Profiles, RES, Summer'!D$7</f>
        <v>6.7081493376154153</v>
      </c>
      <c r="E5" s="9">
        <f>VLOOKUP($A5,'RES installed'!$A$2:$C$7,3,FALSE)*'[1]Profiles, RES, Summer'!E$7</f>
        <v>6.340826977117624</v>
      </c>
      <c r="F5" s="9">
        <f>VLOOKUP($A5,'RES installed'!$A$2:$C$7,3,FALSE)*'[1]Profiles, RES, Summer'!F$7</f>
        <v>6.2384584504215175</v>
      </c>
      <c r="G5" s="9">
        <f>VLOOKUP($A5,'RES installed'!$A$2:$C$7,3,FALSE)*'[1]Profiles, RES, Summer'!G$7</f>
        <v>6.9971898835808908</v>
      </c>
      <c r="H5" s="9">
        <f>VLOOKUP($A5,'RES installed'!$A$2:$C$7,3,FALSE)*'[1]Profiles, RES, Summer'!H$7</f>
        <v>7.713769570453632</v>
      </c>
      <c r="I5" s="9">
        <f>VLOOKUP($A5,'RES installed'!$A$2:$C$7,3,FALSE)*'[1]Profiles, RES, Summer'!I$7</f>
        <v>7.9787234042553195</v>
      </c>
      <c r="J5" s="9">
        <f>VLOOKUP($A5,'RES installed'!$A$2:$C$7,3,FALSE)*'[1]Profiles, RES, Summer'!J$7</f>
        <v>6.4853472501003608</v>
      </c>
      <c r="K5" s="9">
        <f>VLOOKUP($A5,'RES installed'!$A$2:$C$7,3,FALSE)*'[1]Profiles, RES, Summer'!K$7</f>
        <v>5.0461661983139301</v>
      </c>
      <c r="L5" s="9">
        <f>VLOOKUP($A5,'RES installed'!$A$2:$C$7,3,FALSE)*'[1]Profiles, RES, Summer'!L$7</f>
        <v>4.5403452428743476</v>
      </c>
      <c r="M5" s="9">
        <f>VLOOKUP($A5,'RES installed'!$A$2:$C$7,3,FALSE)*'[1]Profiles, RES, Summer'!M$7</f>
        <v>4.0525893215576065</v>
      </c>
      <c r="N5" s="9">
        <f>VLOOKUP($A5,'RES installed'!$A$2:$C$7,3,FALSE)*'[1]Profiles, RES, Summer'!N$7</f>
        <v>4.3898032918506624</v>
      </c>
      <c r="O5" s="9">
        <f>VLOOKUP($A5,'RES installed'!$A$2:$C$7,3,FALSE)*'[1]Profiles, RES, Summer'!O$7</f>
        <v>5.8410276997189881</v>
      </c>
      <c r="P5" s="9">
        <f>VLOOKUP($A5,'RES installed'!$A$2:$C$7,3,FALSE)*'[1]Profiles, RES, Summer'!P$7</f>
        <v>7.3464472099558407</v>
      </c>
      <c r="Q5" s="9">
        <f>VLOOKUP($A5,'RES installed'!$A$2:$C$7,3,FALSE)*'[1]Profiles, RES, Summer'!Q$7</f>
        <v>7.7077478924126854</v>
      </c>
      <c r="R5" s="9">
        <f>VLOOKUP($A5,'RES installed'!$A$2:$C$7,3,FALSE)*'[1]Profiles, RES, Summer'!R$7</f>
        <v>8.3219590525893228</v>
      </c>
      <c r="S5" s="9">
        <f>VLOOKUP($A5,'RES installed'!$A$2:$C$7,3,FALSE)*'[1]Profiles, RES, Summer'!S$7</f>
        <v>8.6591730228823778</v>
      </c>
      <c r="T5" s="9">
        <f>VLOOKUP($A5,'RES installed'!$A$2:$C$7,3,FALSE)*'[1]Profiles, RES, Summer'!T$7</f>
        <v>8.8759534323564839</v>
      </c>
      <c r="U5" s="9">
        <f>VLOOKUP($A5,'RES installed'!$A$2:$C$7,3,FALSE)*'[1]Profiles, RES, Summer'!U$7</f>
        <v>10.170614211160176</v>
      </c>
      <c r="V5" s="9">
        <f>VLOOKUP($A5,'RES installed'!$A$2:$C$7,3,FALSE)*'[1]Profiles, RES, Summer'!V$7</f>
        <v>11.44118827780008</v>
      </c>
      <c r="W5" s="9">
        <f>VLOOKUP($A5,'RES installed'!$A$2:$C$7,3,FALSE)*'[1]Profiles, RES, Summer'!W$7</f>
        <v>11.049779205138497</v>
      </c>
      <c r="X5" s="9">
        <f>VLOOKUP($A5,'RES installed'!$A$2:$C$7,3,FALSE)*'[1]Profiles, RES, Summer'!X$7</f>
        <v>10.4656764351666</v>
      </c>
      <c r="Y5" s="9">
        <f>VLOOKUP($A5,'RES installed'!$A$2:$C$7,3,FALSE)*'[1]Profiles, RES, Summer'!Y$7</f>
        <v>10.27900441589723</v>
      </c>
    </row>
    <row r="6" spans="1:25" x14ac:dyDescent="0.3">
      <c r="A6" s="8">
        <v>5</v>
      </c>
      <c r="B6" s="9">
        <f>VLOOKUP($A6,'RES installed'!$A$2:$C$7,3,FALSE)*'[1]Profiles, RES, Summer'!B$7</f>
        <v>5.95343235648334</v>
      </c>
      <c r="C6" s="9">
        <f>VLOOKUP($A6,'RES installed'!$A$2:$C$7,3,FALSE)*'[1]Profiles, RES, Summer'!C$7</f>
        <v>5.3552790044158973</v>
      </c>
      <c r="D6" s="9">
        <f>VLOOKUP($A6,'RES installed'!$A$2:$C$7,3,FALSE)*'[1]Profiles, RES, Summer'!D$7</f>
        <v>4.4720995584102772</v>
      </c>
      <c r="E6" s="9">
        <f>VLOOKUP($A6,'RES installed'!$A$2:$C$7,3,FALSE)*'[1]Profiles, RES, Summer'!E$7</f>
        <v>4.2272179847450824</v>
      </c>
      <c r="F6" s="9">
        <f>VLOOKUP($A6,'RES installed'!$A$2:$C$7,3,FALSE)*'[1]Profiles, RES, Summer'!F$7</f>
        <v>4.1589723002810111</v>
      </c>
      <c r="G6" s="9">
        <f>VLOOKUP($A6,'RES installed'!$A$2:$C$7,3,FALSE)*'[1]Profiles, RES, Summer'!G$7</f>
        <v>4.6647932557205944</v>
      </c>
      <c r="H6" s="9">
        <f>VLOOKUP($A6,'RES installed'!$A$2:$C$7,3,FALSE)*'[1]Profiles, RES, Summer'!H$7</f>
        <v>5.1425130469690883</v>
      </c>
      <c r="I6" s="9">
        <f>VLOOKUP($A6,'RES installed'!$A$2:$C$7,3,FALSE)*'[1]Profiles, RES, Summer'!I$7</f>
        <v>5.3191489361702127</v>
      </c>
      <c r="J6" s="9">
        <f>VLOOKUP($A6,'RES installed'!$A$2:$C$7,3,FALSE)*'[1]Profiles, RES, Summer'!J$7</f>
        <v>4.3235648334002406</v>
      </c>
      <c r="K6" s="9">
        <f>VLOOKUP($A6,'RES installed'!$A$2:$C$7,3,FALSE)*'[1]Profiles, RES, Summer'!K$7</f>
        <v>3.3641107988759531</v>
      </c>
      <c r="L6" s="9">
        <f>VLOOKUP($A6,'RES installed'!$A$2:$C$7,3,FALSE)*'[1]Profiles, RES, Summer'!L$7</f>
        <v>3.0268968285828985</v>
      </c>
      <c r="M6" s="9">
        <f>VLOOKUP($A6,'RES installed'!$A$2:$C$7,3,FALSE)*'[1]Profiles, RES, Summer'!M$7</f>
        <v>2.701726214371738</v>
      </c>
      <c r="N6" s="9">
        <f>VLOOKUP($A6,'RES installed'!$A$2:$C$7,3,FALSE)*'[1]Profiles, RES, Summer'!N$7</f>
        <v>2.9265355279004419</v>
      </c>
      <c r="O6" s="9">
        <f>VLOOKUP($A6,'RES installed'!$A$2:$C$7,3,FALSE)*'[1]Profiles, RES, Summer'!O$7</f>
        <v>3.8940184664793254</v>
      </c>
      <c r="P6" s="9">
        <f>VLOOKUP($A6,'RES installed'!$A$2:$C$7,3,FALSE)*'[1]Profiles, RES, Summer'!P$7</f>
        <v>4.8976314733038944</v>
      </c>
      <c r="Q6" s="9">
        <f>VLOOKUP($A6,'RES installed'!$A$2:$C$7,3,FALSE)*'[1]Profiles, RES, Summer'!Q$7</f>
        <v>5.1384985949417903</v>
      </c>
      <c r="R6" s="9">
        <f>VLOOKUP($A6,'RES installed'!$A$2:$C$7,3,FALSE)*'[1]Profiles, RES, Summer'!R$7</f>
        <v>5.5479727017262146</v>
      </c>
      <c r="S6" s="9">
        <f>VLOOKUP($A6,'RES installed'!$A$2:$C$7,3,FALSE)*'[1]Profiles, RES, Summer'!S$7</f>
        <v>5.7727820152549185</v>
      </c>
      <c r="T6" s="9">
        <f>VLOOKUP($A6,'RES installed'!$A$2:$C$7,3,FALSE)*'[1]Profiles, RES, Summer'!T$7</f>
        <v>5.9173022882376554</v>
      </c>
      <c r="U6" s="9">
        <f>VLOOKUP($A6,'RES installed'!$A$2:$C$7,3,FALSE)*'[1]Profiles, RES, Summer'!U$7</f>
        <v>6.7804094741067846</v>
      </c>
      <c r="V6" s="9">
        <f>VLOOKUP($A6,'RES installed'!$A$2:$C$7,3,FALSE)*'[1]Profiles, RES, Summer'!V$7</f>
        <v>7.6274588518667201</v>
      </c>
      <c r="W6" s="9">
        <f>VLOOKUP($A6,'RES installed'!$A$2:$C$7,3,FALSE)*'[1]Profiles, RES, Summer'!W$7</f>
        <v>7.3665194700923315</v>
      </c>
      <c r="X6" s="9">
        <f>VLOOKUP($A6,'RES installed'!$A$2:$C$7,3,FALSE)*'[1]Profiles, RES, Summer'!X$7</f>
        <v>6.9771176234443999</v>
      </c>
      <c r="Y6" s="9">
        <f>VLOOKUP($A6,'RES installed'!$A$2:$C$7,3,FALSE)*'[1]Profiles, RES, Summer'!Y$7</f>
        <v>6.852669610598153</v>
      </c>
    </row>
    <row r="7" spans="1:25" x14ac:dyDescent="0.3">
      <c r="A7" s="8">
        <v>6</v>
      </c>
      <c r="B7" s="9">
        <f>VLOOKUP($A7,'RES installed'!$A$2:$C$7,3,FALSE)*'[1]Profiles, RES, Summer'!B$7</f>
        <v>8.93014853472501</v>
      </c>
      <c r="C7" s="9">
        <f>VLOOKUP($A7,'RES installed'!$A$2:$C$7,3,FALSE)*'[1]Profiles, RES, Summer'!C$7</f>
        <v>8.0329185066238455</v>
      </c>
      <c r="D7" s="9">
        <f>VLOOKUP($A7,'RES installed'!$A$2:$C$7,3,FALSE)*'[1]Profiles, RES, Summer'!D$7</f>
        <v>6.7081493376154153</v>
      </c>
      <c r="E7" s="9">
        <f>VLOOKUP($A7,'RES installed'!$A$2:$C$7,3,FALSE)*'[1]Profiles, RES, Summer'!E$7</f>
        <v>6.340826977117624</v>
      </c>
      <c r="F7" s="9">
        <f>VLOOKUP($A7,'RES installed'!$A$2:$C$7,3,FALSE)*'[1]Profiles, RES, Summer'!F$7</f>
        <v>6.2384584504215175</v>
      </c>
      <c r="G7" s="9">
        <f>VLOOKUP($A7,'RES installed'!$A$2:$C$7,3,FALSE)*'[1]Profiles, RES, Summer'!G$7</f>
        <v>6.9971898835808908</v>
      </c>
      <c r="H7" s="9">
        <f>VLOOKUP($A7,'RES installed'!$A$2:$C$7,3,FALSE)*'[1]Profiles, RES, Summer'!H$7</f>
        <v>7.713769570453632</v>
      </c>
      <c r="I7" s="9">
        <f>VLOOKUP($A7,'RES installed'!$A$2:$C$7,3,FALSE)*'[1]Profiles, RES, Summer'!I$7</f>
        <v>7.9787234042553195</v>
      </c>
      <c r="J7" s="9">
        <f>VLOOKUP($A7,'RES installed'!$A$2:$C$7,3,FALSE)*'[1]Profiles, RES, Summer'!J$7</f>
        <v>6.4853472501003608</v>
      </c>
      <c r="K7" s="9">
        <f>VLOOKUP($A7,'RES installed'!$A$2:$C$7,3,FALSE)*'[1]Profiles, RES, Summer'!K$7</f>
        <v>5.0461661983139301</v>
      </c>
      <c r="L7" s="9">
        <f>VLOOKUP($A7,'RES installed'!$A$2:$C$7,3,FALSE)*'[1]Profiles, RES, Summer'!L$7</f>
        <v>4.5403452428743476</v>
      </c>
      <c r="M7" s="9">
        <f>VLOOKUP($A7,'RES installed'!$A$2:$C$7,3,FALSE)*'[1]Profiles, RES, Summer'!M$7</f>
        <v>4.0525893215576065</v>
      </c>
      <c r="N7" s="9">
        <f>VLOOKUP($A7,'RES installed'!$A$2:$C$7,3,FALSE)*'[1]Profiles, RES, Summer'!N$7</f>
        <v>4.3898032918506624</v>
      </c>
      <c r="O7" s="9">
        <f>VLOOKUP($A7,'RES installed'!$A$2:$C$7,3,FALSE)*'[1]Profiles, RES, Summer'!O$7</f>
        <v>5.8410276997189881</v>
      </c>
      <c r="P7" s="9">
        <f>VLOOKUP($A7,'RES installed'!$A$2:$C$7,3,FALSE)*'[1]Profiles, RES, Summer'!P$7</f>
        <v>7.3464472099558407</v>
      </c>
      <c r="Q7" s="9">
        <f>VLOOKUP($A7,'RES installed'!$A$2:$C$7,3,FALSE)*'[1]Profiles, RES, Summer'!Q$7</f>
        <v>7.7077478924126854</v>
      </c>
      <c r="R7" s="9">
        <f>VLOOKUP($A7,'RES installed'!$A$2:$C$7,3,FALSE)*'[1]Profiles, RES, Summer'!R$7</f>
        <v>8.3219590525893228</v>
      </c>
      <c r="S7" s="9">
        <f>VLOOKUP($A7,'RES installed'!$A$2:$C$7,3,FALSE)*'[1]Profiles, RES, Summer'!S$7</f>
        <v>8.6591730228823778</v>
      </c>
      <c r="T7" s="9">
        <f>VLOOKUP($A7,'RES installed'!$A$2:$C$7,3,FALSE)*'[1]Profiles, RES, Summer'!T$7</f>
        <v>8.8759534323564839</v>
      </c>
      <c r="U7" s="9">
        <f>VLOOKUP($A7,'RES installed'!$A$2:$C$7,3,FALSE)*'[1]Profiles, RES, Summer'!U$7</f>
        <v>10.170614211160176</v>
      </c>
      <c r="V7" s="9">
        <f>VLOOKUP($A7,'RES installed'!$A$2:$C$7,3,FALSE)*'[1]Profiles, RES, Summer'!V$7</f>
        <v>11.44118827780008</v>
      </c>
      <c r="W7" s="9">
        <f>VLOOKUP($A7,'RES installed'!$A$2:$C$7,3,FALSE)*'[1]Profiles, RES, Summer'!W$7</f>
        <v>11.049779205138497</v>
      </c>
      <c r="X7" s="9">
        <f>VLOOKUP($A7,'RES installed'!$A$2:$C$7,3,FALSE)*'[1]Profiles, RES, Summer'!X$7</f>
        <v>10.4656764351666</v>
      </c>
      <c r="Y7" s="9">
        <f>VLOOKUP($A7,'RES installed'!$A$2:$C$7,3,FALSE)*'[1]Profiles, RES, Summer'!Y$7</f>
        <v>10.27900441589723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1.1372251705837756E-2</v>
      </c>
      <c r="H8" s="6">
        <f>VLOOKUP($A8,'RES installed'!$A$2:$C$7,3,FALSE)*'[1]Profiles, RES, Summer'!H$4</f>
        <v>1.398786959818044</v>
      </c>
      <c r="I8" s="6">
        <f>VLOOKUP($A8,'RES installed'!$A$2:$C$7,3,FALSE)*'[1]Profiles, RES, Summer'!I$4</f>
        <v>6.618650492797574</v>
      </c>
      <c r="J8" s="6">
        <f>VLOOKUP($A8,'RES installed'!$A$2:$C$7,3,FALSE)*'[1]Profiles, RES, Summer'!J$4</f>
        <v>14.408642911296438</v>
      </c>
      <c r="K8" s="6">
        <f>VLOOKUP($A8,'RES installed'!$A$2:$C$7,3,FALSE)*'[1]Profiles, RES, Summer'!K$4</f>
        <v>22.244124336618651</v>
      </c>
      <c r="L8" s="6">
        <f>VLOOKUP($A8,'RES installed'!$A$2:$C$7,3,FALSE)*'[1]Profiles, RES, Summer'!L$4</f>
        <v>27.304776345716451</v>
      </c>
      <c r="M8" s="6">
        <f>VLOOKUP($A8,'RES installed'!$A$2:$C$7,3,FALSE)*'[1]Profiles, RES, Summer'!M$4</f>
        <v>29.203942380591357</v>
      </c>
      <c r="N8" s="6">
        <f>VLOOKUP($A8,'RES installed'!$A$2:$C$7,3,FALSE)*'[1]Profiles, RES, Summer'!N$4</f>
        <v>30</v>
      </c>
      <c r="O8" s="6">
        <f>VLOOKUP($A8,'RES installed'!$A$2:$C$7,3,FALSE)*'[1]Profiles, RES, Summer'!O$4</f>
        <v>29.476876421531461</v>
      </c>
      <c r="P8" s="6">
        <f>VLOOKUP($A8,'RES installed'!$A$2:$C$7,3,FALSE)*'[1]Profiles, RES, Summer'!P$4</f>
        <v>27.987111448066717</v>
      </c>
      <c r="Q8" s="6">
        <f>VLOOKUP($A8,'RES installed'!$A$2:$C$7,3,FALSE)*'[1]Profiles, RES, Summer'!Q$4</f>
        <v>24.768764215314633</v>
      </c>
      <c r="R8" s="6">
        <f>VLOOKUP($A8,'RES installed'!$A$2:$C$7,3,FALSE)*'[1]Profiles, RES, Summer'!R$4</f>
        <v>19.457922668688401</v>
      </c>
      <c r="S8" s="6">
        <f>VLOOKUP($A8,'RES installed'!$A$2:$C$7,3,FALSE)*'[1]Profiles, RES, Summer'!S$4</f>
        <v>11.576952236542835</v>
      </c>
      <c r="T8" s="6">
        <f>VLOOKUP($A8,'RES installed'!$A$2:$C$7,3,FALSE)*'[1]Profiles, RES, Summer'!T$4</f>
        <v>3.5367702805155421</v>
      </c>
      <c r="U8" s="6">
        <f>VLOOKUP($A8,'RES installed'!$A$2:$C$7,3,FALSE)*'[1]Profiles, RES, Summer'!U$4</f>
        <v>0.1592115238817286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3.7907505686125853E-3</v>
      </c>
      <c r="H9" s="6">
        <f>VLOOKUP($A9,'RES installed'!$A$2:$C$7,3,FALSE)*'[1]Profiles, RES, Summer'!H$4</f>
        <v>0.46626231993934797</v>
      </c>
      <c r="I9" s="6">
        <f>VLOOKUP($A9,'RES installed'!$A$2:$C$7,3,FALSE)*'[1]Profiles, RES, Summer'!I$4</f>
        <v>2.206216830932525</v>
      </c>
      <c r="J9" s="6">
        <f>VLOOKUP($A9,'RES installed'!$A$2:$C$7,3,FALSE)*'[1]Profiles, RES, Summer'!J$4</f>
        <v>4.8028809704321453</v>
      </c>
      <c r="K9" s="6">
        <f>VLOOKUP($A9,'RES installed'!$A$2:$C$7,3,FALSE)*'[1]Profiles, RES, Summer'!K$4</f>
        <v>7.4147081122062168</v>
      </c>
      <c r="L9" s="6">
        <f>VLOOKUP($A9,'RES installed'!$A$2:$C$7,3,FALSE)*'[1]Profiles, RES, Summer'!L$4</f>
        <v>9.1015921152388159</v>
      </c>
      <c r="M9" s="6">
        <f>VLOOKUP($A9,'RES installed'!$A$2:$C$7,3,FALSE)*'[1]Profiles, RES, Summer'!M$4</f>
        <v>9.7346474601971185</v>
      </c>
      <c r="N9" s="6">
        <f>VLOOKUP($A9,'RES installed'!$A$2:$C$7,3,FALSE)*'[1]Profiles, RES, Summer'!N$4</f>
        <v>10</v>
      </c>
      <c r="O9" s="6">
        <f>VLOOKUP($A9,'RES installed'!$A$2:$C$7,3,FALSE)*'[1]Profiles, RES, Summer'!O$4</f>
        <v>9.8256254738438216</v>
      </c>
      <c r="P9" s="6">
        <f>VLOOKUP($A9,'RES installed'!$A$2:$C$7,3,FALSE)*'[1]Profiles, RES, Summer'!P$4</f>
        <v>9.3290371493555728</v>
      </c>
      <c r="Q9" s="6">
        <f>VLOOKUP($A9,'RES installed'!$A$2:$C$7,3,FALSE)*'[1]Profiles, RES, Summer'!Q$4</f>
        <v>8.2562547384382121</v>
      </c>
      <c r="R9" s="6">
        <f>VLOOKUP($A9,'RES installed'!$A$2:$C$7,3,FALSE)*'[1]Profiles, RES, Summer'!R$4</f>
        <v>6.4859742228961341</v>
      </c>
      <c r="S9" s="6">
        <f>VLOOKUP($A9,'RES installed'!$A$2:$C$7,3,FALSE)*'[1]Profiles, RES, Summer'!S$4</f>
        <v>3.858984078847612</v>
      </c>
      <c r="T9" s="6">
        <f>VLOOKUP($A9,'RES installed'!$A$2:$C$7,3,FALSE)*'[1]Profiles, RES, Summer'!T$4</f>
        <v>1.178923426838514</v>
      </c>
      <c r="U9" s="6">
        <f>VLOOKUP($A9,'RES installed'!$A$2:$C$7,3,FALSE)*'[1]Profiles, RES, Summer'!U$4</f>
        <v>5.3070507960576198E-2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7.5815011372251705E-3</v>
      </c>
      <c r="H10" s="6">
        <f>VLOOKUP($A10,'RES installed'!$A$2:$C$7,3,FALSE)*'[1]Profiles, RES, Summer'!H$4</f>
        <v>0.93252463987869594</v>
      </c>
      <c r="I10" s="6">
        <f>VLOOKUP($A10,'RES installed'!$A$2:$C$7,3,FALSE)*'[1]Profiles, RES, Summer'!I$4</f>
        <v>4.4124336618650499</v>
      </c>
      <c r="J10" s="6">
        <f>VLOOKUP($A10,'RES installed'!$A$2:$C$7,3,FALSE)*'[1]Profiles, RES, Summer'!J$4</f>
        <v>9.6057619408642907</v>
      </c>
      <c r="K10" s="6">
        <f>VLOOKUP($A10,'RES installed'!$A$2:$C$7,3,FALSE)*'[1]Profiles, RES, Summer'!K$4</f>
        <v>14.829416224412434</v>
      </c>
      <c r="L10" s="6">
        <f>VLOOKUP($A10,'RES installed'!$A$2:$C$7,3,FALSE)*'[1]Profiles, RES, Summer'!L$4</f>
        <v>18.203184230477632</v>
      </c>
      <c r="M10" s="6">
        <f>VLOOKUP($A10,'RES installed'!$A$2:$C$7,3,FALSE)*'[1]Profiles, RES, Summer'!M$4</f>
        <v>19.469294920394237</v>
      </c>
      <c r="N10" s="6">
        <f>VLOOKUP($A10,'RES installed'!$A$2:$C$7,3,FALSE)*'[1]Profiles, RES, Summer'!N$4</f>
        <v>20</v>
      </c>
      <c r="O10" s="6">
        <f>VLOOKUP($A10,'RES installed'!$A$2:$C$7,3,FALSE)*'[1]Profiles, RES, Summer'!O$4</f>
        <v>19.651250947687643</v>
      </c>
      <c r="P10" s="6">
        <f>VLOOKUP($A10,'RES installed'!$A$2:$C$7,3,FALSE)*'[1]Profiles, RES, Summer'!P$4</f>
        <v>18.658074298711146</v>
      </c>
      <c r="Q10" s="6">
        <f>VLOOKUP($A10,'RES installed'!$A$2:$C$7,3,FALSE)*'[1]Profiles, RES, Summer'!Q$4</f>
        <v>16.512509476876424</v>
      </c>
      <c r="R10" s="6">
        <f>VLOOKUP($A10,'RES installed'!$A$2:$C$7,3,FALSE)*'[1]Profiles, RES, Summer'!R$4</f>
        <v>12.971948445792268</v>
      </c>
      <c r="S10" s="6">
        <f>VLOOKUP($A10,'RES installed'!$A$2:$C$7,3,FALSE)*'[1]Profiles, RES, Summer'!S$4</f>
        <v>7.7179681576952239</v>
      </c>
      <c r="T10" s="6">
        <f>VLOOKUP($A10,'RES installed'!$A$2:$C$7,3,FALSE)*'[1]Profiles, RES, Summer'!T$4</f>
        <v>2.3578468536770281</v>
      </c>
      <c r="U10" s="6">
        <f>VLOOKUP($A10,'RES installed'!$A$2:$C$7,3,FALSE)*'[1]Profiles, RES, Summer'!U$4</f>
        <v>0.1061410159211524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6CB5B-1DB1-4676-8A26-9AF5B04E0EB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8.1051786431152131</v>
      </c>
      <c r="C5" s="9">
        <f>VLOOKUP($A5,'RES installed'!$A$2:$C$7,3,FALSE)*'[1]Profiles, RES, Summer'!C$5</f>
        <v>7.4126856684062625</v>
      </c>
      <c r="D5" s="9">
        <f>VLOOKUP($A5,'RES installed'!$A$2:$C$7,3,FALSE)*'[1]Profiles, RES, Summer'!D$5</f>
        <v>6.4853472501003608</v>
      </c>
      <c r="E5" s="9">
        <f>VLOOKUP($A5,'RES installed'!$A$2:$C$7,3,FALSE)*'[1]Profiles, RES, Summer'!E$5</f>
        <v>6.461260537936572</v>
      </c>
      <c r="F5" s="9">
        <f>VLOOKUP($A5,'RES installed'!$A$2:$C$7,3,FALSE)*'[1]Profiles, RES, Summer'!F$5</f>
        <v>6.1180248896025695</v>
      </c>
      <c r="G5" s="9">
        <f>VLOOKUP($A5,'RES installed'!$A$2:$C$7,3,FALSE)*'[1]Profiles, RES, Summer'!G$5</f>
        <v>5.6362906463267768</v>
      </c>
      <c r="H5" s="9">
        <f>VLOOKUP($A5,'RES installed'!$A$2:$C$7,3,FALSE)*'[1]Profiles, RES, Summer'!H$5</f>
        <v>4.9558410276997193</v>
      </c>
      <c r="I5" s="9">
        <f>VLOOKUP($A5,'RES installed'!$A$2:$C$7,3,FALSE)*'[1]Profiles, RES, Summer'!I$5</f>
        <v>3.8960256924929744</v>
      </c>
      <c r="J5" s="9">
        <f>VLOOKUP($A5,'RES installed'!$A$2:$C$7,3,FALSE)*'[1]Profiles, RES, Summer'!J$5</f>
        <v>3.2396627860297067</v>
      </c>
      <c r="K5" s="9">
        <f>VLOOKUP($A5,'RES installed'!$A$2:$C$7,3,FALSE)*'[1]Profiles, RES, Summer'!K$5</f>
        <v>3.0289040545965475</v>
      </c>
      <c r="L5" s="9">
        <f>VLOOKUP($A5,'RES installed'!$A$2:$C$7,3,FALSE)*'[1]Profiles, RES, Summer'!L$5</f>
        <v>2.7880369329586512</v>
      </c>
      <c r="M5" s="9">
        <f>VLOOKUP($A5,'RES installed'!$A$2:$C$7,3,FALSE)*'[1]Profiles, RES, Summer'!M$5</f>
        <v>3.1372942593336011</v>
      </c>
      <c r="N5" s="9">
        <f>VLOOKUP($A5,'RES installed'!$A$2:$C$7,3,FALSE)*'[1]Profiles, RES, Summer'!N$5</f>
        <v>3.9441991168205535</v>
      </c>
      <c r="O5" s="9">
        <f>VLOOKUP($A5,'RES installed'!$A$2:$C$7,3,FALSE)*'[1]Profiles, RES, Summer'!O$5</f>
        <v>4.8956242472902449</v>
      </c>
      <c r="P5" s="9">
        <f>VLOOKUP($A5,'RES installed'!$A$2:$C$7,3,FALSE)*'[1]Profiles, RES, Summer'!P$5</f>
        <v>6.5335206744279404</v>
      </c>
      <c r="Q5" s="9">
        <f>VLOOKUP($A5,'RES installed'!$A$2:$C$7,3,FALSE)*'[1]Profiles, RES, Summer'!Q$5</f>
        <v>8.3400240867121642</v>
      </c>
      <c r="R5" s="9">
        <f>VLOOKUP($A5,'RES installed'!$A$2:$C$7,3,FALSE)*'[1]Profiles, RES, Summer'!R$5</f>
        <v>9.8574869530309108</v>
      </c>
      <c r="S5" s="9">
        <f>VLOOKUP($A5,'RES installed'!$A$2:$C$7,3,FALSE)*'[1]Profiles, RES, Summer'!S$5</f>
        <v>10.519871537535126</v>
      </c>
      <c r="T5" s="9">
        <f>VLOOKUP($A5,'RES installed'!$A$2:$C$7,3,FALSE)*'[1]Profiles, RES, Summer'!T$5</f>
        <v>11.320754716981133</v>
      </c>
      <c r="U5" s="9">
        <f>VLOOKUP($A5,'RES installed'!$A$2:$C$7,3,FALSE)*'[1]Profiles, RES, Summer'!U$5</f>
        <v>12.609393817743877</v>
      </c>
      <c r="V5" s="9">
        <f>VLOOKUP($A5,'RES installed'!$A$2:$C$7,3,FALSE)*'[1]Profiles, RES, Summer'!V$5</f>
        <v>13.904054596547573</v>
      </c>
      <c r="W5" s="9">
        <f>VLOOKUP($A5,'RES installed'!$A$2:$C$7,3,FALSE)*'[1]Profiles, RES, Summer'!W$5</f>
        <v>14.482135688478524</v>
      </c>
      <c r="X5" s="9">
        <f>VLOOKUP($A5,'RES installed'!$A$2:$C$7,3,FALSE)*'[1]Profiles, RES, Summer'!X$5</f>
        <v>14.548374146928943</v>
      </c>
      <c r="Y5" s="9">
        <f>VLOOKUP($A5,'RES installed'!$A$2:$C$7,3,FALSE)*'[1]Profiles, RES, Summer'!Y$5</f>
        <v>14.030509835407466</v>
      </c>
    </row>
    <row r="6" spans="1:25" x14ac:dyDescent="0.3">
      <c r="A6" s="8">
        <v>5</v>
      </c>
      <c r="B6" s="9">
        <f>VLOOKUP($A6,'RES installed'!$A$2:$C$7,3,FALSE)*'[1]Profiles, RES, Summer'!B$5</f>
        <v>5.403452428743476</v>
      </c>
      <c r="C6" s="9">
        <f>VLOOKUP($A6,'RES installed'!$A$2:$C$7,3,FALSE)*'[1]Profiles, RES, Summer'!C$5</f>
        <v>4.941790445604175</v>
      </c>
      <c r="D6" s="9">
        <f>VLOOKUP($A6,'RES installed'!$A$2:$C$7,3,FALSE)*'[1]Profiles, RES, Summer'!D$5</f>
        <v>4.3235648334002406</v>
      </c>
      <c r="E6" s="9">
        <f>VLOOKUP($A6,'RES installed'!$A$2:$C$7,3,FALSE)*'[1]Profiles, RES, Summer'!E$5</f>
        <v>4.3075070252910477</v>
      </c>
      <c r="F6" s="9">
        <f>VLOOKUP($A6,'RES installed'!$A$2:$C$7,3,FALSE)*'[1]Profiles, RES, Summer'!F$5</f>
        <v>4.0786832597350466</v>
      </c>
      <c r="G6" s="9">
        <f>VLOOKUP($A6,'RES installed'!$A$2:$C$7,3,FALSE)*'[1]Profiles, RES, Summer'!G$5</f>
        <v>3.7575270975511845</v>
      </c>
      <c r="H6" s="9">
        <f>VLOOKUP($A6,'RES installed'!$A$2:$C$7,3,FALSE)*'[1]Profiles, RES, Summer'!H$5</f>
        <v>3.3038940184664796</v>
      </c>
      <c r="I6" s="9">
        <f>VLOOKUP($A6,'RES installed'!$A$2:$C$7,3,FALSE)*'[1]Profiles, RES, Summer'!I$5</f>
        <v>2.5973504616619829</v>
      </c>
      <c r="J6" s="9">
        <f>VLOOKUP($A6,'RES installed'!$A$2:$C$7,3,FALSE)*'[1]Profiles, RES, Summer'!J$5</f>
        <v>2.1597751906864713</v>
      </c>
      <c r="K6" s="9">
        <f>VLOOKUP($A6,'RES installed'!$A$2:$C$7,3,FALSE)*'[1]Profiles, RES, Summer'!K$5</f>
        <v>2.019269369731032</v>
      </c>
      <c r="L6" s="9">
        <f>VLOOKUP($A6,'RES installed'!$A$2:$C$7,3,FALSE)*'[1]Profiles, RES, Summer'!L$5</f>
        <v>1.8586912886391007</v>
      </c>
      <c r="M6" s="9">
        <f>VLOOKUP($A6,'RES installed'!$A$2:$C$7,3,FALSE)*'[1]Profiles, RES, Summer'!M$5</f>
        <v>2.0915295062224009</v>
      </c>
      <c r="N6" s="9">
        <f>VLOOKUP($A6,'RES installed'!$A$2:$C$7,3,FALSE)*'[1]Profiles, RES, Summer'!N$5</f>
        <v>2.6294660778803691</v>
      </c>
      <c r="O6" s="9">
        <f>VLOOKUP($A6,'RES installed'!$A$2:$C$7,3,FALSE)*'[1]Profiles, RES, Summer'!O$5</f>
        <v>3.2637494981934969</v>
      </c>
      <c r="P6" s="9">
        <f>VLOOKUP($A6,'RES installed'!$A$2:$C$7,3,FALSE)*'[1]Profiles, RES, Summer'!P$5</f>
        <v>4.3556804496186272</v>
      </c>
      <c r="Q6" s="9">
        <f>VLOOKUP($A6,'RES installed'!$A$2:$C$7,3,FALSE)*'[1]Profiles, RES, Summer'!Q$5</f>
        <v>5.5600160578081095</v>
      </c>
      <c r="R6" s="9">
        <f>VLOOKUP($A6,'RES installed'!$A$2:$C$7,3,FALSE)*'[1]Profiles, RES, Summer'!R$5</f>
        <v>6.5716579686872745</v>
      </c>
      <c r="S6" s="9">
        <f>VLOOKUP($A6,'RES installed'!$A$2:$C$7,3,FALSE)*'[1]Profiles, RES, Summer'!S$5</f>
        <v>7.0132476916900846</v>
      </c>
      <c r="T6" s="9">
        <f>VLOOKUP($A6,'RES installed'!$A$2:$C$7,3,FALSE)*'[1]Profiles, RES, Summer'!T$5</f>
        <v>7.5471698113207548</v>
      </c>
      <c r="U6" s="9">
        <f>VLOOKUP($A6,'RES installed'!$A$2:$C$7,3,FALSE)*'[1]Profiles, RES, Summer'!U$5</f>
        <v>8.4062625451625852</v>
      </c>
      <c r="V6" s="9">
        <f>VLOOKUP($A6,'RES installed'!$A$2:$C$7,3,FALSE)*'[1]Profiles, RES, Summer'!V$5</f>
        <v>9.2693697310317145</v>
      </c>
      <c r="W6" s="9">
        <f>VLOOKUP($A6,'RES installed'!$A$2:$C$7,3,FALSE)*'[1]Profiles, RES, Summer'!W$5</f>
        <v>9.654757125652349</v>
      </c>
      <c r="X6" s="9">
        <f>VLOOKUP($A6,'RES installed'!$A$2:$C$7,3,FALSE)*'[1]Profiles, RES, Summer'!X$5</f>
        <v>9.6989160979526297</v>
      </c>
      <c r="Y6" s="9">
        <f>VLOOKUP($A6,'RES installed'!$A$2:$C$7,3,FALSE)*'[1]Profiles, RES, Summer'!Y$5</f>
        <v>9.3536732236049787</v>
      </c>
    </row>
    <row r="7" spans="1:25" x14ac:dyDescent="0.3">
      <c r="A7" s="8">
        <v>6</v>
      </c>
      <c r="B7" s="9">
        <f>VLOOKUP($A7,'RES installed'!$A$2:$C$7,3,FALSE)*'[1]Profiles, RES, Summer'!B$5</f>
        <v>8.1051786431152131</v>
      </c>
      <c r="C7" s="9">
        <f>VLOOKUP($A7,'RES installed'!$A$2:$C$7,3,FALSE)*'[1]Profiles, RES, Summer'!C$5</f>
        <v>7.4126856684062625</v>
      </c>
      <c r="D7" s="9">
        <f>VLOOKUP($A7,'RES installed'!$A$2:$C$7,3,FALSE)*'[1]Profiles, RES, Summer'!D$5</f>
        <v>6.4853472501003608</v>
      </c>
      <c r="E7" s="9">
        <f>VLOOKUP($A7,'RES installed'!$A$2:$C$7,3,FALSE)*'[1]Profiles, RES, Summer'!E$5</f>
        <v>6.461260537936572</v>
      </c>
      <c r="F7" s="9">
        <f>VLOOKUP($A7,'RES installed'!$A$2:$C$7,3,FALSE)*'[1]Profiles, RES, Summer'!F$5</f>
        <v>6.1180248896025695</v>
      </c>
      <c r="G7" s="9">
        <f>VLOOKUP($A7,'RES installed'!$A$2:$C$7,3,FALSE)*'[1]Profiles, RES, Summer'!G$5</f>
        <v>5.6362906463267768</v>
      </c>
      <c r="H7" s="9">
        <f>VLOOKUP($A7,'RES installed'!$A$2:$C$7,3,FALSE)*'[1]Profiles, RES, Summer'!H$5</f>
        <v>4.9558410276997193</v>
      </c>
      <c r="I7" s="9">
        <f>VLOOKUP($A7,'RES installed'!$A$2:$C$7,3,FALSE)*'[1]Profiles, RES, Summer'!I$5</f>
        <v>3.8960256924929744</v>
      </c>
      <c r="J7" s="9">
        <f>VLOOKUP($A7,'RES installed'!$A$2:$C$7,3,FALSE)*'[1]Profiles, RES, Summer'!J$5</f>
        <v>3.2396627860297067</v>
      </c>
      <c r="K7" s="9">
        <f>VLOOKUP($A7,'RES installed'!$A$2:$C$7,3,FALSE)*'[1]Profiles, RES, Summer'!K$5</f>
        <v>3.0289040545965475</v>
      </c>
      <c r="L7" s="9">
        <f>VLOOKUP($A7,'RES installed'!$A$2:$C$7,3,FALSE)*'[1]Profiles, RES, Summer'!L$5</f>
        <v>2.7880369329586512</v>
      </c>
      <c r="M7" s="9">
        <f>VLOOKUP($A7,'RES installed'!$A$2:$C$7,3,FALSE)*'[1]Profiles, RES, Summer'!M$5</f>
        <v>3.1372942593336011</v>
      </c>
      <c r="N7" s="9">
        <f>VLOOKUP($A7,'RES installed'!$A$2:$C$7,3,FALSE)*'[1]Profiles, RES, Summer'!N$5</f>
        <v>3.9441991168205535</v>
      </c>
      <c r="O7" s="9">
        <f>VLOOKUP($A7,'RES installed'!$A$2:$C$7,3,FALSE)*'[1]Profiles, RES, Summer'!O$5</f>
        <v>4.8956242472902449</v>
      </c>
      <c r="P7" s="9">
        <f>VLOOKUP($A7,'RES installed'!$A$2:$C$7,3,FALSE)*'[1]Profiles, RES, Summer'!P$5</f>
        <v>6.5335206744279404</v>
      </c>
      <c r="Q7" s="9">
        <f>VLOOKUP($A7,'RES installed'!$A$2:$C$7,3,FALSE)*'[1]Profiles, RES, Summer'!Q$5</f>
        <v>8.3400240867121642</v>
      </c>
      <c r="R7" s="9">
        <f>VLOOKUP($A7,'RES installed'!$A$2:$C$7,3,FALSE)*'[1]Profiles, RES, Summer'!R$5</f>
        <v>9.8574869530309108</v>
      </c>
      <c r="S7" s="9">
        <f>VLOOKUP($A7,'RES installed'!$A$2:$C$7,3,FALSE)*'[1]Profiles, RES, Summer'!S$5</f>
        <v>10.519871537535126</v>
      </c>
      <c r="T7" s="9">
        <f>VLOOKUP($A7,'RES installed'!$A$2:$C$7,3,FALSE)*'[1]Profiles, RES, Summer'!T$5</f>
        <v>11.320754716981133</v>
      </c>
      <c r="U7" s="9">
        <f>VLOOKUP($A7,'RES installed'!$A$2:$C$7,3,FALSE)*'[1]Profiles, RES, Summer'!U$5</f>
        <v>12.609393817743877</v>
      </c>
      <c r="V7" s="9">
        <f>VLOOKUP($A7,'RES installed'!$A$2:$C$7,3,FALSE)*'[1]Profiles, RES, Summer'!V$5</f>
        <v>13.904054596547573</v>
      </c>
      <c r="W7" s="9">
        <f>VLOOKUP($A7,'RES installed'!$A$2:$C$7,3,FALSE)*'[1]Profiles, RES, Summer'!W$5</f>
        <v>14.482135688478524</v>
      </c>
      <c r="X7" s="9">
        <f>VLOOKUP($A7,'RES installed'!$A$2:$C$7,3,FALSE)*'[1]Profiles, RES, Summer'!X$5</f>
        <v>14.548374146928943</v>
      </c>
      <c r="Y7" s="9">
        <f>VLOOKUP($A7,'RES installed'!$A$2:$C$7,3,FALSE)*'[1]Profiles, RES, Summer'!Y$5</f>
        <v>14.030509835407466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6.8233510235026537E-2</v>
      </c>
      <c r="H8" s="6">
        <f>VLOOKUP($A8,'RES installed'!$A$2:$C$7,3,FALSE)*'[1]Profiles, RES, Summer'!H$2</f>
        <v>2.0015163002274452</v>
      </c>
      <c r="I8" s="6">
        <f>VLOOKUP($A8,'RES installed'!$A$2:$C$7,3,FALSE)*'[1]Profiles, RES, Summer'!I$2</f>
        <v>8.3244882486732372</v>
      </c>
      <c r="J8" s="6">
        <f>VLOOKUP($A8,'RES installed'!$A$2:$C$7,3,FALSE)*'[1]Profiles, RES, Summer'!J$2</f>
        <v>17.240333586050038</v>
      </c>
      <c r="K8" s="6">
        <f>VLOOKUP($A8,'RES installed'!$A$2:$C$7,3,FALSE)*'[1]Profiles, RES, Summer'!K$2</f>
        <v>22.687642153146324</v>
      </c>
      <c r="L8" s="6">
        <f>VLOOKUP($A8,'RES installed'!$A$2:$C$7,3,FALSE)*'[1]Profiles, RES, Summer'!L$2</f>
        <v>26.065200909780135</v>
      </c>
      <c r="M8" s="6">
        <f>VLOOKUP($A8,'RES installed'!$A$2:$C$7,3,FALSE)*'[1]Profiles, RES, Summer'!M$2</f>
        <v>27.589082638362395</v>
      </c>
      <c r="N8" s="6">
        <f>VLOOKUP($A8,'RES installed'!$A$2:$C$7,3,FALSE)*'[1]Profiles, RES, Summer'!N$2</f>
        <v>28.203184230477635</v>
      </c>
      <c r="O8" s="6">
        <f>VLOOKUP($A8,'RES installed'!$A$2:$C$7,3,FALSE)*'[1]Profiles, RES, Summer'!O$2</f>
        <v>28.214556482183475</v>
      </c>
      <c r="P8" s="6">
        <f>VLOOKUP($A8,'RES installed'!$A$2:$C$7,3,FALSE)*'[1]Profiles, RES, Summer'!P$2</f>
        <v>27.247915087187263</v>
      </c>
      <c r="Q8" s="6">
        <f>VLOOKUP($A8,'RES installed'!$A$2:$C$7,3,FALSE)*'[1]Profiles, RES, Summer'!Q$2</f>
        <v>24.234268385140258</v>
      </c>
      <c r="R8" s="6">
        <f>VLOOKUP($A8,'RES installed'!$A$2:$C$7,3,FALSE)*'[1]Profiles, RES, Summer'!R$2</f>
        <v>19.423805913570888</v>
      </c>
      <c r="S8" s="6">
        <f>VLOOKUP($A8,'RES installed'!$A$2:$C$7,3,FALSE)*'[1]Profiles, RES, Summer'!S$2</f>
        <v>12.566338134950721</v>
      </c>
      <c r="T8" s="6">
        <f>VLOOKUP($A8,'RES installed'!$A$2:$C$7,3,FALSE)*'[1]Profiles, RES, Summer'!T$2</f>
        <v>4.3783169067475365</v>
      </c>
      <c r="U8" s="6">
        <f>VLOOKUP($A8,'RES installed'!$A$2:$C$7,3,FALSE)*'[1]Profiles, RES, Summer'!U$2</f>
        <v>0.3639120545868082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2.2744503411675512E-2</v>
      </c>
      <c r="H9" s="6">
        <f>VLOOKUP($A9,'RES installed'!$A$2:$C$7,3,FALSE)*'[1]Profiles, RES, Summer'!H$2</f>
        <v>0.66717210007581507</v>
      </c>
      <c r="I9" s="6">
        <f>VLOOKUP($A9,'RES installed'!$A$2:$C$7,3,FALSE)*'[1]Profiles, RES, Summer'!I$2</f>
        <v>2.7748294162244127</v>
      </c>
      <c r="J9" s="6">
        <f>VLOOKUP($A9,'RES installed'!$A$2:$C$7,3,FALSE)*'[1]Profiles, RES, Summer'!J$2</f>
        <v>5.7467778620166801</v>
      </c>
      <c r="K9" s="6">
        <f>VLOOKUP($A9,'RES installed'!$A$2:$C$7,3,FALSE)*'[1]Profiles, RES, Summer'!K$2</f>
        <v>7.5625473843821078</v>
      </c>
      <c r="L9" s="6">
        <f>VLOOKUP($A9,'RES installed'!$A$2:$C$7,3,FALSE)*'[1]Profiles, RES, Summer'!L$2</f>
        <v>8.6884003032600461</v>
      </c>
      <c r="M9" s="6">
        <f>VLOOKUP($A9,'RES installed'!$A$2:$C$7,3,FALSE)*'[1]Profiles, RES, Summer'!M$2</f>
        <v>9.1963608794541312</v>
      </c>
      <c r="N9" s="6">
        <f>VLOOKUP($A9,'RES installed'!$A$2:$C$7,3,FALSE)*'[1]Profiles, RES, Summer'!N$2</f>
        <v>9.4010614101592118</v>
      </c>
      <c r="O9" s="6">
        <f>VLOOKUP($A9,'RES installed'!$A$2:$C$7,3,FALSE)*'[1]Profiles, RES, Summer'!O$2</f>
        <v>9.4048521607278239</v>
      </c>
      <c r="P9" s="6">
        <f>VLOOKUP($A9,'RES installed'!$A$2:$C$7,3,FALSE)*'[1]Profiles, RES, Summer'!P$2</f>
        <v>9.0826383623957536</v>
      </c>
      <c r="Q9" s="6">
        <f>VLOOKUP($A9,'RES installed'!$A$2:$C$7,3,FALSE)*'[1]Profiles, RES, Summer'!Q$2</f>
        <v>8.0780894617134198</v>
      </c>
      <c r="R9" s="6">
        <f>VLOOKUP($A9,'RES installed'!$A$2:$C$7,3,FALSE)*'[1]Profiles, RES, Summer'!R$2</f>
        <v>6.474601971190296</v>
      </c>
      <c r="S9" s="6">
        <f>VLOOKUP($A9,'RES installed'!$A$2:$C$7,3,FALSE)*'[1]Profiles, RES, Summer'!S$2</f>
        <v>4.1887793783169069</v>
      </c>
      <c r="T9" s="6">
        <f>VLOOKUP($A9,'RES installed'!$A$2:$C$7,3,FALSE)*'[1]Profiles, RES, Summer'!T$2</f>
        <v>1.4594389689158453</v>
      </c>
      <c r="U9" s="6">
        <f>VLOOKUP($A9,'RES installed'!$A$2:$C$7,3,FALSE)*'[1]Profiles, RES, Summer'!U$2</f>
        <v>0.12130401819560273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4.5489006823351025E-2</v>
      </c>
      <c r="H10" s="6">
        <f>VLOOKUP($A10,'RES installed'!$A$2:$C$7,3,FALSE)*'[1]Profiles, RES, Summer'!H$2</f>
        <v>1.3343442001516301</v>
      </c>
      <c r="I10" s="6">
        <f>VLOOKUP($A10,'RES installed'!$A$2:$C$7,3,FALSE)*'[1]Profiles, RES, Summer'!I$2</f>
        <v>5.5496588324488254</v>
      </c>
      <c r="J10" s="6">
        <f>VLOOKUP($A10,'RES installed'!$A$2:$C$7,3,FALSE)*'[1]Profiles, RES, Summer'!J$2</f>
        <v>11.49355572403336</v>
      </c>
      <c r="K10" s="6">
        <f>VLOOKUP($A10,'RES installed'!$A$2:$C$7,3,FALSE)*'[1]Profiles, RES, Summer'!K$2</f>
        <v>15.125094768764216</v>
      </c>
      <c r="L10" s="6">
        <f>VLOOKUP($A10,'RES installed'!$A$2:$C$7,3,FALSE)*'[1]Profiles, RES, Summer'!L$2</f>
        <v>17.376800606520092</v>
      </c>
      <c r="M10" s="6">
        <f>VLOOKUP($A10,'RES installed'!$A$2:$C$7,3,FALSE)*'[1]Profiles, RES, Summer'!M$2</f>
        <v>18.392721758908262</v>
      </c>
      <c r="N10" s="6">
        <f>VLOOKUP($A10,'RES installed'!$A$2:$C$7,3,FALSE)*'[1]Profiles, RES, Summer'!N$2</f>
        <v>18.802122820318424</v>
      </c>
      <c r="O10" s="6">
        <f>VLOOKUP($A10,'RES installed'!$A$2:$C$7,3,FALSE)*'[1]Profiles, RES, Summer'!O$2</f>
        <v>18.809704321455648</v>
      </c>
      <c r="P10" s="6">
        <f>VLOOKUP($A10,'RES installed'!$A$2:$C$7,3,FALSE)*'[1]Profiles, RES, Summer'!P$2</f>
        <v>18.165276724791507</v>
      </c>
      <c r="Q10" s="6">
        <f>VLOOKUP($A10,'RES installed'!$A$2:$C$7,3,FALSE)*'[1]Profiles, RES, Summer'!Q$2</f>
        <v>16.15617892342684</v>
      </c>
      <c r="R10" s="6">
        <f>VLOOKUP($A10,'RES installed'!$A$2:$C$7,3,FALSE)*'[1]Profiles, RES, Summer'!R$2</f>
        <v>12.949203942380592</v>
      </c>
      <c r="S10" s="6">
        <f>VLOOKUP($A10,'RES installed'!$A$2:$C$7,3,FALSE)*'[1]Profiles, RES, Summer'!S$2</f>
        <v>8.3775587566338139</v>
      </c>
      <c r="T10" s="6">
        <f>VLOOKUP($A10,'RES installed'!$A$2:$C$7,3,FALSE)*'[1]Profiles, RES, Summer'!T$2</f>
        <v>2.9188779378316907</v>
      </c>
      <c r="U10" s="6">
        <f>VLOOKUP($A10,'RES installed'!$A$2:$C$7,3,FALSE)*'[1]Profiles, RES, Summer'!U$2</f>
        <v>0.24260803639120546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C413D-0BEB-471A-B6EA-DAA8F892829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8.5507828181453238</v>
      </c>
      <c r="C5" s="9">
        <f>VLOOKUP($A5,'RES installed'!$A$2:$C$7,3,FALSE)*'[1]Profiles, RES, Summer'!C$6</f>
        <v>7.9425933360096339</v>
      </c>
      <c r="D5" s="9">
        <f>VLOOKUP($A5,'RES installed'!$A$2:$C$7,3,FALSE)*'[1]Profiles, RES, Summer'!D$6</f>
        <v>8.0750702529104768</v>
      </c>
      <c r="E5" s="9">
        <f>VLOOKUP($A5,'RES installed'!$A$2:$C$7,3,FALSE)*'[1]Profiles, RES, Summer'!E$6</f>
        <v>7.298273785628262</v>
      </c>
      <c r="F5" s="9">
        <f>VLOOKUP($A5,'RES installed'!$A$2:$C$7,3,FALSE)*'[1]Profiles, RES, Summer'!F$6</f>
        <v>6.8285828984343633</v>
      </c>
      <c r="G5" s="9">
        <f>VLOOKUP($A5,'RES installed'!$A$2:$C$7,3,FALSE)*'[1]Profiles, RES, Summer'!G$6</f>
        <v>7.2501003613006825</v>
      </c>
      <c r="H5" s="9">
        <f>VLOOKUP($A5,'RES installed'!$A$2:$C$7,3,FALSE)*'[1]Profiles, RES, Summer'!H$6</f>
        <v>7.1718185467683657</v>
      </c>
      <c r="I5" s="9">
        <f>VLOOKUP($A5,'RES installed'!$A$2:$C$7,3,FALSE)*'[1]Profiles, RES, Summer'!I$6</f>
        <v>5.2870333199518269</v>
      </c>
      <c r="J5" s="9">
        <f>VLOOKUP($A5,'RES installed'!$A$2:$C$7,3,FALSE)*'[1]Profiles, RES, Summer'!J$6</f>
        <v>3.3841830590124449</v>
      </c>
      <c r="K5" s="9">
        <f>VLOOKUP($A5,'RES installed'!$A$2:$C$7,3,FALSE)*'[1]Profiles, RES, Summer'!K$6</f>
        <v>2.4628663187474906</v>
      </c>
      <c r="L5" s="9">
        <f>VLOOKUP($A5,'RES installed'!$A$2:$C$7,3,FALSE)*'[1]Profiles, RES, Summer'!L$6</f>
        <v>1.8606985146527497</v>
      </c>
      <c r="M5" s="9">
        <f>VLOOKUP($A5,'RES installed'!$A$2:$C$7,3,FALSE)*'[1]Profiles, RES, Summer'!M$6</f>
        <v>1.746286631874749</v>
      </c>
      <c r="N5" s="9">
        <f>VLOOKUP($A5,'RES installed'!$A$2:$C$7,3,FALSE)*'[1]Profiles, RES, Summer'!N$6</f>
        <v>2.18586912886391</v>
      </c>
      <c r="O5" s="9">
        <f>VLOOKUP($A5,'RES installed'!$A$2:$C$7,3,FALSE)*'[1]Profiles, RES, Summer'!O$6</f>
        <v>2.8362103572862303</v>
      </c>
      <c r="P5" s="9">
        <f>VLOOKUP($A5,'RES installed'!$A$2:$C$7,3,FALSE)*'[1]Profiles, RES, Summer'!P$6</f>
        <v>4.0405459654757125</v>
      </c>
      <c r="Q5" s="9">
        <f>VLOOKUP($A5,'RES installed'!$A$2:$C$7,3,FALSE)*'[1]Profiles, RES, Summer'!Q$6</f>
        <v>5.1003613006824562</v>
      </c>
      <c r="R5" s="9">
        <f>VLOOKUP($A5,'RES installed'!$A$2:$C$7,3,FALSE)*'[1]Profiles, RES, Summer'!R$6</f>
        <v>6.1059815335206746</v>
      </c>
      <c r="S5" s="9">
        <f>VLOOKUP($A5,'RES installed'!$A$2:$C$7,3,FALSE)*'[1]Profiles, RES, Summer'!S$6</f>
        <v>6.5214773183460464</v>
      </c>
      <c r="T5" s="9">
        <f>VLOOKUP($A5,'RES installed'!$A$2:$C$7,3,FALSE)*'[1]Profiles, RES, Summer'!T$6</f>
        <v>6.2023283821758328</v>
      </c>
      <c r="U5" s="9">
        <f>VLOOKUP($A5,'RES installed'!$A$2:$C$7,3,FALSE)*'[1]Profiles, RES, Summer'!U$6</f>
        <v>6.015656362906463</v>
      </c>
      <c r="V5" s="9">
        <f>VLOOKUP($A5,'RES installed'!$A$2:$C$7,3,FALSE)*'[1]Profiles, RES, Summer'!V$6</f>
        <v>6.0337213970293053</v>
      </c>
      <c r="W5" s="9">
        <f>VLOOKUP($A5,'RES installed'!$A$2:$C$7,3,FALSE)*'[1]Profiles, RES, Summer'!W$6</f>
        <v>5.5459654757125652</v>
      </c>
      <c r="X5" s="9">
        <f>VLOOKUP($A5,'RES installed'!$A$2:$C$7,3,FALSE)*'[1]Profiles, RES, Summer'!X$6</f>
        <v>5.1425130469690892</v>
      </c>
      <c r="Y5" s="9">
        <f>VLOOKUP($A5,'RES installed'!$A$2:$C$7,3,FALSE)*'[1]Profiles, RES, Summer'!Y$6</f>
        <v>5.2328382175832999</v>
      </c>
    </row>
    <row r="6" spans="1:25" x14ac:dyDescent="0.3">
      <c r="A6" s="8">
        <v>5</v>
      </c>
      <c r="B6" s="9">
        <f>VLOOKUP($A6,'RES installed'!$A$2:$C$7,3,FALSE)*'[1]Profiles, RES, Summer'!B$6</f>
        <v>5.7005218787635492</v>
      </c>
      <c r="C6" s="9">
        <f>VLOOKUP($A6,'RES installed'!$A$2:$C$7,3,FALSE)*'[1]Profiles, RES, Summer'!C$6</f>
        <v>5.2950622240064229</v>
      </c>
      <c r="D6" s="9">
        <f>VLOOKUP($A6,'RES installed'!$A$2:$C$7,3,FALSE)*'[1]Profiles, RES, Summer'!D$6</f>
        <v>5.3833801686069851</v>
      </c>
      <c r="E6" s="9">
        <f>VLOOKUP($A6,'RES installed'!$A$2:$C$7,3,FALSE)*'[1]Profiles, RES, Summer'!E$6</f>
        <v>4.8655158570855077</v>
      </c>
      <c r="F6" s="9">
        <f>VLOOKUP($A6,'RES installed'!$A$2:$C$7,3,FALSE)*'[1]Profiles, RES, Summer'!F$6</f>
        <v>4.5523885989562425</v>
      </c>
      <c r="G6" s="9">
        <f>VLOOKUP($A6,'RES installed'!$A$2:$C$7,3,FALSE)*'[1]Profiles, RES, Summer'!G$6</f>
        <v>4.8334002408671219</v>
      </c>
      <c r="H6" s="9">
        <f>VLOOKUP($A6,'RES installed'!$A$2:$C$7,3,FALSE)*'[1]Profiles, RES, Summer'!H$6</f>
        <v>4.7812123645122444</v>
      </c>
      <c r="I6" s="9">
        <f>VLOOKUP($A6,'RES installed'!$A$2:$C$7,3,FALSE)*'[1]Profiles, RES, Summer'!I$6</f>
        <v>3.5246888799678846</v>
      </c>
      <c r="J6" s="9">
        <f>VLOOKUP($A6,'RES installed'!$A$2:$C$7,3,FALSE)*'[1]Profiles, RES, Summer'!J$6</f>
        <v>2.2561220393416299</v>
      </c>
      <c r="K6" s="9">
        <f>VLOOKUP($A6,'RES installed'!$A$2:$C$7,3,FALSE)*'[1]Profiles, RES, Summer'!K$6</f>
        <v>1.6419108791649939</v>
      </c>
      <c r="L6" s="9">
        <f>VLOOKUP($A6,'RES installed'!$A$2:$C$7,3,FALSE)*'[1]Profiles, RES, Summer'!L$6</f>
        <v>1.2404656764351665</v>
      </c>
      <c r="M6" s="9">
        <f>VLOOKUP($A6,'RES installed'!$A$2:$C$7,3,FALSE)*'[1]Profiles, RES, Summer'!M$6</f>
        <v>1.1641910879164994</v>
      </c>
      <c r="N6" s="9">
        <f>VLOOKUP($A6,'RES installed'!$A$2:$C$7,3,FALSE)*'[1]Profiles, RES, Summer'!N$6</f>
        <v>1.4572460859092735</v>
      </c>
      <c r="O6" s="9">
        <f>VLOOKUP($A6,'RES installed'!$A$2:$C$7,3,FALSE)*'[1]Profiles, RES, Summer'!O$6</f>
        <v>1.8908069048574869</v>
      </c>
      <c r="P6" s="9">
        <f>VLOOKUP($A6,'RES installed'!$A$2:$C$7,3,FALSE)*'[1]Profiles, RES, Summer'!P$6</f>
        <v>2.693697310317142</v>
      </c>
      <c r="Q6" s="9">
        <f>VLOOKUP($A6,'RES installed'!$A$2:$C$7,3,FALSE)*'[1]Profiles, RES, Summer'!Q$6</f>
        <v>3.4002408671216378</v>
      </c>
      <c r="R6" s="9">
        <f>VLOOKUP($A6,'RES installed'!$A$2:$C$7,3,FALSE)*'[1]Profiles, RES, Summer'!R$6</f>
        <v>4.0706543556804498</v>
      </c>
      <c r="S6" s="9">
        <f>VLOOKUP($A6,'RES installed'!$A$2:$C$7,3,FALSE)*'[1]Profiles, RES, Summer'!S$6</f>
        <v>4.3476515455640303</v>
      </c>
      <c r="T6" s="9">
        <f>VLOOKUP($A6,'RES installed'!$A$2:$C$7,3,FALSE)*'[1]Profiles, RES, Summer'!T$6</f>
        <v>4.1348855881172222</v>
      </c>
      <c r="U6" s="9">
        <f>VLOOKUP($A6,'RES installed'!$A$2:$C$7,3,FALSE)*'[1]Profiles, RES, Summer'!U$6</f>
        <v>4.0104375752709753</v>
      </c>
      <c r="V6" s="9">
        <f>VLOOKUP($A6,'RES installed'!$A$2:$C$7,3,FALSE)*'[1]Profiles, RES, Summer'!V$6</f>
        <v>4.0224809313528702</v>
      </c>
      <c r="W6" s="9">
        <f>VLOOKUP($A6,'RES installed'!$A$2:$C$7,3,FALSE)*'[1]Profiles, RES, Summer'!W$6</f>
        <v>3.6973103171417101</v>
      </c>
      <c r="X6" s="9">
        <f>VLOOKUP($A6,'RES installed'!$A$2:$C$7,3,FALSE)*'[1]Profiles, RES, Summer'!X$6</f>
        <v>3.428342031312726</v>
      </c>
      <c r="Y6" s="9">
        <f>VLOOKUP($A6,'RES installed'!$A$2:$C$7,3,FALSE)*'[1]Profiles, RES, Summer'!Y$6</f>
        <v>3.4885588117221999</v>
      </c>
    </row>
    <row r="7" spans="1:25" x14ac:dyDescent="0.3">
      <c r="A7" s="8">
        <v>6</v>
      </c>
      <c r="B7" s="9">
        <f>VLOOKUP($A7,'RES installed'!$A$2:$C$7,3,FALSE)*'[1]Profiles, RES, Summer'!B$6</f>
        <v>8.5507828181453238</v>
      </c>
      <c r="C7" s="9">
        <f>VLOOKUP($A7,'RES installed'!$A$2:$C$7,3,FALSE)*'[1]Profiles, RES, Summer'!C$6</f>
        <v>7.9425933360096339</v>
      </c>
      <c r="D7" s="9">
        <f>VLOOKUP($A7,'RES installed'!$A$2:$C$7,3,FALSE)*'[1]Profiles, RES, Summer'!D$6</f>
        <v>8.0750702529104768</v>
      </c>
      <c r="E7" s="9">
        <f>VLOOKUP($A7,'RES installed'!$A$2:$C$7,3,FALSE)*'[1]Profiles, RES, Summer'!E$6</f>
        <v>7.298273785628262</v>
      </c>
      <c r="F7" s="9">
        <f>VLOOKUP($A7,'RES installed'!$A$2:$C$7,3,FALSE)*'[1]Profiles, RES, Summer'!F$6</f>
        <v>6.8285828984343633</v>
      </c>
      <c r="G7" s="9">
        <f>VLOOKUP($A7,'RES installed'!$A$2:$C$7,3,FALSE)*'[1]Profiles, RES, Summer'!G$6</f>
        <v>7.2501003613006825</v>
      </c>
      <c r="H7" s="9">
        <f>VLOOKUP($A7,'RES installed'!$A$2:$C$7,3,FALSE)*'[1]Profiles, RES, Summer'!H$6</f>
        <v>7.1718185467683657</v>
      </c>
      <c r="I7" s="9">
        <f>VLOOKUP($A7,'RES installed'!$A$2:$C$7,3,FALSE)*'[1]Profiles, RES, Summer'!I$6</f>
        <v>5.2870333199518269</v>
      </c>
      <c r="J7" s="9">
        <f>VLOOKUP($A7,'RES installed'!$A$2:$C$7,3,FALSE)*'[1]Profiles, RES, Summer'!J$6</f>
        <v>3.3841830590124449</v>
      </c>
      <c r="K7" s="9">
        <f>VLOOKUP($A7,'RES installed'!$A$2:$C$7,3,FALSE)*'[1]Profiles, RES, Summer'!K$6</f>
        <v>2.4628663187474906</v>
      </c>
      <c r="L7" s="9">
        <f>VLOOKUP($A7,'RES installed'!$A$2:$C$7,3,FALSE)*'[1]Profiles, RES, Summer'!L$6</f>
        <v>1.8606985146527497</v>
      </c>
      <c r="M7" s="9">
        <f>VLOOKUP($A7,'RES installed'!$A$2:$C$7,3,FALSE)*'[1]Profiles, RES, Summer'!M$6</f>
        <v>1.746286631874749</v>
      </c>
      <c r="N7" s="9">
        <f>VLOOKUP($A7,'RES installed'!$A$2:$C$7,3,FALSE)*'[1]Profiles, RES, Summer'!N$6</f>
        <v>2.18586912886391</v>
      </c>
      <c r="O7" s="9">
        <f>VLOOKUP($A7,'RES installed'!$A$2:$C$7,3,FALSE)*'[1]Profiles, RES, Summer'!O$6</f>
        <v>2.8362103572862303</v>
      </c>
      <c r="P7" s="9">
        <f>VLOOKUP($A7,'RES installed'!$A$2:$C$7,3,FALSE)*'[1]Profiles, RES, Summer'!P$6</f>
        <v>4.0405459654757125</v>
      </c>
      <c r="Q7" s="9">
        <f>VLOOKUP($A7,'RES installed'!$A$2:$C$7,3,FALSE)*'[1]Profiles, RES, Summer'!Q$6</f>
        <v>5.1003613006824562</v>
      </c>
      <c r="R7" s="9">
        <f>VLOOKUP($A7,'RES installed'!$A$2:$C$7,3,FALSE)*'[1]Profiles, RES, Summer'!R$6</f>
        <v>6.1059815335206746</v>
      </c>
      <c r="S7" s="9">
        <f>VLOOKUP($A7,'RES installed'!$A$2:$C$7,3,FALSE)*'[1]Profiles, RES, Summer'!S$6</f>
        <v>6.5214773183460464</v>
      </c>
      <c r="T7" s="9">
        <f>VLOOKUP($A7,'RES installed'!$A$2:$C$7,3,FALSE)*'[1]Profiles, RES, Summer'!T$6</f>
        <v>6.2023283821758328</v>
      </c>
      <c r="U7" s="9">
        <f>VLOOKUP($A7,'RES installed'!$A$2:$C$7,3,FALSE)*'[1]Profiles, RES, Summer'!U$6</f>
        <v>6.015656362906463</v>
      </c>
      <c r="V7" s="9">
        <f>VLOOKUP($A7,'RES installed'!$A$2:$C$7,3,FALSE)*'[1]Profiles, RES, Summer'!V$6</f>
        <v>6.0337213970293053</v>
      </c>
      <c r="W7" s="9">
        <f>VLOOKUP($A7,'RES installed'!$A$2:$C$7,3,FALSE)*'[1]Profiles, RES, Summer'!W$6</f>
        <v>5.5459654757125652</v>
      </c>
      <c r="X7" s="9">
        <f>VLOOKUP($A7,'RES installed'!$A$2:$C$7,3,FALSE)*'[1]Profiles, RES, Summer'!X$6</f>
        <v>5.1425130469690892</v>
      </c>
      <c r="Y7" s="9">
        <f>VLOOKUP($A7,'RES installed'!$A$2:$C$7,3,FALSE)*'[1]Profiles, RES, Summer'!Y$6</f>
        <v>5.2328382175832999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5.6861258529188781E-2</v>
      </c>
      <c r="H8" s="6">
        <f>VLOOKUP($A8,'RES installed'!$A$2:$C$7,3,FALSE)*'[1]Profiles, RES, Summer'!H$3</f>
        <v>2.3995451099317662</v>
      </c>
      <c r="I8" s="6">
        <f>VLOOKUP($A8,'RES installed'!$A$2:$C$7,3,FALSE)*'[1]Profiles, RES, Summer'!I$3</f>
        <v>9.6550416982562552</v>
      </c>
      <c r="J8" s="6">
        <f>VLOOKUP($A8,'RES installed'!$A$2:$C$7,3,FALSE)*'[1]Profiles, RES, Summer'!J$3</f>
        <v>17.649734647460196</v>
      </c>
      <c r="K8" s="6">
        <f>VLOOKUP($A8,'RES installed'!$A$2:$C$7,3,FALSE)*'[1]Profiles, RES, Summer'!K$3</f>
        <v>23.21076573161486</v>
      </c>
      <c r="L8" s="6">
        <f>VLOOKUP($A8,'RES installed'!$A$2:$C$7,3,FALSE)*'[1]Profiles, RES, Summer'!L$3</f>
        <v>26.997725549658831</v>
      </c>
      <c r="M8" s="6">
        <f>VLOOKUP($A8,'RES installed'!$A$2:$C$7,3,FALSE)*'[1]Profiles, RES, Summer'!M$3</f>
        <v>28.396512509476878</v>
      </c>
      <c r="N8" s="6">
        <f>VLOOKUP($A8,'RES installed'!$A$2:$C$7,3,FALSE)*'[1]Profiles, RES, Summer'!N$3</f>
        <v>28.476118271417739</v>
      </c>
      <c r="O8" s="6">
        <f>VLOOKUP($A8,'RES installed'!$A$2:$C$7,3,FALSE)*'[1]Profiles, RES, Summer'!O$3</f>
        <v>27.873388931008339</v>
      </c>
      <c r="P8" s="6">
        <f>VLOOKUP($A8,'RES installed'!$A$2:$C$7,3,FALSE)*'[1]Profiles, RES, Summer'!P$3</f>
        <v>26.986353297952995</v>
      </c>
      <c r="Q8" s="6">
        <f>VLOOKUP($A8,'RES installed'!$A$2:$C$7,3,FALSE)*'[1]Profiles, RES, Summer'!Q$3</f>
        <v>24.075056861258528</v>
      </c>
      <c r="R8" s="6">
        <f>VLOOKUP($A8,'RES installed'!$A$2:$C$7,3,FALSE)*'[1]Profiles, RES, Summer'!R$3</f>
        <v>19.332827899924187</v>
      </c>
      <c r="S8" s="6">
        <f>VLOOKUP($A8,'RES installed'!$A$2:$C$7,3,FALSE)*'[1]Profiles, RES, Summer'!S$3</f>
        <v>12.122820318423049</v>
      </c>
      <c r="T8" s="6">
        <f>VLOOKUP($A8,'RES installed'!$A$2:$C$7,3,FALSE)*'[1]Profiles, RES, Summer'!T$3</f>
        <v>3.9461713419257012</v>
      </c>
      <c r="U8" s="6">
        <f>VLOOKUP($A8,'RES installed'!$A$2:$C$7,3,FALSE)*'[1]Profiles, RES, Summer'!U$3</f>
        <v>0.26156178923426837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1.8953752843062926E-2</v>
      </c>
      <c r="H9" s="6">
        <f>VLOOKUP($A9,'RES installed'!$A$2:$C$7,3,FALSE)*'[1]Profiles, RES, Summer'!H$3</f>
        <v>0.79984836997725539</v>
      </c>
      <c r="I9" s="6">
        <f>VLOOKUP($A9,'RES installed'!$A$2:$C$7,3,FALSE)*'[1]Profiles, RES, Summer'!I$3</f>
        <v>3.2183472327520852</v>
      </c>
      <c r="J9" s="6">
        <f>VLOOKUP($A9,'RES installed'!$A$2:$C$7,3,FALSE)*'[1]Profiles, RES, Summer'!J$3</f>
        <v>5.8832448824867321</v>
      </c>
      <c r="K9" s="6">
        <f>VLOOKUP($A9,'RES installed'!$A$2:$C$7,3,FALSE)*'[1]Profiles, RES, Summer'!K$3</f>
        <v>7.7369219105382872</v>
      </c>
      <c r="L9" s="6">
        <f>VLOOKUP($A9,'RES installed'!$A$2:$C$7,3,FALSE)*'[1]Profiles, RES, Summer'!L$3</f>
        <v>8.9992418498862765</v>
      </c>
      <c r="M9" s="6">
        <f>VLOOKUP($A9,'RES installed'!$A$2:$C$7,3,FALSE)*'[1]Profiles, RES, Summer'!M$3</f>
        <v>9.4655041698256266</v>
      </c>
      <c r="N9" s="6">
        <f>VLOOKUP($A9,'RES installed'!$A$2:$C$7,3,FALSE)*'[1]Profiles, RES, Summer'!N$3</f>
        <v>9.4920394238059131</v>
      </c>
      <c r="O9" s="6">
        <f>VLOOKUP($A9,'RES installed'!$A$2:$C$7,3,FALSE)*'[1]Profiles, RES, Summer'!O$3</f>
        <v>9.2911296436694464</v>
      </c>
      <c r="P9" s="6">
        <f>VLOOKUP($A9,'RES installed'!$A$2:$C$7,3,FALSE)*'[1]Profiles, RES, Summer'!P$3</f>
        <v>8.9954510993176644</v>
      </c>
      <c r="Q9" s="6">
        <f>VLOOKUP($A9,'RES installed'!$A$2:$C$7,3,FALSE)*'[1]Profiles, RES, Summer'!Q$3</f>
        <v>8.0250189537528431</v>
      </c>
      <c r="R9" s="6">
        <f>VLOOKUP($A9,'RES installed'!$A$2:$C$7,3,FALSE)*'[1]Profiles, RES, Summer'!R$3</f>
        <v>6.4442759666413956</v>
      </c>
      <c r="S9" s="6">
        <f>VLOOKUP($A9,'RES installed'!$A$2:$C$7,3,FALSE)*'[1]Profiles, RES, Summer'!S$3</f>
        <v>4.040940106141016</v>
      </c>
      <c r="T9" s="6">
        <f>VLOOKUP($A9,'RES installed'!$A$2:$C$7,3,FALSE)*'[1]Profiles, RES, Summer'!T$3</f>
        <v>1.3153904473085669</v>
      </c>
      <c r="U9" s="6">
        <f>VLOOKUP($A9,'RES installed'!$A$2:$C$7,3,FALSE)*'[1]Profiles, RES, Summer'!U$3</f>
        <v>8.7187263078089466E-2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3.7907505686125852E-2</v>
      </c>
      <c r="H10" s="6">
        <f>VLOOKUP($A10,'RES installed'!$A$2:$C$7,3,FALSE)*'[1]Profiles, RES, Summer'!H$3</f>
        <v>1.5996967399545108</v>
      </c>
      <c r="I10" s="6">
        <f>VLOOKUP($A10,'RES installed'!$A$2:$C$7,3,FALSE)*'[1]Profiles, RES, Summer'!I$3</f>
        <v>6.4366944655041705</v>
      </c>
      <c r="J10" s="6">
        <f>VLOOKUP($A10,'RES installed'!$A$2:$C$7,3,FALSE)*'[1]Profiles, RES, Summer'!J$3</f>
        <v>11.766489764973464</v>
      </c>
      <c r="K10" s="6">
        <f>VLOOKUP($A10,'RES installed'!$A$2:$C$7,3,FALSE)*'[1]Profiles, RES, Summer'!K$3</f>
        <v>15.473843821076574</v>
      </c>
      <c r="L10" s="6">
        <f>VLOOKUP($A10,'RES installed'!$A$2:$C$7,3,FALSE)*'[1]Profiles, RES, Summer'!L$3</f>
        <v>17.998483699772553</v>
      </c>
      <c r="M10" s="6">
        <f>VLOOKUP($A10,'RES installed'!$A$2:$C$7,3,FALSE)*'[1]Profiles, RES, Summer'!M$3</f>
        <v>18.931008339651253</v>
      </c>
      <c r="N10" s="6">
        <f>VLOOKUP($A10,'RES installed'!$A$2:$C$7,3,FALSE)*'[1]Profiles, RES, Summer'!N$3</f>
        <v>18.984078847611826</v>
      </c>
      <c r="O10" s="6">
        <f>VLOOKUP($A10,'RES installed'!$A$2:$C$7,3,FALSE)*'[1]Profiles, RES, Summer'!O$3</f>
        <v>18.582259287338893</v>
      </c>
      <c r="P10" s="6">
        <f>VLOOKUP($A10,'RES installed'!$A$2:$C$7,3,FALSE)*'[1]Profiles, RES, Summer'!P$3</f>
        <v>17.990902198635329</v>
      </c>
      <c r="Q10" s="6">
        <f>VLOOKUP($A10,'RES installed'!$A$2:$C$7,3,FALSE)*'[1]Profiles, RES, Summer'!Q$3</f>
        <v>16.050037907505686</v>
      </c>
      <c r="R10" s="6">
        <f>VLOOKUP($A10,'RES installed'!$A$2:$C$7,3,FALSE)*'[1]Profiles, RES, Summer'!R$3</f>
        <v>12.888551933282791</v>
      </c>
      <c r="S10" s="6">
        <f>VLOOKUP($A10,'RES installed'!$A$2:$C$7,3,FALSE)*'[1]Profiles, RES, Summer'!S$3</f>
        <v>8.0818802122820319</v>
      </c>
      <c r="T10" s="6">
        <f>VLOOKUP($A10,'RES installed'!$A$2:$C$7,3,FALSE)*'[1]Profiles, RES, Summer'!T$3</f>
        <v>2.6307808946171338</v>
      </c>
      <c r="U10" s="6">
        <f>VLOOKUP($A10,'RES installed'!$A$2:$C$7,3,FALSE)*'[1]Profiles, RES, Summer'!U$3</f>
        <v>0.17437452615617893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E476F-F11C-4FAD-8739-487008AFFD05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8.93014853472501</v>
      </c>
      <c r="C5" s="9">
        <f>VLOOKUP($A5,'RES installed'!$A$2:$C$7,3,FALSE)*'[1]Profiles, RES, Summer'!C$7</f>
        <v>8.0329185066238455</v>
      </c>
      <c r="D5" s="9">
        <f>VLOOKUP($A5,'RES installed'!$A$2:$C$7,3,FALSE)*'[1]Profiles, RES, Summer'!D$7</f>
        <v>6.7081493376154153</v>
      </c>
      <c r="E5" s="9">
        <f>VLOOKUP($A5,'RES installed'!$A$2:$C$7,3,FALSE)*'[1]Profiles, RES, Summer'!E$7</f>
        <v>6.340826977117624</v>
      </c>
      <c r="F5" s="9">
        <f>VLOOKUP($A5,'RES installed'!$A$2:$C$7,3,FALSE)*'[1]Profiles, RES, Summer'!F$7</f>
        <v>6.2384584504215175</v>
      </c>
      <c r="G5" s="9">
        <f>VLOOKUP($A5,'RES installed'!$A$2:$C$7,3,FALSE)*'[1]Profiles, RES, Summer'!G$7</f>
        <v>6.9971898835808908</v>
      </c>
      <c r="H5" s="9">
        <f>VLOOKUP($A5,'RES installed'!$A$2:$C$7,3,FALSE)*'[1]Profiles, RES, Summer'!H$7</f>
        <v>7.713769570453632</v>
      </c>
      <c r="I5" s="9">
        <f>VLOOKUP($A5,'RES installed'!$A$2:$C$7,3,FALSE)*'[1]Profiles, RES, Summer'!I$7</f>
        <v>7.9787234042553195</v>
      </c>
      <c r="J5" s="9">
        <f>VLOOKUP($A5,'RES installed'!$A$2:$C$7,3,FALSE)*'[1]Profiles, RES, Summer'!J$7</f>
        <v>6.4853472501003608</v>
      </c>
      <c r="K5" s="9">
        <f>VLOOKUP($A5,'RES installed'!$A$2:$C$7,3,FALSE)*'[1]Profiles, RES, Summer'!K$7</f>
        <v>5.0461661983139301</v>
      </c>
      <c r="L5" s="9">
        <f>VLOOKUP($A5,'RES installed'!$A$2:$C$7,3,FALSE)*'[1]Profiles, RES, Summer'!L$7</f>
        <v>4.5403452428743476</v>
      </c>
      <c r="M5" s="9">
        <f>VLOOKUP($A5,'RES installed'!$A$2:$C$7,3,FALSE)*'[1]Profiles, RES, Summer'!M$7</f>
        <v>4.0525893215576065</v>
      </c>
      <c r="N5" s="9">
        <f>VLOOKUP($A5,'RES installed'!$A$2:$C$7,3,FALSE)*'[1]Profiles, RES, Summer'!N$7</f>
        <v>4.3898032918506624</v>
      </c>
      <c r="O5" s="9">
        <f>VLOOKUP($A5,'RES installed'!$A$2:$C$7,3,FALSE)*'[1]Profiles, RES, Summer'!O$7</f>
        <v>5.8410276997189881</v>
      </c>
      <c r="P5" s="9">
        <f>VLOOKUP($A5,'RES installed'!$A$2:$C$7,3,FALSE)*'[1]Profiles, RES, Summer'!P$7</f>
        <v>7.3464472099558407</v>
      </c>
      <c r="Q5" s="9">
        <f>VLOOKUP($A5,'RES installed'!$A$2:$C$7,3,FALSE)*'[1]Profiles, RES, Summer'!Q$7</f>
        <v>7.7077478924126854</v>
      </c>
      <c r="R5" s="9">
        <f>VLOOKUP($A5,'RES installed'!$A$2:$C$7,3,FALSE)*'[1]Profiles, RES, Summer'!R$7</f>
        <v>8.3219590525893228</v>
      </c>
      <c r="S5" s="9">
        <f>VLOOKUP($A5,'RES installed'!$A$2:$C$7,3,FALSE)*'[1]Profiles, RES, Summer'!S$7</f>
        <v>8.6591730228823778</v>
      </c>
      <c r="T5" s="9">
        <f>VLOOKUP($A5,'RES installed'!$A$2:$C$7,3,FALSE)*'[1]Profiles, RES, Summer'!T$7</f>
        <v>8.8759534323564839</v>
      </c>
      <c r="U5" s="9">
        <f>VLOOKUP($A5,'RES installed'!$A$2:$C$7,3,FALSE)*'[1]Profiles, RES, Summer'!U$7</f>
        <v>10.170614211160176</v>
      </c>
      <c r="V5" s="9">
        <f>VLOOKUP($A5,'RES installed'!$A$2:$C$7,3,FALSE)*'[1]Profiles, RES, Summer'!V$7</f>
        <v>11.44118827780008</v>
      </c>
      <c r="W5" s="9">
        <f>VLOOKUP($A5,'RES installed'!$A$2:$C$7,3,FALSE)*'[1]Profiles, RES, Summer'!W$7</f>
        <v>11.049779205138497</v>
      </c>
      <c r="X5" s="9">
        <f>VLOOKUP($A5,'RES installed'!$A$2:$C$7,3,FALSE)*'[1]Profiles, RES, Summer'!X$7</f>
        <v>10.4656764351666</v>
      </c>
      <c r="Y5" s="9">
        <f>VLOOKUP($A5,'RES installed'!$A$2:$C$7,3,FALSE)*'[1]Profiles, RES, Summer'!Y$7</f>
        <v>10.27900441589723</v>
      </c>
    </row>
    <row r="6" spans="1:25" x14ac:dyDescent="0.3">
      <c r="A6" s="8">
        <v>5</v>
      </c>
      <c r="B6" s="9">
        <f>VLOOKUP($A6,'RES installed'!$A$2:$C$7,3,FALSE)*'[1]Profiles, RES, Summer'!B$7</f>
        <v>5.95343235648334</v>
      </c>
      <c r="C6" s="9">
        <f>VLOOKUP($A6,'RES installed'!$A$2:$C$7,3,FALSE)*'[1]Profiles, RES, Summer'!C$7</f>
        <v>5.3552790044158973</v>
      </c>
      <c r="D6" s="9">
        <f>VLOOKUP($A6,'RES installed'!$A$2:$C$7,3,FALSE)*'[1]Profiles, RES, Summer'!D$7</f>
        <v>4.4720995584102772</v>
      </c>
      <c r="E6" s="9">
        <f>VLOOKUP($A6,'RES installed'!$A$2:$C$7,3,FALSE)*'[1]Profiles, RES, Summer'!E$7</f>
        <v>4.2272179847450824</v>
      </c>
      <c r="F6" s="9">
        <f>VLOOKUP($A6,'RES installed'!$A$2:$C$7,3,FALSE)*'[1]Profiles, RES, Summer'!F$7</f>
        <v>4.1589723002810111</v>
      </c>
      <c r="G6" s="9">
        <f>VLOOKUP($A6,'RES installed'!$A$2:$C$7,3,FALSE)*'[1]Profiles, RES, Summer'!G$7</f>
        <v>4.6647932557205944</v>
      </c>
      <c r="H6" s="9">
        <f>VLOOKUP($A6,'RES installed'!$A$2:$C$7,3,FALSE)*'[1]Profiles, RES, Summer'!H$7</f>
        <v>5.1425130469690883</v>
      </c>
      <c r="I6" s="9">
        <f>VLOOKUP($A6,'RES installed'!$A$2:$C$7,3,FALSE)*'[1]Profiles, RES, Summer'!I$7</f>
        <v>5.3191489361702127</v>
      </c>
      <c r="J6" s="9">
        <f>VLOOKUP($A6,'RES installed'!$A$2:$C$7,3,FALSE)*'[1]Profiles, RES, Summer'!J$7</f>
        <v>4.3235648334002406</v>
      </c>
      <c r="K6" s="9">
        <f>VLOOKUP($A6,'RES installed'!$A$2:$C$7,3,FALSE)*'[1]Profiles, RES, Summer'!K$7</f>
        <v>3.3641107988759531</v>
      </c>
      <c r="L6" s="9">
        <f>VLOOKUP($A6,'RES installed'!$A$2:$C$7,3,FALSE)*'[1]Profiles, RES, Summer'!L$7</f>
        <v>3.0268968285828985</v>
      </c>
      <c r="M6" s="9">
        <f>VLOOKUP($A6,'RES installed'!$A$2:$C$7,3,FALSE)*'[1]Profiles, RES, Summer'!M$7</f>
        <v>2.701726214371738</v>
      </c>
      <c r="N6" s="9">
        <f>VLOOKUP($A6,'RES installed'!$A$2:$C$7,3,FALSE)*'[1]Profiles, RES, Summer'!N$7</f>
        <v>2.9265355279004419</v>
      </c>
      <c r="O6" s="9">
        <f>VLOOKUP($A6,'RES installed'!$A$2:$C$7,3,FALSE)*'[1]Profiles, RES, Summer'!O$7</f>
        <v>3.8940184664793254</v>
      </c>
      <c r="P6" s="9">
        <f>VLOOKUP($A6,'RES installed'!$A$2:$C$7,3,FALSE)*'[1]Profiles, RES, Summer'!P$7</f>
        <v>4.8976314733038944</v>
      </c>
      <c r="Q6" s="9">
        <f>VLOOKUP($A6,'RES installed'!$A$2:$C$7,3,FALSE)*'[1]Profiles, RES, Summer'!Q$7</f>
        <v>5.1384985949417903</v>
      </c>
      <c r="R6" s="9">
        <f>VLOOKUP($A6,'RES installed'!$A$2:$C$7,3,FALSE)*'[1]Profiles, RES, Summer'!R$7</f>
        <v>5.5479727017262146</v>
      </c>
      <c r="S6" s="9">
        <f>VLOOKUP($A6,'RES installed'!$A$2:$C$7,3,FALSE)*'[1]Profiles, RES, Summer'!S$7</f>
        <v>5.7727820152549185</v>
      </c>
      <c r="T6" s="9">
        <f>VLOOKUP($A6,'RES installed'!$A$2:$C$7,3,FALSE)*'[1]Profiles, RES, Summer'!T$7</f>
        <v>5.9173022882376554</v>
      </c>
      <c r="U6" s="9">
        <f>VLOOKUP($A6,'RES installed'!$A$2:$C$7,3,FALSE)*'[1]Profiles, RES, Summer'!U$7</f>
        <v>6.7804094741067846</v>
      </c>
      <c r="V6" s="9">
        <f>VLOOKUP($A6,'RES installed'!$A$2:$C$7,3,FALSE)*'[1]Profiles, RES, Summer'!V$7</f>
        <v>7.6274588518667201</v>
      </c>
      <c r="W6" s="9">
        <f>VLOOKUP($A6,'RES installed'!$A$2:$C$7,3,FALSE)*'[1]Profiles, RES, Summer'!W$7</f>
        <v>7.3665194700923315</v>
      </c>
      <c r="X6" s="9">
        <f>VLOOKUP($A6,'RES installed'!$A$2:$C$7,3,FALSE)*'[1]Profiles, RES, Summer'!X$7</f>
        <v>6.9771176234443999</v>
      </c>
      <c r="Y6" s="9">
        <f>VLOOKUP($A6,'RES installed'!$A$2:$C$7,3,FALSE)*'[1]Profiles, RES, Summer'!Y$7</f>
        <v>6.852669610598153</v>
      </c>
    </row>
    <row r="7" spans="1:25" x14ac:dyDescent="0.3">
      <c r="A7" s="8">
        <v>6</v>
      </c>
      <c r="B7" s="9">
        <f>VLOOKUP($A7,'RES installed'!$A$2:$C$7,3,FALSE)*'[1]Profiles, RES, Summer'!B$7</f>
        <v>8.93014853472501</v>
      </c>
      <c r="C7" s="9">
        <f>VLOOKUP($A7,'RES installed'!$A$2:$C$7,3,FALSE)*'[1]Profiles, RES, Summer'!C$7</f>
        <v>8.0329185066238455</v>
      </c>
      <c r="D7" s="9">
        <f>VLOOKUP($A7,'RES installed'!$A$2:$C$7,3,FALSE)*'[1]Profiles, RES, Summer'!D$7</f>
        <v>6.7081493376154153</v>
      </c>
      <c r="E7" s="9">
        <f>VLOOKUP($A7,'RES installed'!$A$2:$C$7,3,FALSE)*'[1]Profiles, RES, Summer'!E$7</f>
        <v>6.340826977117624</v>
      </c>
      <c r="F7" s="9">
        <f>VLOOKUP($A7,'RES installed'!$A$2:$C$7,3,FALSE)*'[1]Profiles, RES, Summer'!F$7</f>
        <v>6.2384584504215175</v>
      </c>
      <c r="G7" s="9">
        <f>VLOOKUP($A7,'RES installed'!$A$2:$C$7,3,FALSE)*'[1]Profiles, RES, Summer'!G$7</f>
        <v>6.9971898835808908</v>
      </c>
      <c r="H7" s="9">
        <f>VLOOKUP($A7,'RES installed'!$A$2:$C$7,3,FALSE)*'[1]Profiles, RES, Summer'!H$7</f>
        <v>7.713769570453632</v>
      </c>
      <c r="I7" s="9">
        <f>VLOOKUP($A7,'RES installed'!$A$2:$C$7,3,FALSE)*'[1]Profiles, RES, Summer'!I$7</f>
        <v>7.9787234042553195</v>
      </c>
      <c r="J7" s="9">
        <f>VLOOKUP($A7,'RES installed'!$A$2:$C$7,3,FALSE)*'[1]Profiles, RES, Summer'!J$7</f>
        <v>6.4853472501003608</v>
      </c>
      <c r="K7" s="9">
        <f>VLOOKUP($A7,'RES installed'!$A$2:$C$7,3,FALSE)*'[1]Profiles, RES, Summer'!K$7</f>
        <v>5.0461661983139301</v>
      </c>
      <c r="L7" s="9">
        <f>VLOOKUP($A7,'RES installed'!$A$2:$C$7,3,FALSE)*'[1]Profiles, RES, Summer'!L$7</f>
        <v>4.5403452428743476</v>
      </c>
      <c r="M7" s="9">
        <f>VLOOKUP($A7,'RES installed'!$A$2:$C$7,3,FALSE)*'[1]Profiles, RES, Summer'!M$7</f>
        <v>4.0525893215576065</v>
      </c>
      <c r="N7" s="9">
        <f>VLOOKUP($A7,'RES installed'!$A$2:$C$7,3,FALSE)*'[1]Profiles, RES, Summer'!N$7</f>
        <v>4.3898032918506624</v>
      </c>
      <c r="O7" s="9">
        <f>VLOOKUP($A7,'RES installed'!$A$2:$C$7,3,FALSE)*'[1]Profiles, RES, Summer'!O$7</f>
        <v>5.8410276997189881</v>
      </c>
      <c r="P7" s="9">
        <f>VLOOKUP($A7,'RES installed'!$A$2:$C$7,3,FALSE)*'[1]Profiles, RES, Summer'!P$7</f>
        <v>7.3464472099558407</v>
      </c>
      <c r="Q7" s="9">
        <f>VLOOKUP($A7,'RES installed'!$A$2:$C$7,3,FALSE)*'[1]Profiles, RES, Summer'!Q$7</f>
        <v>7.7077478924126854</v>
      </c>
      <c r="R7" s="9">
        <f>VLOOKUP($A7,'RES installed'!$A$2:$C$7,3,FALSE)*'[1]Profiles, RES, Summer'!R$7</f>
        <v>8.3219590525893228</v>
      </c>
      <c r="S7" s="9">
        <f>VLOOKUP($A7,'RES installed'!$A$2:$C$7,3,FALSE)*'[1]Profiles, RES, Summer'!S$7</f>
        <v>8.6591730228823778</v>
      </c>
      <c r="T7" s="9">
        <f>VLOOKUP($A7,'RES installed'!$A$2:$C$7,3,FALSE)*'[1]Profiles, RES, Summer'!T$7</f>
        <v>8.8759534323564839</v>
      </c>
      <c r="U7" s="9">
        <f>VLOOKUP($A7,'RES installed'!$A$2:$C$7,3,FALSE)*'[1]Profiles, RES, Summer'!U$7</f>
        <v>10.170614211160176</v>
      </c>
      <c r="V7" s="9">
        <f>VLOOKUP($A7,'RES installed'!$A$2:$C$7,3,FALSE)*'[1]Profiles, RES, Summer'!V$7</f>
        <v>11.44118827780008</v>
      </c>
      <c r="W7" s="9">
        <f>VLOOKUP($A7,'RES installed'!$A$2:$C$7,3,FALSE)*'[1]Profiles, RES, Summer'!W$7</f>
        <v>11.049779205138497</v>
      </c>
      <c r="X7" s="9">
        <f>VLOOKUP($A7,'RES installed'!$A$2:$C$7,3,FALSE)*'[1]Profiles, RES, Summer'!X$7</f>
        <v>10.4656764351666</v>
      </c>
      <c r="Y7" s="9">
        <f>VLOOKUP($A7,'RES installed'!$A$2:$C$7,3,FALSE)*'[1]Profiles, RES, Summer'!Y$7</f>
        <v>10.27900441589723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1.1372251705837756E-2</v>
      </c>
      <c r="H8" s="6">
        <f>VLOOKUP($A8,'RES installed'!$A$2:$C$7,3,FALSE)*'[1]Profiles, RES, Summer'!H$4</f>
        <v>1.398786959818044</v>
      </c>
      <c r="I8" s="6">
        <f>VLOOKUP($A8,'RES installed'!$A$2:$C$7,3,FALSE)*'[1]Profiles, RES, Summer'!I$4</f>
        <v>6.618650492797574</v>
      </c>
      <c r="J8" s="6">
        <f>VLOOKUP($A8,'RES installed'!$A$2:$C$7,3,FALSE)*'[1]Profiles, RES, Summer'!J$4</f>
        <v>14.408642911296438</v>
      </c>
      <c r="K8" s="6">
        <f>VLOOKUP($A8,'RES installed'!$A$2:$C$7,3,FALSE)*'[1]Profiles, RES, Summer'!K$4</f>
        <v>22.244124336618651</v>
      </c>
      <c r="L8" s="6">
        <f>VLOOKUP($A8,'RES installed'!$A$2:$C$7,3,FALSE)*'[1]Profiles, RES, Summer'!L$4</f>
        <v>27.304776345716451</v>
      </c>
      <c r="M8" s="6">
        <f>VLOOKUP($A8,'RES installed'!$A$2:$C$7,3,FALSE)*'[1]Profiles, RES, Summer'!M$4</f>
        <v>29.203942380591357</v>
      </c>
      <c r="N8" s="6">
        <f>VLOOKUP($A8,'RES installed'!$A$2:$C$7,3,FALSE)*'[1]Profiles, RES, Summer'!N$4</f>
        <v>30</v>
      </c>
      <c r="O8" s="6">
        <f>VLOOKUP($A8,'RES installed'!$A$2:$C$7,3,FALSE)*'[1]Profiles, RES, Summer'!O$4</f>
        <v>29.476876421531461</v>
      </c>
      <c r="P8" s="6">
        <f>VLOOKUP($A8,'RES installed'!$A$2:$C$7,3,FALSE)*'[1]Profiles, RES, Summer'!P$4</f>
        <v>27.987111448066717</v>
      </c>
      <c r="Q8" s="6">
        <f>VLOOKUP($A8,'RES installed'!$A$2:$C$7,3,FALSE)*'[1]Profiles, RES, Summer'!Q$4</f>
        <v>24.768764215314633</v>
      </c>
      <c r="R8" s="6">
        <f>VLOOKUP($A8,'RES installed'!$A$2:$C$7,3,FALSE)*'[1]Profiles, RES, Summer'!R$4</f>
        <v>19.457922668688401</v>
      </c>
      <c r="S8" s="6">
        <f>VLOOKUP($A8,'RES installed'!$A$2:$C$7,3,FALSE)*'[1]Profiles, RES, Summer'!S$4</f>
        <v>11.576952236542835</v>
      </c>
      <c r="T8" s="6">
        <f>VLOOKUP($A8,'RES installed'!$A$2:$C$7,3,FALSE)*'[1]Profiles, RES, Summer'!T$4</f>
        <v>3.5367702805155421</v>
      </c>
      <c r="U8" s="6">
        <f>VLOOKUP($A8,'RES installed'!$A$2:$C$7,3,FALSE)*'[1]Profiles, RES, Summer'!U$4</f>
        <v>0.1592115238817286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3.7907505686125853E-3</v>
      </c>
      <c r="H9" s="6">
        <f>VLOOKUP($A9,'RES installed'!$A$2:$C$7,3,FALSE)*'[1]Profiles, RES, Summer'!H$4</f>
        <v>0.46626231993934797</v>
      </c>
      <c r="I9" s="6">
        <f>VLOOKUP($A9,'RES installed'!$A$2:$C$7,3,FALSE)*'[1]Profiles, RES, Summer'!I$4</f>
        <v>2.206216830932525</v>
      </c>
      <c r="J9" s="6">
        <f>VLOOKUP($A9,'RES installed'!$A$2:$C$7,3,FALSE)*'[1]Profiles, RES, Summer'!J$4</f>
        <v>4.8028809704321453</v>
      </c>
      <c r="K9" s="6">
        <f>VLOOKUP($A9,'RES installed'!$A$2:$C$7,3,FALSE)*'[1]Profiles, RES, Summer'!K$4</f>
        <v>7.4147081122062168</v>
      </c>
      <c r="L9" s="6">
        <f>VLOOKUP($A9,'RES installed'!$A$2:$C$7,3,FALSE)*'[1]Profiles, RES, Summer'!L$4</f>
        <v>9.1015921152388159</v>
      </c>
      <c r="M9" s="6">
        <f>VLOOKUP($A9,'RES installed'!$A$2:$C$7,3,FALSE)*'[1]Profiles, RES, Summer'!M$4</f>
        <v>9.7346474601971185</v>
      </c>
      <c r="N9" s="6">
        <f>VLOOKUP($A9,'RES installed'!$A$2:$C$7,3,FALSE)*'[1]Profiles, RES, Summer'!N$4</f>
        <v>10</v>
      </c>
      <c r="O9" s="6">
        <f>VLOOKUP($A9,'RES installed'!$A$2:$C$7,3,FALSE)*'[1]Profiles, RES, Summer'!O$4</f>
        <v>9.8256254738438216</v>
      </c>
      <c r="P9" s="6">
        <f>VLOOKUP($A9,'RES installed'!$A$2:$C$7,3,FALSE)*'[1]Profiles, RES, Summer'!P$4</f>
        <v>9.3290371493555728</v>
      </c>
      <c r="Q9" s="6">
        <f>VLOOKUP($A9,'RES installed'!$A$2:$C$7,3,FALSE)*'[1]Profiles, RES, Summer'!Q$4</f>
        <v>8.2562547384382121</v>
      </c>
      <c r="R9" s="6">
        <f>VLOOKUP($A9,'RES installed'!$A$2:$C$7,3,FALSE)*'[1]Profiles, RES, Summer'!R$4</f>
        <v>6.4859742228961341</v>
      </c>
      <c r="S9" s="6">
        <f>VLOOKUP($A9,'RES installed'!$A$2:$C$7,3,FALSE)*'[1]Profiles, RES, Summer'!S$4</f>
        <v>3.858984078847612</v>
      </c>
      <c r="T9" s="6">
        <f>VLOOKUP($A9,'RES installed'!$A$2:$C$7,3,FALSE)*'[1]Profiles, RES, Summer'!T$4</f>
        <v>1.178923426838514</v>
      </c>
      <c r="U9" s="6">
        <f>VLOOKUP($A9,'RES installed'!$A$2:$C$7,3,FALSE)*'[1]Profiles, RES, Summer'!U$4</f>
        <v>5.3070507960576198E-2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7.5815011372251705E-3</v>
      </c>
      <c r="H10" s="6">
        <f>VLOOKUP($A10,'RES installed'!$A$2:$C$7,3,FALSE)*'[1]Profiles, RES, Summer'!H$4</f>
        <v>0.93252463987869594</v>
      </c>
      <c r="I10" s="6">
        <f>VLOOKUP($A10,'RES installed'!$A$2:$C$7,3,FALSE)*'[1]Profiles, RES, Summer'!I$4</f>
        <v>4.4124336618650499</v>
      </c>
      <c r="J10" s="6">
        <f>VLOOKUP($A10,'RES installed'!$A$2:$C$7,3,FALSE)*'[1]Profiles, RES, Summer'!J$4</f>
        <v>9.6057619408642907</v>
      </c>
      <c r="K10" s="6">
        <f>VLOOKUP($A10,'RES installed'!$A$2:$C$7,3,FALSE)*'[1]Profiles, RES, Summer'!K$4</f>
        <v>14.829416224412434</v>
      </c>
      <c r="L10" s="6">
        <f>VLOOKUP($A10,'RES installed'!$A$2:$C$7,3,FALSE)*'[1]Profiles, RES, Summer'!L$4</f>
        <v>18.203184230477632</v>
      </c>
      <c r="M10" s="6">
        <f>VLOOKUP($A10,'RES installed'!$A$2:$C$7,3,FALSE)*'[1]Profiles, RES, Summer'!M$4</f>
        <v>19.469294920394237</v>
      </c>
      <c r="N10" s="6">
        <f>VLOOKUP($A10,'RES installed'!$A$2:$C$7,3,FALSE)*'[1]Profiles, RES, Summer'!N$4</f>
        <v>20</v>
      </c>
      <c r="O10" s="6">
        <f>VLOOKUP($A10,'RES installed'!$A$2:$C$7,3,FALSE)*'[1]Profiles, RES, Summer'!O$4</f>
        <v>19.651250947687643</v>
      </c>
      <c r="P10" s="6">
        <f>VLOOKUP($A10,'RES installed'!$A$2:$C$7,3,FALSE)*'[1]Profiles, RES, Summer'!P$4</f>
        <v>18.658074298711146</v>
      </c>
      <c r="Q10" s="6">
        <f>VLOOKUP($A10,'RES installed'!$A$2:$C$7,3,FALSE)*'[1]Profiles, RES, Summer'!Q$4</f>
        <v>16.512509476876424</v>
      </c>
      <c r="R10" s="6">
        <f>VLOOKUP($A10,'RES installed'!$A$2:$C$7,3,FALSE)*'[1]Profiles, RES, Summer'!R$4</f>
        <v>12.971948445792268</v>
      </c>
      <c r="S10" s="6">
        <f>VLOOKUP($A10,'RES installed'!$A$2:$C$7,3,FALSE)*'[1]Profiles, RES, Summer'!S$4</f>
        <v>7.7179681576952239</v>
      </c>
      <c r="T10" s="6">
        <f>VLOOKUP($A10,'RES installed'!$A$2:$C$7,3,FALSE)*'[1]Profiles, RES, Summer'!T$4</f>
        <v>2.3578468536770281</v>
      </c>
      <c r="U10" s="6">
        <f>VLOOKUP($A10,'RES installed'!$A$2:$C$7,3,FALSE)*'[1]Profiles, RES, Summer'!U$4</f>
        <v>0.1061410159211524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2489A-F098-4871-AA5A-66ECC461660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8.1051786431152131</v>
      </c>
      <c r="C5" s="9">
        <f>VLOOKUP($A5,'RES installed'!$A$2:$C$7,3,FALSE)*'[1]Profiles, RES, Summer'!C$5</f>
        <v>7.4126856684062625</v>
      </c>
      <c r="D5" s="9">
        <f>VLOOKUP($A5,'RES installed'!$A$2:$C$7,3,FALSE)*'[1]Profiles, RES, Summer'!D$5</f>
        <v>6.4853472501003608</v>
      </c>
      <c r="E5" s="9">
        <f>VLOOKUP($A5,'RES installed'!$A$2:$C$7,3,FALSE)*'[1]Profiles, RES, Summer'!E$5</f>
        <v>6.461260537936572</v>
      </c>
      <c r="F5" s="9">
        <f>VLOOKUP($A5,'RES installed'!$A$2:$C$7,3,FALSE)*'[1]Profiles, RES, Summer'!F$5</f>
        <v>6.1180248896025695</v>
      </c>
      <c r="G5" s="9">
        <f>VLOOKUP($A5,'RES installed'!$A$2:$C$7,3,FALSE)*'[1]Profiles, RES, Summer'!G$5</f>
        <v>5.6362906463267768</v>
      </c>
      <c r="H5" s="9">
        <f>VLOOKUP($A5,'RES installed'!$A$2:$C$7,3,FALSE)*'[1]Profiles, RES, Summer'!H$5</f>
        <v>4.9558410276997193</v>
      </c>
      <c r="I5" s="9">
        <f>VLOOKUP($A5,'RES installed'!$A$2:$C$7,3,FALSE)*'[1]Profiles, RES, Summer'!I$5</f>
        <v>3.8960256924929744</v>
      </c>
      <c r="J5" s="9">
        <f>VLOOKUP($A5,'RES installed'!$A$2:$C$7,3,FALSE)*'[1]Profiles, RES, Summer'!J$5</f>
        <v>3.2396627860297067</v>
      </c>
      <c r="K5" s="9">
        <f>VLOOKUP($A5,'RES installed'!$A$2:$C$7,3,FALSE)*'[1]Profiles, RES, Summer'!K$5</f>
        <v>3.0289040545965475</v>
      </c>
      <c r="L5" s="9">
        <f>VLOOKUP($A5,'RES installed'!$A$2:$C$7,3,FALSE)*'[1]Profiles, RES, Summer'!L$5</f>
        <v>2.7880369329586512</v>
      </c>
      <c r="M5" s="9">
        <f>VLOOKUP($A5,'RES installed'!$A$2:$C$7,3,FALSE)*'[1]Profiles, RES, Summer'!M$5</f>
        <v>3.1372942593336011</v>
      </c>
      <c r="N5" s="9">
        <f>VLOOKUP($A5,'RES installed'!$A$2:$C$7,3,FALSE)*'[1]Profiles, RES, Summer'!N$5</f>
        <v>3.9441991168205535</v>
      </c>
      <c r="O5" s="9">
        <f>VLOOKUP($A5,'RES installed'!$A$2:$C$7,3,FALSE)*'[1]Profiles, RES, Summer'!O$5</f>
        <v>4.8956242472902449</v>
      </c>
      <c r="P5" s="9">
        <f>VLOOKUP($A5,'RES installed'!$A$2:$C$7,3,FALSE)*'[1]Profiles, RES, Summer'!P$5</f>
        <v>6.5335206744279404</v>
      </c>
      <c r="Q5" s="9">
        <f>VLOOKUP($A5,'RES installed'!$A$2:$C$7,3,FALSE)*'[1]Profiles, RES, Summer'!Q$5</f>
        <v>8.3400240867121642</v>
      </c>
      <c r="R5" s="9">
        <f>VLOOKUP($A5,'RES installed'!$A$2:$C$7,3,FALSE)*'[1]Profiles, RES, Summer'!R$5</f>
        <v>9.8574869530309108</v>
      </c>
      <c r="S5" s="9">
        <f>VLOOKUP($A5,'RES installed'!$A$2:$C$7,3,FALSE)*'[1]Profiles, RES, Summer'!S$5</f>
        <v>10.519871537535126</v>
      </c>
      <c r="T5" s="9">
        <f>VLOOKUP($A5,'RES installed'!$A$2:$C$7,3,FALSE)*'[1]Profiles, RES, Summer'!T$5</f>
        <v>11.320754716981133</v>
      </c>
      <c r="U5" s="9">
        <f>VLOOKUP($A5,'RES installed'!$A$2:$C$7,3,FALSE)*'[1]Profiles, RES, Summer'!U$5</f>
        <v>12.609393817743877</v>
      </c>
      <c r="V5" s="9">
        <f>VLOOKUP($A5,'RES installed'!$A$2:$C$7,3,FALSE)*'[1]Profiles, RES, Summer'!V$5</f>
        <v>13.904054596547573</v>
      </c>
      <c r="W5" s="9">
        <f>VLOOKUP($A5,'RES installed'!$A$2:$C$7,3,FALSE)*'[1]Profiles, RES, Summer'!W$5</f>
        <v>14.482135688478524</v>
      </c>
      <c r="X5" s="9">
        <f>VLOOKUP($A5,'RES installed'!$A$2:$C$7,3,FALSE)*'[1]Profiles, RES, Summer'!X$5</f>
        <v>14.548374146928943</v>
      </c>
      <c r="Y5" s="9">
        <f>VLOOKUP($A5,'RES installed'!$A$2:$C$7,3,FALSE)*'[1]Profiles, RES, Summer'!Y$5</f>
        <v>14.030509835407466</v>
      </c>
    </row>
    <row r="6" spans="1:25" x14ac:dyDescent="0.3">
      <c r="A6" s="8">
        <v>5</v>
      </c>
      <c r="B6" s="9">
        <f>VLOOKUP($A6,'RES installed'!$A$2:$C$7,3,FALSE)*'[1]Profiles, RES, Summer'!B$5</f>
        <v>5.403452428743476</v>
      </c>
      <c r="C6" s="9">
        <f>VLOOKUP($A6,'RES installed'!$A$2:$C$7,3,FALSE)*'[1]Profiles, RES, Summer'!C$5</f>
        <v>4.941790445604175</v>
      </c>
      <c r="D6" s="9">
        <f>VLOOKUP($A6,'RES installed'!$A$2:$C$7,3,FALSE)*'[1]Profiles, RES, Summer'!D$5</f>
        <v>4.3235648334002406</v>
      </c>
      <c r="E6" s="9">
        <f>VLOOKUP($A6,'RES installed'!$A$2:$C$7,3,FALSE)*'[1]Profiles, RES, Summer'!E$5</f>
        <v>4.3075070252910477</v>
      </c>
      <c r="F6" s="9">
        <f>VLOOKUP($A6,'RES installed'!$A$2:$C$7,3,FALSE)*'[1]Profiles, RES, Summer'!F$5</f>
        <v>4.0786832597350466</v>
      </c>
      <c r="G6" s="9">
        <f>VLOOKUP($A6,'RES installed'!$A$2:$C$7,3,FALSE)*'[1]Profiles, RES, Summer'!G$5</f>
        <v>3.7575270975511845</v>
      </c>
      <c r="H6" s="9">
        <f>VLOOKUP($A6,'RES installed'!$A$2:$C$7,3,FALSE)*'[1]Profiles, RES, Summer'!H$5</f>
        <v>3.3038940184664796</v>
      </c>
      <c r="I6" s="9">
        <f>VLOOKUP($A6,'RES installed'!$A$2:$C$7,3,FALSE)*'[1]Profiles, RES, Summer'!I$5</f>
        <v>2.5973504616619829</v>
      </c>
      <c r="J6" s="9">
        <f>VLOOKUP($A6,'RES installed'!$A$2:$C$7,3,FALSE)*'[1]Profiles, RES, Summer'!J$5</f>
        <v>2.1597751906864713</v>
      </c>
      <c r="K6" s="9">
        <f>VLOOKUP($A6,'RES installed'!$A$2:$C$7,3,FALSE)*'[1]Profiles, RES, Summer'!K$5</f>
        <v>2.019269369731032</v>
      </c>
      <c r="L6" s="9">
        <f>VLOOKUP($A6,'RES installed'!$A$2:$C$7,3,FALSE)*'[1]Profiles, RES, Summer'!L$5</f>
        <v>1.8586912886391007</v>
      </c>
      <c r="M6" s="9">
        <f>VLOOKUP($A6,'RES installed'!$A$2:$C$7,3,FALSE)*'[1]Profiles, RES, Summer'!M$5</f>
        <v>2.0915295062224009</v>
      </c>
      <c r="N6" s="9">
        <f>VLOOKUP($A6,'RES installed'!$A$2:$C$7,3,FALSE)*'[1]Profiles, RES, Summer'!N$5</f>
        <v>2.6294660778803691</v>
      </c>
      <c r="O6" s="9">
        <f>VLOOKUP($A6,'RES installed'!$A$2:$C$7,3,FALSE)*'[1]Profiles, RES, Summer'!O$5</f>
        <v>3.2637494981934969</v>
      </c>
      <c r="P6" s="9">
        <f>VLOOKUP($A6,'RES installed'!$A$2:$C$7,3,FALSE)*'[1]Profiles, RES, Summer'!P$5</f>
        <v>4.3556804496186272</v>
      </c>
      <c r="Q6" s="9">
        <f>VLOOKUP($A6,'RES installed'!$A$2:$C$7,3,FALSE)*'[1]Profiles, RES, Summer'!Q$5</f>
        <v>5.5600160578081095</v>
      </c>
      <c r="R6" s="9">
        <f>VLOOKUP($A6,'RES installed'!$A$2:$C$7,3,FALSE)*'[1]Profiles, RES, Summer'!R$5</f>
        <v>6.5716579686872745</v>
      </c>
      <c r="S6" s="9">
        <f>VLOOKUP($A6,'RES installed'!$A$2:$C$7,3,FALSE)*'[1]Profiles, RES, Summer'!S$5</f>
        <v>7.0132476916900846</v>
      </c>
      <c r="T6" s="9">
        <f>VLOOKUP($A6,'RES installed'!$A$2:$C$7,3,FALSE)*'[1]Profiles, RES, Summer'!T$5</f>
        <v>7.5471698113207548</v>
      </c>
      <c r="U6" s="9">
        <f>VLOOKUP($A6,'RES installed'!$A$2:$C$7,3,FALSE)*'[1]Profiles, RES, Summer'!U$5</f>
        <v>8.4062625451625852</v>
      </c>
      <c r="V6" s="9">
        <f>VLOOKUP($A6,'RES installed'!$A$2:$C$7,3,FALSE)*'[1]Profiles, RES, Summer'!V$5</f>
        <v>9.2693697310317145</v>
      </c>
      <c r="W6" s="9">
        <f>VLOOKUP($A6,'RES installed'!$A$2:$C$7,3,FALSE)*'[1]Profiles, RES, Summer'!W$5</f>
        <v>9.654757125652349</v>
      </c>
      <c r="X6" s="9">
        <f>VLOOKUP($A6,'RES installed'!$A$2:$C$7,3,FALSE)*'[1]Profiles, RES, Summer'!X$5</f>
        <v>9.6989160979526297</v>
      </c>
      <c r="Y6" s="9">
        <f>VLOOKUP($A6,'RES installed'!$A$2:$C$7,3,FALSE)*'[1]Profiles, RES, Summer'!Y$5</f>
        <v>9.3536732236049787</v>
      </c>
    </row>
    <row r="7" spans="1:25" x14ac:dyDescent="0.3">
      <c r="A7" s="8">
        <v>6</v>
      </c>
      <c r="B7" s="9">
        <f>VLOOKUP($A7,'RES installed'!$A$2:$C$7,3,FALSE)*'[1]Profiles, RES, Summer'!B$5</f>
        <v>8.1051786431152131</v>
      </c>
      <c r="C7" s="9">
        <f>VLOOKUP($A7,'RES installed'!$A$2:$C$7,3,FALSE)*'[1]Profiles, RES, Summer'!C$5</f>
        <v>7.4126856684062625</v>
      </c>
      <c r="D7" s="9">
        <f>VLOOKUP($A7,'RES installed'!$A$2:$C$7,3,FALSE)*'[1]Profiles, RES, Summer'!D$5</f>
        <v>6.4853472501003608</v>
      </c>
      <c r="E7" s="9">
        <f>VLOOKUP($A7,'RES installed'!$A$2:$C$7,3,FALSE)*'[1]Profiles, RES, Summer'!E$5</f>
        <v>6.461260537936572</v>
      </c>
      <c r="F7" s="9">
        <f>VLOOKUP($A7,'RES installed'!$A$2:$C$7,3,FALSE)*'[1]Profiles, RES, Summer'!F$5</f>
        <v>6.1180248896025695</v>
      </c>
      <c r="G7" s="9">
        <f>VLOOKUP($A7,'RES installed'!$A$2:$C$7,3,FALSE)*'[1]Profiles, RES, Summer'!G$5</f>
        <v>5.6362906463267768</v>
      </c>
      <c r="H7" s="9">
        <f>VLOOKUP($A7,'RES installed'!$A$2:$C$7,3,FALSE)*'[1]Profiles, RES, Summer'!H$5</f>
        <v>4.9558410276997193</v>
      </c>
      <c r="I7" s="9">
        <f>VLOOKUP($A7,'RES installed'!$A$2:$C$7,3,FALSE)*'[1]Profiles, RES, Summer'!I$5</f>
        <v>3.8960256924929744</v>
      </c>
      <c r="J7" s="9">
        <f>VLOOKUP($A7,'RES installed'!$A$2:$C$7,3,FALSE)*'[1]Profiles, RES, Summer'!J$5</f>
        <v>3.2396627860297067</v>
      </c>
      <c r="K7" s="9">
        <f>VLOOKUP($A7,'RES installed'!$A$2:$C$7,3,FALSE)*'[1]Profiles, RES, Summer'!K$5</f>
        <v>3.0289040545965475</v>
      </c>
      <c r="L7" s="9">
        <f>VLOOKUP($A7,'RES installed'!$A$2:$C$7,3,FALSE)*'[1]Profiles, RES, Summer'!L$5</f>
        <v>2.7880369329586512</v>
      </c>
      <c r="M7" s="9">
        <f>VLOOKUP($A7,'RES installed'!$A$2:$C$7,3,FALSE)*'[1]Profiles, RES, Summer'!M$5</f>
        <v>3.1372942593336011</v>
      </c>
      <c r="N7" s="9">
        <f>VLOOKUP($A7,'RES installed'!$A$2:$C$7,3,FALSE)*'[1]Profiles, RES, Summer'!N$5</f>
        <v>3.9441991168205535</v>
      </c>
      <c r="O7" s="9">
        <f>VLOOKUP($A7,'RES installed'!$A$2:$C$7,3,FALSE)*'[1]Profiles, RES, Summer'!O$5</f>
        <v>4.8956242472902449</v>
      </c>
      <c r="P7" s="9">
        <f>VLOOKUP($A7,'RES installed'!$A$2:$C$7,3,FALSE)*'[1]Profiles, RES, Summer'!P$5</f>
        <v>6.5335206744279404</v>
      </c>
      <c r="Q7" s="9">
        <f>VLOOKUP($A7,'RES installed'!$A$2:$C$7,3,FALSE)*'[1]Profiles, RES, Summer'!Q$5</f>
        <v>8.3400240867121642</v>
      </c>
      <c r="R7" s="9">
        <f>VLOOKUP($A7,'RES installed'!$A$2:$C$7,3,FALSE)*'[1]Profiles, RES, Summer'!R$5</f>
        <v>9.8574869530309108</v>
      </c>
      <c r="S7" s="9">
        <f>VLOOKUP($A7,'RES installed'!$A$2:$C$7,3,FALSE)*'[1]Profiles, RES, Summer'!S$5</f>
        <v>10.519871537535126</v>
      </c>
      <c r="T7" s="9">
        <f>VLOOKUP($A7,'RES installed'!$A$2:$C$7,3,FALSE)*'[1]Profiles, RES, Summer'!T$5</f>
        <v>11.320754716981133</v>
      </c>
      <c r="U7" s="9">
        <f>VLOOKUP($A7,'RES installed'!$A$2:$C$7,3,FALSE)*'[1]Profiles, RES, Summer'!U$5</f>
        <v>12.609393817743877</v>
      </c>
      <c r="V7" s="9">
        <f>VLOOKUP($A7,'RES installed'!$A$2:$C$7,3,FALSE)*'[1]Profiles, RES, Summer'!V$5</f>
        <v>13.904054596547573</v>
      </c>
      <c r="W7" s="9">
        <f>VLOOKUP($A7,'RES installed'!$A$2:$C$7,3,FALSE)*'[1]Profiles, RES, Summer'!W$5</f>
        <v>14.482135688478524</v>
      </c>
      <c r="X7" s="9">
        <f>VLOOKUP($A7,'RES installed'!$A$2:$C$7,3,FALSE)*'[1]Profiles, RES, Summer'!X$5</f>
        <v>14.548374146928943</v>
      </c>
      <c r="Y7" s="9">
        <f>VLOOKUP($A7,'RES installed'!$A$2:$C$7,3,FALSE)*'[1]Profiles, RES, Summer'!Y$5</f>
        <v>14.030509835407466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6.8233510235026537E-2</v>
      </c>
      <c r="H8" s="6">
        <f>VLOOKUP($A8,'RES installed'!$A$2:$C$7,3,FALSE)*'[1]Profiles, RES, Summer'!H$2</f>
        <v>2.0015163002274452</v>
      </c>
      <c r="I8" s="6">
        <f>VLOOKUP($A8,'RES installed'!$A$2:$C$7,3,FALSE)*'[1]Profiles, RES, Summer'!I$2</f>
        <v>8.3244882486732372</v>
      </c>
      <c r="J8" s="6">
        <f>VLOOKUP($A8,'RES installed'!$A$2:$C$7,3,FALSE)*'[1]Profiles, RES, Summer'!J$2</f>
        <v>17.240333586050038</v>
      </c>
      <c r="K8" s="6">
        <f>VLOOKUP($A8,'RES installed'!$A$2:$C$7,3,FALSE)*'[1]Profiles, RES, Summer'!K$2</f>
        <v>22.687642153146324</v>
      </c>
      <c r="L8" s="6">
        <f>VLOOKUP($A8,'RES installed'!$A$2:$C$7,3,FALSE)*'[1]Profiles, RES, Summer'!L$2</f>
        <v>26.065200909780135</v>
      </c>
      <c r="M8" s="6">
        <f>VLOOKUP($A8,'RES installed'!$A$2:$C$7,3,FALSE)*'[1]Profiles, RES, Summer'!M$2</f>
        <v>27.589082638362395</v>
      </c>
      <c r="N8" s="6">
        <f>VLOOKUP($A8,'RES installed'!$A$2:$C$7,3,FALSE)*'[1]Profiles, RES, Summer'!N$2</f>
        <v>28.203184230477635</v>
      </c>
      <c r="O8" s="6">
        <f>VLOOKUP($A8,'RES installed'!$A$2:$C$7,3,FALSE)*'[1]Profiles, RES, Summer'!O$2</f>
        <v>28.214556482183475</v>
      </c>
      <c r="P8" s="6">
        <f>VLOOKUP($A8,'RES installed'!$A$2:$C$7,3,FALSE)*'[1]Profiles, RES, Summer'!P$2</f>
        <v>27.247915087187263</v>
      </c>
      <c r="Q8" s="6">
        <f>VLOOKUP($A8,'RES installed'!$A$2:$C$7,3,FALSE)*'[1]Profiles, RES, Summer'!Q$2</f>
        <v>24.234268385140258</v>
      </c>
      <c r="R8" s="6">
        <f>VLOOKUP($A8,'RES installed'!$A$2:$C$7,3,FALSE)*'[1]Profiles, RES, Summer'!R$2</f>
        <v>19.423805913570888</v>
      </c>
      <c r="S8" s="6">
        <f>VLOOKUP($A8,'RES installed'!$A$2:$C$7,3,FALSE)*'[1]Profiles, RES, Summer'!S$2</f>
        <v>12.566338134950721</v>
      </c>
      <c r="T8" s="6">
        <f>VLOOKUP($A8,'RES installed'!$A$2:$C$7,3,FALSE)*'[1]Profiles, RES, Summer'!T$2</f>
        <v>4.3783169067475365</v>
      </c>
      <c r="U8" s="6">
        <f>VLOOKUP($A8,'RES installed'!$A$2:$C$7,3,FALSE)*'[1]Profiles, RES, Summer'!U$2</f>
        <v>0.3639120545868082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2.2744503411675512E-2</v>
      </c>
      <c r="H9" s="6">
        <f>VLOOKUP($A9,'RES installed'!$A$2:$C$7,3,FALSE)*'[1]Profiles, RES, Summer'!H$2</f>
        <v>0.66717210007581507</v>
      </c>
      <c r="I9" s="6">
        <f>VLOOKUP($A9,'RES installed'!$A$2:$C$7,3,FALSE)*'[1]Profiles, RES, Summer'!I$2</f>
        <v>2.7748294162244127</v>
      </c>
      <c r="J9" s="6">
        <f>VLOOKUP($A9,'RES installed'!$A$2:$C$7,3,FALSE)*'[1]Profiles, RES, Summer'!J$2</f>
        <v>5.7467778620166801</v>
      </c>
      <c r="K9" s="6">
        <f>VLOOKUP($A9,'RES installed'!$A$2:$C$7,3,FALSE)*'[1]Profiles, RES, Summer'!K$2</f>
        <v>7.5625473843821078</v>
      </c>
      <c r="L9" s="6">
        <f>VLOOKUP($A9,'RES installed'!$A$2:$C$7,3,FALSE)*'[1]Profiles, RES, Summer'!L$2</f>
        <v>8.6884003032600461</v>
      </c>
      <c r="M9" s="6">
        <f>VLOOKUP($A9,'RES installed'!$A$2:$C$7,3,FALSE)*'[1]Profiles, RES, Summer'!M$2</f>
        <v>9.1963608794541312</v>
      </c>
      <c r="N9" s="6">
        <f>VLOOKUP($A9,'RES installed'!$A$2:$C$7,3,FALSE)*'[1]Profiles, RES, Summer'!N$2</f>
        <v>9.4010614101592118</v>
      </c>
      <c r="O9" s="6">
        <f>VLOOKUP($A9,'RES installed'!$A$2:$C$7,3,FALSE)*'[1]Profiles, RES, Summer'!O$2</f>
        <v>9.4048521607278239</v>
      </c>
      <c r="P9" s="6">
        <f>VLOOKUP($A9,'RES installed'!$A$2:$C$7,3,FALSE)*'[1]Profiles, RES, Summer'!P$2</f>
        <v>9.0826383623957536</v>
      </c>
      <c r="Q9" s="6">
        <f>VLOOKUP($A9,'RES installed'!$A$2:$C$7,3,FALSE)*'[1]Profiles, RES, Summer'!Q$2</f>
        <v>8.0780894617134198</v>
      </c>
      <c r="R9" s="6">
        <f>VLOOKUP($A9,'RES installed'!$A$2:$C$7,3,FALSE)*'[1]Profiles, RES, Summer'!R$2</f>
        <v>6.474601971190296</v>
      </c>
      <c r="S9" s="6">
        <f>VLOOKUP($A9,'RES installed'!$A$2:$C$7,3,FALSE)*'[1]Profiles, RES, Summer'!S$2</f>
        <v>4.1887793783169069</v>
      </c>
      <c r="T9" s="6">
        <f>VLOOKUP($A9,'RES installed'!$A$2:$C$7,3,FALSE)*'[1]Profiles, RES, Summer'!T$2</f>
        <v>1.4594389689158453</v>
      </c>
      <c r="U9" s="6">
        <f>VLOOKUP($A9,'RES installed'!$A$2:$C$7,3,FALSE)*'[1]Profiles, RES, Summer'!U$2</f>
        <v>0.12130401819560273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4.5489006823351025E-2</v>
      </c>
      <c r="H10" s="6">
        <f>VLOOKUP($A10,'RES installed'!$A$2:$C$7,3,FALSE)*'[1]Profiles, RES, Summer'!H$2</f>
        <v>1.3343442001516301</v>
      </c>
      <c r="I10" s="6">
        <f>VLOOKUP($A10,'RES installed'!$A$2:$C$7,3,FALSE)*'[1]Profiles, RES, Summer'!I$2</f>
        <v>5.5496588324488254</v>
      </c>
      <c r="J10" s="6">
        <f>VLOOKUP($A10,'RES installed'!$A$2:$C$7,3,FALSE)*'[1]Profiles, RES, Summer'!J$2</f>
        <v>11.49355572403336</v>
      </c>
      <c r="K10" s="6">
        <f>VLOOKUP($A10,'RES installed'!$A$2:$C$7,3,FALSE)*'[1]Profiles, RES, Summer'!K$2</f>
        <v>15.125094768764216</v>
      </c>
      <c r="L10" s="6">
        <f>VLOOKUP($A10,'RES installed'!$A$2:$C$7,3,FALSE)*'[1]Profiles, RES, Summer'!L$2</f>
        <v>17.376800606520092</v>
      </c>
      <c r="M10" s="6">
        <f>VLOOKUP($A10,'RES installed'!$A$2:$C$7,3,FALSE)*'[1]Profiles, RES, Summer'!M$2</f>
        <v>18.392721758908262</v>
      </c>
      <c r="N10" s="6">
        <f>VLOOKUP($A10,'RES installed'!$A$2:$C$7,3,FALSE)*'[1]Profiles, RES, Summer'!N$2</f>
        <v>18.802122820318424</v>
      </c>
      <c r="O10" s="6">
        <f>VLOOKUP($A10,'RES installed'!$A$2:$C$7,3,FALSE)*'[1]Profiles, RES, Summer'!O$2</f>
        <v>18.809704321455648</v>
      </c>
      <c r="P10" s="6">
        <f>VLOOKUP($A10,'RES installed'!$A$2:$C$7,3,FALSE)*'[1]Profiles, RES, Summer'!P$2</f>
        <v>18.165276724791507</v>
      </c>
      <c r="Q10" s="6">
        <f>VLOOKUP($A10,'RES installed'!$A$2:$C$7,3,FALSE)*'[1]Profiles, RES, Summer'!Q$2</f>
        <v>16.15617892342684</v>
      </c>
      <c r="R10" s="6">
        <f>VLOOKUP($A10,'RES installed'!$A$2:$C$7,3,FALSE)*'[1]Profiles, RES, Summer'!R$2</f>
        <v>12.949203942380592</v>
      </c>
      <c r="S10" s="6">
        <f>VLOOKUP($A10,'RES installed'!$A$2:$C$7,3,FALSE)*'[1]Profiles, RES, Summer'!S$2</f>
        <v>8.3775587566338139</v>
      </c>
      <c r="T10" s="6">
        <f>VLOOKUP($A10,'RES installed'!$A$2:$C$7,3,FALSE)*'[1]Profiles, RES, Summer'!T$2</f>
        <v>2.9188779378316907</v>
      </c>
      <c r="U10" s="6">
        <f>VLOOKUP($A10,'RES installed'!$A$2:$C$7,3,FALSE)*'[1]Profiles, RES, Summer'!U$2</f>
        <v>0.24260803639120546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0039B-D4D9-47D8-9308-A8064C02CC8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8.5507828181453238</v>
      </c>
      <c r="C5" s="9">
        <f>VLOOKUP($A5,'RES installed'!$A$2:$C$7,3,FALSE)*'[1]Profiles, RES, Summer'!C$6</f>
        <v>7.9425933360096339</v>
      </c>
      <c r="D5" s="9">
        <f>VLOOKUP($A5,'RES installed'!$A$2:$C$7,3,FALSE)*'[1]Profiles, RES, Summer'!D$6</f>
        <v>8.0750702529104768</v>
      </c>
      <c r="E5" s="9">
        <f>VLOOKUP($A5,'RES installed'!$A$2:$C$7,3,FALSE)*'[1]Profiles, RES, Summer'!E$6</f>
        <v>7.298273785628262</v>
      </c>
      <c r="F5" s="9">
        <f>VLOOKUP($A5,'RES installed'!$A$2:$C$7,3,FALSE)*'[1]Profiles, RES, Summer'!F$6</f>
        <v>6.8285828984343633</v>
      </c>
      <c r="G5" s="9">
        <f>VLOOKUP($A5,'RES installed'!$A$2:$C$7,3,FALSE)*'[1]Profiles, RES, Summer'!G$6</f>
        <v>7.2501003613006825</v>
      </c>
      <c r="H5" s="9">
        <f>VLOOKUP($A5,'RES installed'!$A$2:$C$7,3,FALSE)*'[1]Profiles, RES, Summer'!H$6</f>
        <v>7.1718185467683657</v>
      </c>
      <c r="I5" s="9">
        <f>VLOOKUP($A5,'RES installed'!$A$2:$C$7,3,FALSE)*'[1]Profiles, RES, Summer'!I$6</f>
        <v>5.2870333199518269</v>
      </c>
      <c r="J5" s="9">
        <f>VLOOKUP($A5,'RES installed'!$A$2:$C$7,3,FALSE)*'[1]Profiles, RES, Summer'!J$6</f>
        <v>3.3841830590124449</v>
      </c>
      <c r="K5" s="9">
        <f>VLOOKUP($A5,'RES installed'!$A$2:$C$7,3,FALSE)*'[1]Profiles, RES, Summer'!K$6</f>
        <v>2.4628663187474906</v>
      </c>
      <c r="L5" s="9">
        <f>VLOOKUP($A5,'RES installed'!$A$2:$C$7,3,FALSE)*'[1]Profiles, RES, Summer'!L$6</f>
        <v>1.8606985146527497</v>
      </c>
      <c r="M5" s="9">
        <f>VLOOKUP($A5,'RES installed'!$A$2:$C$7,3,FALSE)*'[1]Profiles, RES, Summer'!M$6</f>
        <v>1.746286631874749</v>
      </c>
      <c r="N5" s="9">
        <f>VLOOKUP($A5,'RES installed'!$A$2:$C$7,3,FALSE)*'[1]Profiles, RES, Summer'!N$6</f>
        <v>2.18586912886391</v>
      </c>
      <c r="O5" s="9">
        <f>VLOOKUP($A5,'RES installed'!$A$2:$C$7,3,FALSE)*'[1]Profiles, RES, Summer'!O$6</f>
        <v>2.8362103572862303</v>
      </c>
      <c r="P5" s="9">
        <f>VLOOKUP($A5,'RES installed'!$A$2:$C$7,3,FALSE)*'[1]Profiles, RES, Summer'!P$6</f>
        <v>4.0405459654757125</v>
      </c>
      <c r="Q5" s="9">
        <f>VLOOKUP($A5,'RES installed'!$A$2:$C$7,3,FALSE)*'[1]Profiles, RES, Summer'!Q$6</f>
        <v>5.1003613006824562</v>
      </c>
      <c r="R5" s="9">
        <f>VLOOKUP($A5,'RES installed'!$A$2:$C$7,3,FALSE)*'[1]Profiles, RES, Summer'!R$6</f>
        <v>6.1059815335206746</v>
      </c>
      <c r="S5" s="9">
        <f>VLOOKUP($A5,'RES installed'!$A$2:$C$7,3,FALSE)*'[1]Profiles, RES, Summer'!S$6</f>
        <v>6.5214773183460464</v>
      </c>
      <c r="T5" s="9">
        <f>VLOOKUP($A5,'RES installed'!$A$2:$C$7,3,FALSE)*'[1]Profiles, RES, Summer'!T$6</f>
        <v>6.2023283821758328</v>
      </c>
      <c r="U5" s="9">
        <f>VLOOKUP($A5,'RES installed'!$A$2:$C$7,3,FALSE)*'[1]Profiles, RES, Summer'!U$6</f>
        <v>6.015656362906463</v>
      </c>
      <c r="V5" s="9">
        <f>VLOOKUP($A5,'RES installed'!$A$2:$C$7,3,FALSE)*'[1]Profiles, RES, Summer'!V$6</f>
        <v>6.0337213970293053</v>
      </c>
      <c r="W5" s="9">
        <f>VLOOKUP($A5,'RES installed'!$A$2:$C$7,3,FALSE)*'[1]Profiles, RES, Summer'!W$6</f>
        <v>5.5459654757125652</v>
      </c>
      <c r="X5" s="9">
        <f>VLOOKUP($A5,'RES installed'!$A$2:$C$7,3,FALSE)*'[1]Profiles, RES, Summer'!X$6</f>
        <v>5.1425130469690892</v>
      </c>
      <c r="Y5" s="9">
        <f>VLOOKUP($A5,'RES installed'!$A$2:$C$7,3,FALSE)*'[1]Profiles, RES, Summer'!Y$6</f>
        <v>5.2328382175832999</v>
      </c>
    </row>
    <row r="6" spans="1:25" x14ac:dyDescent="0.3">
      <c r="A6" s="8">
        <v>5</v>
      </c>
      <c r="B6" s="9">
        <f>VLOOKUP($A6,'RES installed'!$A$2:$C$7,3,FALSE)*'[1]Profiles, RES, Summer'!B$6</f>
        <v>5.7005218787635492</v>
      </c>
      <c r="C6" s="9">
        <f>VLOOKUP($A6,'RES installed'!$A$2:$C$7,3,FALSE)*'[1]Profiles, RES, Summer'!C$6</f>
        <v>5.2950622240064229</v>
      </c>
      <c r="D6" s="9">
        <f>VLOOKUP($A6,'RES installed'!$A$2:$C$7,3,FALSE)*'[1]Profiles, RES, Summer'!D$6</f>
        <v>5.3833801686069851</v>
      </c>
      <c r="E6" s="9">
        <f>VLOOKUP($A6,'RES installed'!$A$2:$C$7,3,FALSE)*'[1]Profiles, RES, Summer'!E$6</f>
        <v>4.8655158570855077</v>
      </c>
      <c r="F6" s="9">
        <f>VLOOKUP($A6,'RES installed'!$A$2:$C$7,3,FALSE)*'[1]Profiles, RES, Summer'!F$6</f>
        <v>4.5523885989562425</v>
      </c>
      <c r="G6" s="9">
        <f>VLOOKUP($A6,'RES installed'!$A$2:$C$7,3,FALSE)*'[1]Profiles, RES, Summer'!G$6</f>
        <v>4.8334002408671219</v>
      </c>
      <c r="H6" s="9">
        <f>VLOOKUP($A6,'RES installed'!$A$2:$C$7,3,FALSE)*'[1]Profiles, RES, Summer'!H$6</f>
        <v>4.7812123645122444</v>
      </c>
      <c r="I6" s="9">
        <f>VLOOKUP($A6,'RES installed'!$A$2:$C$7,3,FALSE)*'[1]Profiles, RES, Summer'!I$6</f>
        <v>3.5246888799678846</v>
      </c>
      <c r="J6" s="9">
        <f>VLOOKUP($A6,'RES installed'!$A$2:$C$7,3,FALSE)*'[1]Profiles, RES, Summer'!J$6</f>
        <v>2.2561220393416299</v>
      </c>
      <c r="K6" s="9">
        <f>VLOOKUP($A6,'RES installed'!$A$2:$C$7,3,FALSE)*'[1]Profiles, RES, Summer'!K$6</f>
        <v>1.6419108791649939</v>
      </c>
      <c r="L6" s="9">
        <f>VLOOKUP($A6,'RES installed'!$A$2:$C$7,3,FALSE)*'[1]Profiles, RES, Summer'!L$6</f>
        <v>1.2404656764351665</v>
      </c>
      <c r="M6" s="9">
        <f>VLOOKUP($A6,'RES installed'!$A$2:$C$7,3,FALSE)*'[1]Profiles, RES, Summer'!M$6</f>
        <v>1.1641910879164994</v>
      </c>
      <c r="N6" s="9">
        <f>VLOOKUP($A6,'RES installed'!$A$2:$C$7,3,FALSE)*'[1]Profiles, RES, Summer'!N$6</f>
        <v>1.4572460859092735</v>
      </c>
      <c r="O6" s="9">
        <f>VLOOKUP($A6,'RES installed'!$A$2:$C$7,3,FALSE)*'[1]Profiles, RES, Summer'!O$6</f>
        <v>1.8908069048574869</v>
      </c>
      <c r="P6" s="9">
        <f>VLOOKUP($A6,'RES installed'!$A$2:$C$7,3,FALSE)*'[1]Profiles, RES, Summer'!P$6</f>
        <v>2.693697310317142</v>
      </c>
      <c r="Q6" s="9">
        <f>VLOOKUP($A6,'RES installed'!$A$2:$C$7,3,FALSE)*'[1]Profiles, RES, Summer'!Q$6</f>
        <v>3.4002408671216378</v>
      </c>
      <c r="R6" s="9">
        <f>VLOOKUP($A6,'RES installed'!$A$2:$C$7,3,FALSE)*'[1]Profiles, RES, Summer'!R$6</f>
        <v>4.0706543556804498</v>
      </c>
      <c r="S6" s="9">
        <f>VLOOKUP($A6,'RES installed'!$A$2:$C$7,3,FALSE)*'[1]Profiles, RES, Summer'!S$6</f>
        <v>4.3476515455640303</v>
      </c>
      <c r="T6" s="9">
        <f>VLOOKUP($A6,'RES installed'!$A$2:$C$7,3,FALSE)*'[1]Profiles, RES, Summer'!T$6</f>
        <v>4.1348855881172222</v>
      </c>
      <c r="U6" s="9">
        <f>VLOOKUP($A6,'RES installed'!$A$2:$C$7,3,FALSE)*'[1]Profiles, RES, Summer'!U$6</f>
        <v>4.0104375752709753</v>
      </c>
      <c r="V6" s="9">
        <f>VLOOKUP($A6,'RES installed'!$A$2:$C$7,3,FALSE)*'[1]Profiles, RES, Summer'!V$6</f>
        <v>4.0224809313528702</v>
      </c>
      <c r="W6" s="9">
        <f>VLOOKUP($A6,'RES installed'!$A$2:$C$7,3,FALSE)*'[1]Profiles, RES, Summer'!W$6</f>
        <v>3.6973103171417101</v>
      </c>
      <c r="X6" s="9">
        <f>VLOOKUP($A6,'RES installed'!$A$2:$C$7,3,FALSE)*'[1]Profiles, RES, Summer'!X$6</f>
        <v>3.428342031312726</v>
      </c>
      <c r="Y6" s="9">
        <f>VLOOKUP($A6,'RES installed'!$A$2:$C$7,3,FALSE)*'[1]Profiles, RES, Summer'!Y$6</f>
        <v>3.4885588117221999</v>
      </c>
    </row>
    <row r="7" spans="1:25" x14ac:dyDescent="0.3">
      <c r="A7" s="8">
        <v>6</v>
      </c>
      <c r="B7" s="9">
        <f>VLOOKUP($A7,'RES installed'!$A$2:$C$7,3,FALSE)*'[1]Profiles, RES, Summer'!B$6</f>
        <v>8.5507828181453238</v>
      </c>
      <c r="C7" s="9">
        <f>VLOOKUP($A7,'RES installed'!$A$2:$C$7,3,FALSE)*'[1]Profiles, RES, Summer'!C$6</f>
        <v>7.9425933360096339</v>
      </c>
      <c r="D7" s="9">
        <f>VLOOKUP($A7,'RES installed'!$A$2:$C$7,3,FALSE)*'[1]Profiles, RES, Summer'!D$6</f>
        <v>8.0750702529104768</v>
      </c>
      <c r="E7" s="9">
        <f>VLOOKUP($A7,'RES installed'!$A$2:$C$7,3,FALSE)*'[1]Profiles, RES, Summer'!E$6</f>
        <v>7.298273785628262</v>
      </c>
      <c r="F7" s="9">
        <f>VLOOKUP($A7,'RES installed'!$A$2:$C$7,3,FALSE)*'[1]Profiles, RES, Summer'!F$6</f>
        <v>6.8285828984343633</v>
      </c>
      <c r="G7" s="9">
        <f>VLOOKUP($A7,'RES installed'!$A$2:$C$7,3,FALSE)*'[1]Profiles, RES, Summer'!G$6</f>
        <v>7.2501003613006825</v>
      </c>
      <c r="H7" s="9">
        <f>VLOOKUP($A7,'RES installed'!$A$2:$C$7,3,FALSE)*'[1]Profiles, RES, Summer'!H$6</f>
        <v>7.1718185467683657</v>
      </c>
      <c r="I7" s="9">
        <f>VLOOKUP($A7,'RES installed'!$A$2:$C$7,3,FALSE)*'[1]Profiles, RES, Summer'!I$6</f>
        <v>5.2870333199518269</v>
      </c>
      <c r="J7" s="9">
        <f>VLOOKUP($A7,'RES installed'!$A$2:$C$7,3,FALSE)*'[1]Profiles, RES, Summer'!J$6</f>
        <v>3.3841830590124449</v>
      </c>
      <c r="K7" s="9">
        <f>VLOOKUP($A7,'RES installed'!$A$2:$C$7,3,FALSE)*'[1]Profiles, RES, Summer'!K$6</f>
        <v>2.4628663187474906</v>
      </c>
      <c r="L7" s="9">
        <f>VLOOKUP($A7,'RES installed'!$A$2:$C$7,3,FALSE)*'[1]Profiles, RES, Summer'!L$6</f>
        <v>1.8606985146527497</v>
      </c>
      <c r="M7" s="9">
        <f>VLOOKUP($A7,'RES installed'!$A$2:$C$7,3,FALSE)*'[1]Profiles, RES, Summer'!M$6</f>
        <v>1.746286631874749</v>
      </c>
      <c r="N7" s="9">
        <f>VLOOKUP($A7,'RES installed'!$A$2:$C$7,3,FALSE)*'[1]Profiles, RES, Summer'!N$6</f>
        <v>2.18586912886391</v>
      </c>
      <c r="O7" s="9">
        <f>VLOOKUP($A7,'RES installed'!$A$2:$C$7,3,FALSE)*'[1]Profiles, RES, Summer'!O$6</f>
        <v>2.8362103572862303</v>
      </c>
      <c r="P7" s="9">
        <f>VLOOKUP($A7,'RES installed'!$A$2:$C$7,3,FALSE)*'[1]Profiles, RES, Summer'!P$6</f>
        <v>4.0405459654757125</v>
      </c>
      <c r="Q7" s="9">
        <f>VLOOKUP($A7,'RES installed'!$A$2:$C$7,3,FALSE)*'[1]Profiles, RES, Summer'!Q$6</f>
        <v>5.1003613006824562</v>
      </c>
      <c r="R7" s="9">
        <f>VLOOKUP($A7,'RES installed'!$A$2:$C$7,3,FALSE)*'[1]Profiles, RES, Summer'!R$6</f>
        <v>6.1059815335206746</v>
      </c>
      <c r="S7" s="9">
        <f>VLOOKUP($A7,'RES installed'!$A$2:$C$7,3,FALSE)*'[1]Profiles, RES, Summer'!S$6</f>
        <v>6.5214773183460464</v>
      </c>
      <c r="T7" s="9">
        <f>VLOOKUP($A7,'RES installed'!$A$2:$C$7,3,FALSE)*'[1]Profiles, RES, Summer'!T$6</f>
        <v>6.2023283821758328</v>
      </c>
      <c r="U7" s="9">
        <f>VLOOKUP($A7,'RES installed'!$A$2:$C$7,3,FALSE)*'[1]Profiles, RES, Summer'!U$6</f>
        <v>6.015656362906463</v>
      </c>
      <c r="V7" s="9">
        <f>VLOOKUP($A7,'RES installed'!$A$2:$C$7,3,FALSE)*'[1]Profiles, RES, Summer'!V$6</f>
        <v>6.0337213970293053</v>
      </c>
      <c r="W7" s="9">
        <f>VLOOKUP($A7,'RES installed'!$A$2:$C$7,3,FALSE)*'[1]Profiles, RES, Summer'!W$6</f>
        <v>5.5459654757125652</v>
      </c>
      <c r="X7" s="9">
        <f>VLOOKUP($A7,'RES installed'!$A$2:$C$7,3,FALSE)*'[1]Profiles, RES, Summer'!X$6</f>
        <v>5.1425130469690892</v>
      </c>
      <c r="Y7" s="9">
        <f>VLOOKUP($A7,'RES installed'!$A$2:$C$7,3,FALSE)*'[1]Profiles, RES, Summer'!Y$6</f>
        <v>5.2328382175832999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5.6861258529188781E-2</v>
      </c>
      <c r="H8" s="6">
        <f>VLOOKUP($A8,'RES installed'!$A$2:$C$7,3,FALSE)*'[1]Profiles, RES, Summer'!H$3</f>
        <v>2.3995451099317662</v>
      </c>
      <c r="I8" s="6">
        <f>VLOOKUP($A8,'RES installed'!$A$2:$C$7,3,FALSE)*'[1]Profiles, RES, Summer'!I$3</f>
        <v>9.6550416982562552</v>
      </c>
      <c r="J8" s="6">
        <f>VLOOKUP($A8,'RES installed'!$A$2:$C$7,3,FALSE)*'[1]Profiles, RES, Summer'!J$3</f>
        <v>17.649734647460196</v>
      </c>
      <c r="K8" s="6">
        <f>VLOOKUP($A8,'RES installed'!$A$2:$C$7,3,FALSE)*'[1]Profiles, RES, Summer'!K$3</f>
        <v>23.21076573161486</v>
      </c>
      <c r="L8" s="6">
        <f>VLOOKUP($A8,'RES installed'!$A$2:$C$7,3,FALSE)*'[1]Profiles, RES, Summer'!L$3</f>
        <v>26.997725549658831</v>
      </c>
      <c r="M8" s="6">
        <f>VLOOKUP($A8,'RES installed'!$A$2:$C$7,3,FALSE)*'[1]Profiles, RES, Summer'!M$3</f>
        <v>28.396512509476878</v>
      </c>
      <c r="N8" s="6">
        <f>VLOOKUP($A8,'RES installed'!$A$2:$C$7,3,FALSE)*'[1]Profiles, RES, Summer'!N$3</f>
        <v>28.476118271417739</v>
      </c>
      <c r="O8" s="6">
        <f>VLOOKUP($A8,'RES installed'!$A$2:$C$7,3,FALSE)*'[1]Profiles, RES, Summer'!O$3</f>
        <v>27.873388931008339</v>
      </c>
      <c r="P8" s="6">
        <f>VLOOKUP($A8,'RES installed'!$A$2:$C$7,3,FALSE)*'[1]Profiles, RES, Summer'!P$3</f>
        <v>26.986353297952995</v>
      </c>
      <c r="Q8" s="6">
        <f>VLOOKUP($A8,'RES installed'!$A$2:$C$7,3,FALSE)*'[1]Profiles, RES, Summer'!Q$3</f>
        <v>24.075056861258528</v>
      </c>
      <c r="R8" s="6">
        <f>VLOOKUP($A8,'RES installed'!$A$2:$C$7,3,FALSE)*'[1]Profiles, RES, Summer'!R$3</f>
        <v>19.332827899924187</v>
      </c>
      <c r="S8" s="6">
        <f>VLOOKUP($A8,'RES installed'!$A$2:$C$7,3,FALSE)*'[1]Profiles, RES, Summer'!S$3</f>
        <v>12.122820318423049</v>
      </c>
      <c r="T8" s="6">
        <f>VLOOKUP($A8,'RES installed'!$A$2:$C$7,3,FALSE)*'[1]Profiles, RES, Summer'!T$3</f>
        <v>3.9461713419257012</v>
      </c>
      <c r="U8" s="6">
        <f>VLOOKUP($A8,'RES installed'!$A$2:$C$7,3,FALSE)*'[1]Profiles, RES, Summer'!U$3</f>
        <v>0.26156178923426837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1.8953752843062926E-2</v>
      </c>
      <c r="H9" s="6">
        <f>VLOOKUP($A9,'RES installed'!$A$2:$C$7,3,FALSE)*'[1]Profiles, RES, Summer'!H$3</f>
        <v>0.79984836997725539</v>
      </c>
      <c r="I9" s="6">
        <f>VLOOKUP($A9,'RES installed'!$A$2:$C$7,3,FALSE)*'[1]Profiles, RES, Summer'!I$3</f>
        <v>3.2183472327520852</v>
      </c>
      <c r="J9" s="6">
        <f>VLOOKUP($A9,'RES installed'!$A$2:$C$7,3,FALSE)*'[1]Profiles, RES, Summer'!J$3</f>
        <v>5.8832448824867321</v>
      </c>
      <c r="K9" s="6">
        <f>VLOOKUP($A9,'RES installed'!$A$2:$C$7,3,FALSE)*'[1]Profiles, RES, Summer'!K$3</f>
        <v>7.7369219105382872</v>
      </c>
      <c r="L9" s="6">
        <f>VLOOKUP($A9,'RES installed'!$A$2:$C$7,3,FALSE)*'[1]Profiles, RES, Summer'!L$3</f>
        <v>8.9992418498862765</v>
      </c>
      <c r="M9" s="6">
        <f>VLOOKUP($A9,'RES installed'!$A$2:$C$7,3,FALSE)*'[1]Profiles, RES, Summer'!M$3</f>
        <v>9.4655041698256266</v>
      </c>
      <c r="N9" s="6">
        <f>VLOOKUP($A9,'RES installed'!$A$2:$C$7,3,FALSE)*'[1]Profiles, RES, Summer'!N$3</f>
        <v>9.4920394238059131</v>
      </c>
      <c r="O9" s="6">
        <f>VLOOKUP($A9,'RES installed'!$A$2:$C$7,3,FALSE)*'[1]Profiles, RES, Summer'!O$3</f>
        <v>9.2911296436694464</v>
      </c>
      <c r="P9" s="6">
        <f>VLOOKUP($A9,'RES installed'!$A$2:$C$7,3,FALSE)*'[1]Profiles, RES, Summer'!P$3</f>
        <v>8.9954510993176644</v>
      </c>
      <c r="Q9" s="6">
        <f>VLOOKUP($A9,'RES installed'!$A$2:$C$7,3,FALSE)*'[1]Profiles, RES, Summer'!Q$3</f>
        <v>8.0250189537528431</v>
      </c>
      <c r="R9" s="6">
        <f>VLOOKUP($A9,'RES installed'!$A$2:$C$7,3,FALSE)*'[1]Profiles, RES, Summer'!R$3</f>
        <v>6.4442759666413956</v>
      </c>
      <c r="S9" s="6">
        <f>VLOOKUP($A9,'RES installed'!$A$2:$C$7,3,FALSE)*'[1]Profiles, RES, Summer'!S$3</f>
        <v>4.040940106141016</v>
      </c>
      <c r="T9" s="6">
        <f>VLOOKUP($A9,'RES installed'!$A$2:$C$7,3,FALSE)*'[1]Profiles, RES, Summer'!T$3</f>
        <v>1.3153904473085669</v>
      </c>
      <c r="U9" s="6">
        <f>VLOOKUP($A9,'RES installed'!$A$2:$C$7,3,FALSE)*'[1]Profiles, RES, Summer'!U$3</f>
        <v>8.7187263078089466E-2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3.7907505686125852E-2</v>
      </c>
      <c r="H10" s="6">
        <f>VLOOKUP($A10,'RES installed'!$A$2:$C$7,3,FALSE)*'[1]Profiles, RES, Summer'!H$3</f>
        <v>1.5996967399545108</v>
      </c>
      <c r="I10" s="6">
        <f>VLOOKUP($A10,'RES installed'!$A$2:$C$7,3,FALSE)*'[1]Profiles, RES, Summer'!I$3</f>
        <v>6.4366944655041705</v>
      </c>
      <c r="J10" s="6">
        <f>VLOOKUP($A10,'RES installed'!$A$2:$C$7,3,FALSE)*'[1]Profiles, RES, Summer'!J$3</f>
        <v>11.766489764973464</v>
      </c>
      <c r="K10" s="6">
        <f>VLOOKUP($A10,'RES installed'!$A$2:$C$7,3,FALSE)*'[1]Profiles, RES, Summer'!K$3</f>
        <v>15.473843821076574</v>
      </c>
      <c r="L10" s="6">
        <f>VLOOKUP($A10,'RES installed'!$A$2:$C$7,3,FALSE)*'[1]Profiles, RES, Summer'!L$3</f>
        <v>17.998483699772553</v>
      </c>
      <c r="M10" s="6">
        <f>VLOOKUP($A10,'RES installed'!$A$2:$C$7,3,FALSE)*'[1]Profiles, RES, Summer'!M$3</f>
        <v>18.931008339651253</v>
      </c>
      <c r="N10" s="6">
        <f>VLOOKUP($A10,'RES installed'!$A$2:$C$7,3,FALSE)*'[1]Profiles, RES, Summer'!N$3</f>
        <v>18.984078847611826</v>
      </c>
      <c r="O10" s="6">
        <f>VLOOKUP($A10,'RES installed'!$A$2:$C$7,3,FALSE)*'[1]Profiles, RES, Summer'!O$3</f>
        <v>18.582259287338893</v>
      </c>
      <c r="P10" s="6">
        <f>VLOOKUP($A10,'RES installed'!$A$2:$C$7,3,FALSE)*'[1]Profiles, RES, Summer'!P$3</f>
        <v>17.990902198635329</v>
      </c>
      <c r="Q10" s="6">
        <f>VLOOKUP($A10,'RES installed'!$A$2:$C$7,3,FALSE)*'[1]Profiles, RES, Summer'!Q$3</f>
        <v>16.050037907505686</v>
      </c>
      <c r="R10" s="6">
        <f>VLOOKUP($A10,'RES installed'!$A$2:$C$7,3,FALSE)*'[1]Profiles, RES, Summer'!R$3</f>
        <v>12.888551933282791</v>
      </c>
      <c r="S10" s="6">
        <f>VLOOKUP($A10,'RES installed'!$A$2:$C$7,3,FALSE)*'[1]Profiles, RES, Summer'!S$3</f>
        <v>8.0818802122820319</v>
      </c>
      <c r="T10" s="6">
        <f>VLOOKUP($A10,'RES installed'!$A$2:$C$7,3,FALSE)*'[1]Profiles, RES, Summer'!T$3</f>
        <v>2.6307808946171338</v>
      </c>
      <c r="U10" s="6">
        <f>VLOOKUP($A10,'RES installed'!$A$2:$C$7,3,FALSE)*'[1]Profiles, RES, Summer'!U$3</f>
        <v>0.17437452615617893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FA8B6-75B5-460C-B501-FE7E84FD18F4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8.93014853472501</v>
      </c>
      <c r="C5" s="9">
        <f>VLOOKUP($A5,'RES installed'!$A$2:$C$7,3,FALSE)*'[1]Profiles, RES, Summer'!C$7</f>
        <v>8.0329185066238455</v>
      </c>
      <c r="D5" s="9">
        <f>VLOOKUP($A5,'RES installed'!$A$2:$C$7,3,FALSE)*'[1]Profiles, RES, Summer'!D$7</f>
        <v>6.7081493376154153</v>
      </c>
      <c r="E5" s="9">
        <f>VLOOKUP($A5,'RES installed'!$A$2:$C$7,3,FALSE)*'[1]Profiles, RES, Summer'!E$7</f>
        <v>6.340826977117624</v>
      </c>
      <c r="F5" s="9">
        <f>VLOOKUP($A5,'RES installed'!$A$2:$C$7,3,FALSE)*'[1]Profiles, RES, Summer'!F$7</f>
        <v>6.2384584504215175</v>
      </c>
      <c r="G5" s="9">
        <f>VLOOKUP($A5,'RES installed'!$A$2:$C$7,3,FALSE)*'[1]Profiles, RES, Summer'!G$7</f>
        <v>6.9971898835808908</v>
      </c>
      <c r="H5" s="9">
        <f>VLOOKUP($A5,'RES installed'!$A$2:$C$7,3,FALSE)*'[1]Profiles, RES, Summer'!H$7</f>
        <v>7.713769570453632</v>
      </c>
      <c r="I5" s="9">
        <f>VLOOKUP($A5,'RES installed'!$A$2:$C$7,3,FALSE)*'[1]Profiles, RES, Summer'!I$7</f>
        <v>7.9787234042553195</v>
      </c>
      <c r="J5" s="9">
        <f>VLOOKUP($A5,'RES installed'!$A$2:$C$7,3,FALSE)*'[1]Profiles, RES, Summer'!J$7</f>
        <v>6.4853472501003608</v>
      </c>
      <c r="K5" s="9">
        <f>VLOOKUP($A5,'RES installed'!$A$2:$C$7,3,FALSE)*'[1]Profiles, RES, Summer'!K$7</f>
        <v>5.0461661983139301</v>
      </c>
      <c r="L5" s="9">
        <f>VLOOKUP($A5,'RES installed'!$A$2:$C$7,3,FALSE)*'[1]Profiles, RES, Summer'!L$7</f>
        <v>4.5403452428743476</v>
      </c>
      <c r="M5" s="9">
        <f>VLOOKUP($A5,'RES installed'!$A$2:$C$7,3,FALSE)*'[1]Profiles, RES, Summer'!M$7</f>
        <v>4.0525893215576065</v>
      </c>
      <c r="N5" s="9">
        <f>VLOOKUP($A5,'RES installed'!$A$2:$C$7,3,FALSE)*'[1]Profiles, RES, Summer'!N$7</f>
        <v>4.3898032918506624</v>
      </c>
      <c r="O5" s="9">
        <f>VLOOKUP($A5,'RES installed'!$A$2:$C$7,3,FALSE)*'[1]Profiles, RES, Summer'!O$7</f>
        <v>5.8410276997189881</v>
      </c>
      <c r="P5" s="9">
        <f>VLOOKUP($A5,'RES installed'!$A$2:$C$7,3,FALSE)*'[1]Profiles, RES, Summer'!P$7</f>
        <v>7.3464472099558407</v>
      </c>
      <c r="Q5" s="9">
        <f>VLOOKUP($A5,'RES installed'!$A$2:$C$7,3,FALSE)*'[1]Profiles, RES, Summer'!Q$7</f>
        <v>7.7077478924126854</v>
      </c>
      <c r="R5" s="9">
        <f>VLOOKUP($A5,'RES installed'!$A$2:$C$7,3,FALSE)*'[1]Profiles, RES, Summer'!R$7</f>
        <v>8.3219590525893228</v>
      </c>
      <c r="S5" s="9">
        <f>VLOOKUP($A5,'RES installed'!$A$2:$C$7,3,FALSE)*'[1]Profiles, RES, Summer'!S$7</f>
        <v>8.6591730228823778</v>
      </c>
      <c r="T5" s="9">
        <f>VLOOKUP($A5,'RES installed'!$A$2:$C$7,3,FALSE)*'[1]Profiles, RES, Summer'!T$7</f>
        <v>8.8759534323564839</v>
      </c>
      <c r="U5" s="9">
        <f>VLOOKUP($A5,'RES installed'!$A$2:$C$7,3,FALSE)*'[1]Profiles, RES, Summer'!U$7</f>
        <v>10.170614211160176</v>
      </c>
      <c r="V5" s="9">
        <f>VLOOKUP($A5,'RES installed'!$A$2:$C$7,3,FALSE)*'[1]Profiles, RES, Summer'!V$7</f>
        <v>11.44118827780008</v>
      </c>
      <c r="W5" s="9">
        <f>VLOOKUP($A5,'RES installed'!$A$2:$C$7,3,FALSE)*'[1]Profiles, RES, Summer'!W$7</f>
        <v>11.049779205138497</v>
      </c>
      <c r="X5" s="9">
        <f>VLOOKUP($A5,'RES installed'!$A$2:$C$7,3,FALSE)*'[1]Profiles, RES, Summer'!X$7</f>
        <v>10.4656764351666</v>
      </c>
      <c r="Y5" s="9">
        <f>VLOOKUP($A5,'RES installed'!$A$2:$C$7,3,FALSE)*'[1]Profiles, RES, Summer'!Y$7</f>
        <v>10.27900441589723</v>
      </c>
    </row>
    <row r="6" spans="1:25" x14ac:dyDescent="0.3">
      <c r="A6" s="8">
        <v>5</v>
      </c>
      <c r="B6" s="9">
        <f>VLOOKUP($A6,'RES installed'!$A$2:$C$7,3,FALSE)*'[1]Profiles, RES, Summer'!B$7</f>
        <v>5.95343235648334</v>
      </c>
      <c r="C6" s="9">
        <f>VLOOKUP($A6,'RES installed'!$A$2:$C$7,3,FALSE)*'[1]Profiles, RES, Summer'!C$7</f>
        <v>5.3552790044158973</v>
      </c>
      <c r="D6" s="9">
        <f>VLOOKUP($A6,'RES installed'!$A$2:$C$7,3,FALSE)*'[1]Profiles, RES, Summer'!D$7</f>
        <v>4.4720995584102772</v>
      </c>
      <c r="E6" s="9">
        <f>VLOOKUP($A6,'RES installed'!$A$2:$C$7,3,FALSE)*'[1]Profiles, RES, Summer'!E$7</f>
        <v>4.2272179847450824</v>
      </c>
      <c r="F6" s="9">
        <f>VLOOKUP($A6,'RES installed'!$A$2:$C$7,3,FALSE)*'[1]Profiles, RES, Summer'!F$7</f>
        <v>4.1589723002810111</v>
      </c>
      <c r="G6" s="9">
        <f>VLOOKUP($A6,'RES installed'!$A$2:$C$7,3,FALSE)*'[1]Profiles, RES, Summer'!G$7</f>
        <v>4.6647932557205944</v>
      </c>
      <c r="H6" s="9">
        <f>VLOOKUP($A6,'RES installed'!$A$2:$C$7,3,FALSE)*'[1]Profiles, RES, Summer'!H$7</f>
        <v>5.1425130469690883</v>
      </c>
      <c r="I6" s="9">
        <f>VLOOKUP($A6,'RES installed'!$A$2:$C$7,3,FALSE)*'[1]Profiles, RES, Summer'!I$7</f>
        <v>5.3191489361702127</v>
      </c>
      <c r="J6" s="9">
        <f>VLOOKUP($A6,'RES installed'!$A$2:$C$7,3,FALSE)*'[1]Profiles, RES, Summer'!J$7</f>
        <v>4.3235648334002406</v>
      </c>
      <c r="K6" s="9">
        <f>VLOOKUP($A6,'RES installed'!$A$2:$C$7,3,FALSE)*'[1]Profiles, RES, Summer'!K$7</f>
        <v>3.3641107988759531</v>
      </c>
      <c r="L6" s="9">
        <f>VLOOKUP($A6,'RES installed'!$A$2:$C$7,3,FALSE)*'[1]Profiles, RES, Summer'!L$7</f>
        <v>3.0268968285828985</v>
      </c>
      <c r="M6" s="9">
        <f>VLOOKUP($A6,'RES installed'!$A$2:$C$7,3,FALSE)*'[1]Profiles, RES, Summer'!M$7</f>
        <v>2.701726214371738</v>
      </c>
      <c r="N6" s="9">
        <f>VLOOKUP($A6,'RES installed'!$A$2:$C$7,3,FALSE)*'[1]Profiles, RES, Summer'!N$7</f>
        <v>2.9265355279004419</v>
      </c>
      <c r="O6" s="9">
        <f>VLOOKUP($A6,'RES installed'!$A$2:$C$7,3,FALSE)*'[1]Profiles, RES, Summer'!O$7</f>
        <v>3.8940184664793254</v>
      </c>
      <c r="P6" s="9">
        <f>VLOOKUP($A6,'RES installed'!$A$2:$C$7,3,FALSE)*'[1]Profiles, RES, Summer'!P$7</f>
        <v>4.8976314733038944</v>
      </c>
      <c r="Q6" s="9">
        <f>VLOOKUP($A6,'RES installed'!$A$2:$C$7,3,FALSE)*'[1]Profiles, RES, Summer'!Q$7</f>
        <v>5.1384985949417903</v>
      </c>
      <c r="R6" s="9">
        <f>VLOOKUP($A6,'RES installed'!$A$2:$C$7,3,FALSE)*'[1]Profiles, RES, Summer'!R$7</f>
        <v>5.5479727017262146</v>
      </c>
      <c r="S6" s="9">
        <f>VLOOKUP($A6,'RES installed'!$A$2:$C$7,3,FALSE)*'[1]Profiles, RES, Summer'!S$7</f>
        <v>5.7727820152549185</v>
      </c>
      <c r="T6" s="9">
        <f>VLOOKUP($A6,'RES installed'!$A$2:$C$7,3,FALSE)*'[1]Profiles, RES, Summer'!T$7</f>
        <v>5.9173022882376554</v>
      </c>
      <c r="U6" s="9">
        <f>VLOOKUP($A6,'RES installed'!$A$2:$C$7,3,FALSE)*'[1]Profiles, RES, Summer'!U$7</f>
        <v>6.7804094741067846</v>
      </c>
      <c r="V6" s="9">
        <f>VLOOKUP($A6,'RES installed'!$A$2:$C$7,3,FALSE)*'[1]Profiles, RES, Summer'!V$7</f>
        <v>7.6274588518667201</v>
      </c>
      <c r="W6" s="9">
        <f>VLOOKUP($A6,'RES installed'!$A$2:$C$7,3,FALSE)*'[1]Profiles, RES, Summer'!W$7</f>
        <v>7.3665194700923315</v>
      </c>
      <c r="X6" s="9">
        <f>VLOOKUP($A6,'RES installed'!$A$2:$C$7,3,FALSE)*'[1]Profiles, RES, Summer'!X$7</f>
        <v>6.9771176234443999</v>
      </c>
      <c r="Y6" s="9">
        <f>VLOOKUP($A6,'RES installed'!$A$2:$C$7,3,FALSE)*'[1]Profiles, RES, Summer'!Y$7</f>
        <v>6.852669610598153</v>
      </c>
    </row>
    <row r="7" spans="1:25" x14ac:dyDescent="0.3">
      <c r="A7" s="8">
        <v>6</v>
      </c>
      <c r="B7" s="9">
        <f>VLOOKUP($A7,'RES installed'!$A$2:$C$7,3,FALSE)*'[1]Profiles, RES, Summer'!B$7</f>
        <v>8.93014853472501</v>
      </c>
      <c r="C7" s="9">
        <f>VLOOKUP($A7,'RES installed'!$A$2:$C$7,3,FALSE)*'[1]Profiles, RES, Summer'!C$7</f>
        <v>8.0329185066238455</v>
      </c>
      <c r="D7" s="9">
        <f>VLOOKUP($A7,'RES installed'!$A$2:$C$7,3,FALSE)*'[1]Profiles, RES, Summer'!D$7</f>
        <v>6.7081493376154153</v>
      </c>
      <c r="E7" s="9">
        <f>VLOOKUP($A7,'RES installed'!$A$2:$C$7,3,FALSE)*'[1]Profiles, RES, Summer'!E$7</f>
        <v>6.340826977117624</v>
      </c>
      <c r="F7" s="9">
        <f>VLOOKUP($A7,'RES installed'!$A$2:$C$7,3,FALSE)*'[1]Profiles, RES, Summer'!F$7</f>
        <v>6.2384584504215175</v>
      </c>
      <c r="G7" s="9">
        <f>VLOOKUP($A7,'RES installed'!$A$2:$C$7,3,FALSE)*'[1]Profiles, RES, Summer'!G$7</f>
        <v>6.9971898835808908</v>
      </c>
      <c r="H7" s="9">
        <f>VLOOKUP($A7,'RES installed'!$A$2:$C$7,3,FALSE)*'[1]Profiles, RES, Summer'!H$7</f>
        <v>7.713769570453632</v>
      </c>
      <c r="I7" s="9">
        <f>VLOOKUP($A7,'RES installed'!$A$2:$C$7,3,FALSE)*'[1]Profiles, RES, Summer'!I$7</f>
        <v>7.9787234042553195</v>
      </c>
      <c r="J7" s="9">
        <f>VLOOKUP($A7,'RES installed'!$A$2:$C$7,3,FALSE)*'[1]Profiles, RES, Summer'!J$7</f>
        <v>6.4853472501003608</v>
      </c>
      <c r="K7" s="9">
        <f>VLOOKUP($A7,'RES installed'!$A$2:$C$7,3,FALSE)*'[1]Profiles, RES, Summer'!K$7</f>
        <v>5.0461661983139301</v>
      </c>
      <c r="L7" s="9">
        <f>VLOOKUP($A7,'RES installed'!$A$2:$C$7,3,FALSE)*'[1]Profiles, RES, Summer'!L$7</f>
        <v>4.5403452428743476</v>
      </c>
      <c r="M7" s="9">
        <f>VLOOKUP($A7,'RES installed'!$A$2:$C$7,3,FALSE)*'[1]Profiles, RES, Summer'!M$7</f>
        <v>4.0525893215576065</v>
      </c>
      <c r="N7" s="9">
        <f>VLOOKUP($A7,'RES installed'!$A$2:$C$7,3,FALSE)*'[1]Profiles, RES, Summer'!N$7</f>
        <v>4.3898032918506624</v>
      </c>
      <c r="O7" s="9">
        <f>VLOOKUP($A7,'RES installed'!$A$2:$C$7,3,FALSE)*'[1]Profiles, RES, Summer'!O$7</f>
        <v>5.8410276997189881</v>
      </c>
      <c r="P7" s="9">
        <f>VLOOKUP($A7,'RES installed'!$A$2:$C$7,3,FALSE)*'[1]Profiles, RES, Summer'!P$7</f>
        <v>7.3464472099558407</v>
      </c>
      <c r="Q7" s="9">
        <f>VLOOKUP($A7,'RES installed'!$A$2:$C$7,3,FALSE)*'[1]Profiles, RES, Summer'!Q$7</f>
        <v>7.7077478924126854</v>
      </c>
      <c r="R7" s="9">
        <f>VLOOKUP($A7,'RES installed'!$A$2:$C$7,3,FALSE)*'[1]Profiles, RES, Summer'!R$7</f>
        <v>8.3219590525893228</v>
      </c>
      <c r="S7" s="9">
        <f>VLOOKUP($A7,'RES installed'!$A$2:$C$7,3,FALSE)*'[1]Profiles, RES, Summer'!S$7</f>
        <v>8.6591730228823778</v>
      </c>
      <c r="T7" s="9">
        <f>VLOOKUP($A7,'RES installed'!$A$2:$C$7,3,FALSE)*'[1]Profiles, RES, Summer'!T$7</f>
        <v>8.8759534323564839</v>
      </c>
      <c r="U7" s="9">
        <f>VLOOKUP($A7,'RES installed'!$A$2:$C$7,3,FALSE)*'[1]Profiles, RES, Summer'!U$7</f>
        <v>10.170614211160176</v>
      </c>
      <c r="V7" s="9">
        <f>VLOOKUP($A7,'RES installed'!$A$2:$C$7,3,FALSE)*'[1]Profiles, RES, Summer'!V$7</f>
        <v>11.44118827780008</v>
      </c>
      <c r="W7" s="9">
        <f>VLOOKUP($A7,'RES installed'!$A$2:$C$7,3,FALSE)*'[1]Profiles, RES, Summer'!W$7</f>
        <v>11.049779205138497</v>
      </c>
      <c r="X7" s="9">
        <f>VLOOKUP($A7,'RES installed'!$A$2:$C$7,3,FALSE)*'[1]Profiles, RES, Summer'!X$7</f>
        <v>10.4656764351666</v>
      </c>
      <c r="Y7" s="9">
        <f>VLOOKUP($A7,'RES installed'!$A$2:$C$7,3,FALSE)*'[1]Profiles, RES, Summer'!Y$7</f>
        <v>10.27900441589723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1.1372251705837756E-2</v>
      </c>
      <c r="H8" s="6">
        <f>VLOOKUP($A8,'RES installed'!$A$2:$C$7,3,FALSE)*'[1]Profiles, RES, Summer'!H$4</f>
        <v>1.398786959818044</v>
      </c>
      <c r="I8" s="6">
        <f>VLOOKUP($A8,'RES installed'!$A$2:$C$7,3,FALSE)*'[1]Profiles, RES, Summer'!I$4</f>
        <v>6.618650492797574</v>
      </c>
      <c r="J8" s="6">
        <f>VLOOKUP($A8,'RES installed'!$A$2:$C$7,3,FALSE)*'[1]Profiles, RES, Summer'!J$4</f>
        <v>14.408642911296438</v>
      </c>
      <c r="K8" s="6">
        <f>VLOOKUP($A8,'RES installed'!$A$2:$C$7,3,FALSE)*'[1]Profiles, RES, Summer'!K$4</f>
        <v>22.244124336618651</v>
      </c>
      <c r="L8" s="6">
        <f>VLOOKUP($A8,'RES installed'!$A$2:$C$7,3,FALSE)*'[1]Profiles, RES, Summer'!L$4</f>
        <v>27.304776345716451</v>
      </c>
      <c r="M8" s="6">
        <f>VLOOKUP($A8,'RES installed'!$A$2:$C$7,3,FALSE)*'[1]Profiles, RES, Summer'!M$4</f>
        <v>29.203942380591357</v>
      </c>
      <c r="N8" s="6">
        <f>VLOOKUP($A8,'RES installed'!$A$2:$C$7,3,FALSE)*'[1]Profiles, RES, Summer'!N$4</f>
        <v>30</v>
      </c>
      <c r="O8" s="6">
        <f>VLOOKUP($A8,'RES installed'!$A$2:$C$7,3,FALSE)*'[1]Profiles, RES, Summer'!O$4</f>
        <v>29.476876421531461</v>
      </c>
      <c r="P8" s="6">
        <f>VLOOKUP($A8,'RES installed'!$A$2:$C$7,3,FALSE)*'[1]Profiles, RES, Summer'!P$4</f>
        <v>27.987111448066717</v>
      </c>
      <c r="Q8" s="6">
        <f>VLOOKUP($A8,'RES installed'!$A$2:$C$7,3,FALSE)*'[1]Profiles, RES, Summer'!Q$4</f>
        <v>24.768764215314633</v>
      </c>
      <c r="R8" s="6">
        <f>VLOOKUP($A8,'RES installed'!$A$2:$C$7,3,FALSE)*'[1]Profiles, RES, Summer'!R$4</f>
        <v>19.457922668688401</v>
      </c>
      <c r="S8" s="6">
        <f>VLOOKUP($A8,'RES installed'!$A$2:$C$7,3,FALSE)*'[1]Profiles, RES, Summer'!S$4</f>
        <v>11.576952236542835</v>
      </c>
      <c r="T8" s="6">
        <f>VLOOKUP($A8,'RES installed'!$A$2:$C$7,3,FALSE)*'[1]Profiles, RES, Summer'!T$4</f>
        <v>3.5367702805155421</v>
      </c>
      <c r="U8" s="6">
        <f>VLOOKUP($A8,'RES installed'!$A$2:$C$7,3,FALSE)*'[1]Profiles, RES, Summer'!U$4</f>
        <v>0.1592115238817286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3.7907505686125853E-3</v>
      </c>
      <c r="H9" s="6">
        <f>VLOOKUP($A9,'RES installed'!$A$2:$C$7,3,FALSE)*'[1]Profiles, RES, Summer'!H$4</f>
        <v>0.46626231993934797</v>
      </c>
      <c r="I9" s="6">
        <f>VLOOKUP($A9,'RES installed'!$A$2:$C$7,3,FALSE)*'[1]Profiles, RES, Summer'!I$4</f>
        <v>2.206216830932525</v>
      </c>
      <c r="J9" s="6">
        <f>VLOOKUP($A9,'RES installed'!$A$2:$C$7,3,FALSE)*'[1]Profiles, RES, Summer'!J$4</f>
        <v>4.8028809704321453</v>
      </c>
      <c r="K9" s="6">
        <f>VLOOKUP($A9,'RES installed'!$A$2:$C$7,3,FALSE)*'[1]Profiles, RES, Summer'!K$4</f>
        <v>7.4147081122062168</v>
      </c>
      <c r="L9" s="6">
        <f>VLOOKUP($A9,'RES installed'!$A$2:$C$7,3,FALSE)*'[1]Profiles, RES, Summer'!L$4</f>
        <v>9.1015921152388159</v>
      </c>
      <c r="M9" s="6">
        <f>VLOOKUP($A9,'RES installed'!$A$2:$C$7,3,FALSE)*'[1]Profiles, RES, Summer'!M$4</f>
        <v>9.7346474601971185</v>
      </c>
      <c r="N9" s="6">
        <f>VLOOKUP($A9,'RES installed'!$A$2:$C$7,3,FALSE)*'[1]Profiles, RES, Summer'!N$4</f>
        <v>10</v>
      </c>
      <c r="O9" s="6">
        <f>VLOOKUP($A9,'RES installed'!$A$2:$C$7,3,FALSE)*'[1]Profiles, RES, Summer'!O$4</f>
        <v>9.8256254738438216</v>
      </c>
      <c r="P9" s="6">
        <f>VLOOKUP($A9,'RES installed'!$A$2:$C$7,3,FALSE)*'[1]Profiles, RES, Summer'!P$4</f>
        <v>9.3290371493555728</v>
      </c>
      <c r="Q9" s="6">
        <f>VLOOKUP($A9,'RES installed'!$A$2:$C$7,3,FALSE)*'[1]Profiles, RES, Summer'!Q$4</f>
        <v>8.2562547384382121</v>
      </c>
      <c r="R9" s="6">
        <f>VLOOKUP($A9,'RES installed'!$A$2:$C$7,3,FALSE)*'[1]Profiles, RES, Summer'!R$4</f>
        <v>6.4859742228961341</v>
      </c>
      <c r="S9" s="6">
        <f>VLOOKUP($A9,'RES installed'!$A$2:$C$7,3,FALSE)*'[1]Profiles, RES, Summer'!S$4</f>
        <v>3.858984078847612</v>
      </c>
      <c r="T9" s="6">
        <f>VLOOKUP($A9,'RES installed'!$A$2:$C$7,3,FALSE)*'[1]Profiles, RES, Summer'!T$4</f>
        <v>1.178923426838514</v>
      </c>
      <c r="U9" s="6">
        <f>VLOOKUP($A9,'RES installed'!$A$2:$C$7,3,FALSE)*'[1]Profiles, RES, Summer'!U$4</f>
        <v>5.3070507960576198E-2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7.5815011372251705E-3</v>
      </c>
      <c r="H10" s="6">
        <f>VLOOKUP($A10,'RES installed'!$A$2:$C$7,3,FALSE)*'[1]Profiles, RES, Summer'!H$4</f>
        <v>0.93252463987869594</v>
      </c>
      <c r="I10" s="6">
        <f>VLOOKUP($A10,'RES installed'!$A$2:$C$7,3,FALSE)*'[1]Profiles, RES, Summer'!I$4</f>
        <v>4.4124336618650499</v>
      </c>
      <c r="J10" s="6">
        <f>VLOOKUP($A10,'RES installed'!$A$2:$C$7,3,FALSE)*'[1]Profiles, RES, Summer'!J$4</f>
        <v>9.6057619408642907</v>
      </c>
      <c r="K10" s="6">
        <f>VLOOKUP($A10,'RES installed'!$A$2:$C$7,3,FALSE)*'[1]Profiles, RES, Summer'!K$4</f>
        <v>14.829416224412434</v>
      </c>
      <c r="L10" s="6">
        <f>VLOOKUP($A10,'RES installed'!$A$2:$C$7,3,FALSE)*'[1]Profiles, RES, Summer'!L$4</f>
        <v>18.203184230477632</v>
      </c>
      <c r="M10" s="6">
        <f>VLOOKUP($A10,'RES installed'!$A$2:$C$7,3,FALSE)*'[1]Profiles, RES, Summer'!M$4</f>
        <v>19.469294920394237</v>
      </c>
      <c r="N10" s="6">
        <f>VLOOKUP($A10,'RES installed'!$A$2:$C$7,3,FALSE)*'[1]Profiles, RES, Summer'!N$4</f>
        <v>20</v>
      </c>
      <c r="O10" s="6">
        <f>VLOOKUP($A10,'RES installed'!$A$2:$C$7,3,FALSE)*'[1]Profiles, RES, Summer'!O$4</f>
        <v>19.651250947687643</v>
      </c>
      <c r="P10" s="6">
        <f>VLOOKUP($A10,'RES installed'!$A$2:$C$7,3,FALSE)*'[1]Profiles, RES, Summer'!P$4</f>
        <v>18.658074298711146</v>
      </c>
      <c r="Q10" s="6">
        <f>VLOOKUP($A10,'RES installed'!$A$2:$C$7,3,FALSE)*'[1]Profiles, RES, Summer'!Q$4</f>
        <v>16.512509476876424</v>
      </c>
      <c r="R10" s="6">
        <f>VLOOKUP($A10,'RES installed'!$A$2:$C$7,3,FALSE)*'[1]Profiles, RES, Summer'!R$4</f>
        <v>12.971948445792268</v>
      </c>
      <c r="S10" s="6">
        <f>VLOOKUP($A10,'RES installed'!$A$2:$C$7,3,FALSE)*'[1]Profiles, RES, Summer'!S$4</f>
        <v>7.7179681576952239</v>
      </c>
      <c r="T10" s="6">
        <f>VLOOKUP($A10,'RES installed'!$A$2:$C$7,3,FALSE)*'[1]Profiles, RES, Summer'!T$4</f>
        <v>2.3578468536770281</v>
      </c>
      <c r="U10" s="6">
        <f>VLOOKUP($A10,'RES installed'!$A$2:$C$7,3,FALSE)*'[1]Profiles, RES, Summer'!U$4</f>
        <v>0.1061410159211524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F412E-03FF-4CAB-85E1-C58A8E86AF6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64C76-9EDF-4252-BA3B-EDA21B947A80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EE3FA-BE46-4CB7-AE43-AF4A1A10FF9F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588C4-FEB5-4FAF-AB77-B6253D8060E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6E660-9D0F-4249-B1FF-B682310B935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111CC-BA89-4319-A364-266BB9C3D1D8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171DE-90DC-45C2-9AB6-C7985623333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2334F-2329-484F-A3BB-F1C62E3D76A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4EBA2-B0AD-4F22-9BB6-F0186F579EA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10"/>
  <sheetViews>
    <sheetView workbookViewId="0">
      <selection activeCell="P2" sqref="P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86DA5-92A0-4EFF-BFF4-80CC021F38B7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34.83630585565713</v>
      </c>
      <c r="C2" s="2">
        <f>('[1]Pc, Summer, S1'!C2*Main!$B$5)+(_xlfn.IFNA(VLOOKUP($A2,'FL Ratio'!$A$3:$B$10,2,FALSE),0)*'FL Characterization'!C$2)</f>
        <v>31.650342819843548</v>
      </c>
      <c r="D2" s="2">
        <f>('[1]Pc, Summer, S1'!D2*Main!$B$5)+(_xlfn.IFNA(VLOOKUP($A2,'FL Ratio'!$A$3:$B$10,2,FALSE),0)*'FL Characterization'!D$2)</f>
        <v>31.097493589892466</v>
      </c>
      <c r="E2" s="2">
        <f>('[1]Pc, Summer, S1'!E2*Main!$B$5)+(_xlfn.IFNA(VLOOKUP($A2,'FL Ratio'!$A$3:$B$10,2,FALSE),0)*'FL Characterization'!E$2)</f>
        <v>31.018053050770316</v>
      </c>
      <c r="F2" s="2">
        <f>('[1]Pc, Summer, S1'!F2*Main!$B$5)+(_xlfn.IFNA(VLOOKUP($A2,'FL Ratio'!$A$3:$B$10,2,FALSE),0)*'FL Characterization'!F$2)</f>
        <v>31.020498517496343</v>
      </c>
      <c r="G2" s="2">
        <f>('[1]Pc, Summer, S1'!G2*Main!$B$5)+(_xlfn.IFNA(VLOOKUP($A2,'FL Ratio'!$A$3:$B$10,2,FALSE),0)*'FL Characterization'!G$2)</f>
        <v>30.746162292600836</v>
      </c>
      <c r="H2" s="2">
        <f>('[1]Pc, Summer, S1'!H2*Main!$B$5)+(_xlfn.IFNA(VLOOKUP($A2,'FL Ratio'!$A$3:$B$10,2,FALSE),0)*'FL Characterization'!H$2)</f>
        <v>33.193226808756371</v>
      </c>
      <c r="I2" s="2">
        <f>('[1]Pc, Summer, S1'!I2*Main!$B$5)+(_xlfn.IFNA(VLOOKUP($A2,'FL Ratio'!$A$3:$B$10,2,FALSE),0)*'FL Characterization'!I$2)</f>
        <v>39.408469590285883</v>
      </c>
      <c r="J2" s="2">
        <f>('[1]Pc, Summer, S1'!J2*Main!$B$5)+(_xlfn.IFNA(VLOOKUP($A2,'FL Ratio'!$A$3:$B$10,2,FALSE),0)*'FL Characterization'!J$2)</f>
        <v>44.914449660761804</v>
      </c>
      <c r="K2" s="2">
        <f>('[1]Pc, Summer, S1'!K2*Main!$B$5)+(_xlfn.IFNA(VLOOKUP($A2,'FL Ratio'!$A$3:$B$10,2,FALSE),0)*'FL Characterization'!K$2)</f>
        <v>46.294583082290451</v>
      </c>
      <c r="L2" s="2">
        <f>('[1]Pc, Summer, S1'!L2*Main!$B$5)+(_xlfn.IFNA(VLOOKUP($A2,'FL Ratio'!$A$3:$B$10,2,FALSE),0)*'FL Characterization'!L$2)</f>
        <v>45.826094251986547</v>
      </c>
      <c r="M2" s="2">
        <f>('[1]Pc, Summer, S1'!M2*Main!$B$5)+(_xlfn.IFNA(VLOOKUP($A2,'FL Ratio'!$A$3:$B$10,2,FALSE),0)*'FL Characterization'!M$2)</f>
        <v>47.121992398408707</v>
      </c>
      <c r="N2" s="2">
        <f>('[1]Pc, Summer, S1'!N2*Main!$B$5)+(_xlfn.IFNA(VLOOKUP($A2,'FL Ratio'!$A$3:$B$10,2,FALSE),0)*'FL Characterization'!N$2)</f>
        <v>47.768406777045008</v>
      </c>
      <c r="O2" s="2">
        <f>('[1]Pc, Summer, S1'!O2*Main!$B$5)+(_xlfn.IFNA(VLOOKUP($A2,'FL Ratio'!$A$3:$B$10,2,FALSE),0)*'FL Characterization'!O$2)</f>
        <v>46.884780742554817</v>
      </c>
      <c r="P2" s="2">
        <f>('[1]Pc, Summer, S1'!P2*Main!$B$5)+(_xlfn.IFNA(VLOOKUP($A2,'FL Ratio'!$A$3:$B$10,2,FALSE),0)*'FL Characterization'!P$2)</f>
        <v>45.052748149238518</v>
      </c>
      <c r="Q2" s="2">
        <f>('[1]Pc, Summer, S1'!Q2*Main!$B$5)+(_xlfn.IFNA(VLOOKUP($A2,'FL Ratio'!$A$3:$B$10,2,FALSE),0)*'FL Characterization'!Q$2)</f>
        <v>43.239452761766202</v>
      </c>
      <c r="R2" s="2">
        <f>('[1]Pc, Summer, S1'!R2*Main!$B$5)+(_xlfn.IFNA(VLOOKUP($A2,'FL Ratio'!$A$3:$B$10,2,FALSE),0)*'FL Characterization'!R$2)</f>
        <v>43.993839502141213</v>
      </c>
      <c r="S2" s="2">
        <f>('[1]Pc, Summer, S1'!S2*Main!$B$5)+(_xlfn.IFNA(VLOOKUP($A2,'FL Ratio'!$A$3:$B$10,2,FALSE),0)*'FL Characterization'!S$2)</f>
        <v>44.428487646665509</v>
      </c>
      <c r="T2" s="2">
        <f>('[1]Pc, Summer, S1'!T2*Main!$B$5)+(_xlfn.IFNA(VLOOKUP($A2,'FL Ratio'!$A$3:$B$10,2,FALSE),0)*'FL Characterization'!T$2)</f>
        <v>44.617070072390234</v>
      </c>
      <c r="U2" s="2">
        <f>('[1]Pc, Summer, S1'!U2*Main!$B$5)+(_xlfn.IFNA(VLOOKUP($A2,'FL Ratio'!$A$3:$B$10,2,FALSE),0)*'FL Characterization'!U$2)</f>
        <v>43.878452442554618</v>
      </c>
      <c r="V2" s="2">
        <f>('[1]Pc, Summer, S1'!V2*Main!$B$5)+(_xlfn.IFNA(VLOOKUP($A2,'FL Ratio'!$A$3:$B$10,2,FALSE),0)*'FL Characterization'!V$2)</f>
        <v>44.01028786337492</v>
      </c>
      <c r="W2" s="2">
        <f>('[1]Pc, Summer, S1'!W2*Main!$B$5)+(_xlfn.IFNA(VLOOKUP($A2,'FL Ratio'!$A$3:$B$10,2,FALSE),0)*'FL Characterization'!W$2)</f>
        <v>45.833104640213968</v>
      </c>
      <c r="X2" s="2">
        <f>('[1]Pc, Summer, S1'!X2*Main!$B$5)+(_xlfn.IFNA(VLOOKUP($A2,'FL Ratio'!$A$3:$B$10,2,FALSE),0)*'FL Characterization'!X$2)</f>
        <v>42.722001035891267</v>
      </c>
      <c r="Y2" s="2">
        <f>('[1]Pc, Summer, S1'!Y2*Main!$B$5)+(_xlfn.IFNA(VLOOKUP($A2,'FL Ratio'!$A$3:$B$10,2,FALSE),0)*'FL Characterization'!Y$2)</f>
        <v>39.163020135955954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37.222379732808825</v>
      </c>
      <c r="C3" s="2">
        <f>('[1]Pc, Summer, S1'!C3*Main!$B$5)+(_xlfn.IFNA(VLOOKUP($A3,'FL Ratio'!$A$3:$B$10,2,FALSE),0)*'FL Characterization'!C$2)</f>
        <v>34.125529800763829</v>
      </c>
      <c r="D3" s="2">
        <f>('[1]Pc, Summer, S1'!D3*Main!$B$5)+(_xlfn.IFNA(VLOOKUP($A3,'FL Ratio'!$A$3:$B$10,2,FALSE),0)*'FL Characterization'!D$2)</f>
        <v>32.34598431475689</v>
      </c>
      <c r="E3" s="2">
        <f>('[1]Pc, Summer, S1'!E3*Main!$B$5)+(_xlfn.IFNA(VLOOKUP($A3,'FL Ratio'!$A$3:$B$10,2,FALSE),0)*'FL Characterization'!E$2)</f>
        <v>31.16537454543932</v>
      </c>
      <c r="F3" s="2">
        <f>('[1]Pc, Summer, S1'!F3*Main!$B$5)+(_xlfn.IFNA(VLOOKUP($A3,'FL Ratio'!$A$3:$B$10,2,FALSE),0)*'FL Characterization'!F$2)</f>
        <v>30.864163508282161</v>
      </c>
      <c r="G3" s="2">
        <f>('[1]Pc, Summer, S1'!G3*Main!$B$5)+(_xlfn.IFNA(VLOOKUP($A3,'FL Ratio'!$A$3:$B$10,2,FALSE),0)*'FL Characterization'!G$2)</f>
        <v>32.788080771564964</v>
      </c>
      <c r="H3" s="2">
        <f>('[1]Pc, Summer, S1'!H3*Main!$B$5)+(_xlfn.IFNA(VLOOKUP($A3,'FL Ratio'!$A$3:$B$10,2,FALSE),0)*'FL Characterization'!H$2)</f>
        <v>41.047661987038062</v>
      </c>
      <c r="I3" s="2">
        <f>('[1]Pc, Summer, S1'!I3*Main!$B$5)+(_xlfn.IFNA(VLOOKUP($A3,'FL Ratio'!$A$3:$B$10,2,FALSE),0)*'FL Characterization'!I$2)</f>
        <v>49.013820776681428</v>
      </c>
      <c r="J3" s="2">
        <f>('[1]Pc, Summer, S1'!J3*Main!$B$5)+(_xlfn.IFNA(VLOOKUP($A3,'FL Ratio'!$A$3:$B$10,2,FALSE),0)*'FL Characterization'!J$2)</f>
        <v>51.114632495101077</v>
      </c>
      <c r="K3" s="2">
        <f>('[1]Pc, Summer, S1'!K3*Main!$B$5)+(_xlfn.IFNA(VLOOKUP($A3,'FL Ratio'!$A$3:$B$10,2,FALSE),0)*'FL Characterization'!K$2)</f>
        <v>50.148496421406264</v>
      </c>
      <c r="L3" s="2">
        <f>('[1]Pc, Summer, S1'!L3*Main!$B$5)+(_xlfn.IFNA(VLOOKUP($A3,'FL Ratio'!$A$3:$B$10,2,FALSE),0)*'FL Characterization'!L$2)</f>
        <v>49.995097373392461</v>
      </c>
      <c r="M3" s="2">
        <f>('[1]Pc, Summer, S1'!M3*Main!$B$5)+(_xlfn.IFNA(VLOOKUP($A3,'FL Ratio'!$A$3:$B$10,2,FALSE),0)*'FL Characterization'!M$2)</f>
        <v>53.308255465270776</v>
      </c>
      <c r="N3" s="2">
        <f>('[1]Pc, Summer, S1'!N3*Main!$B$5)+(_xlfn.IFNA(VLOOKUP($A3,'FL Ratio'!$A$3:$B$10,2,FALSE),0)*'FL Characterization'!N$2)</f>
        <v>53.446027043354462</v>
      </c>
      <c r="O3" s="2">
        <f>('[1]Pc, Summer, S1'!O3*Main!$B$5)+(_xlfn.IFNA(VLOOKUP($A3,'FL Ratio'!$A$3:$B$10,2,FALSE),0)*'FL Characterization'!O$2)</f>
        <v>53.757752634170089</v>
      </c>
      <c r="P3" s="2">
        <f>('[1]Pc, Summer, S1'!P3*Main!$B$5)+(_xlfn.IFNA(VLOOKUP($A3,'FL Ratio'!$A$3:$B$10,2,FALSE),0)*'FL Characterization'!P$2)</f>
        <v>51.140240500233077</v>
      </c>
      <c r="Q3" s="2">
        <f>('[1]Pc, Summer, S1'!Q3*Main!$B$5)+(_xlfn.IFNA(VLOOKUP($A3,'FL Ratio'!$A$3:$B$10,2,FALSE),0)*'FL Characterization'!Q$2)</f>
        <v>48.441379854501257</v>
      </c>
      <c r="R3" s="2">
        <f>('[1]Pc, Summer, S1'!R3*Main!$B$5)+(_xlfn.IFNA(VLOOKUP($A3,'FL Ratio'!$A$3:$B$10,2,FALSE),0)*'FL Characterization'!R$2)</f>
        <v>44.860569603198719</v>
      </c>
      <c r="S3" s="2">
        <f>('[1]Pc, Summer, S1'!S3*Main!$B$5)+(_xlfn.IFNA(VLOOKUP($A3,'FL Ratio'!$A$3:$B$10,2,FALSE),0)*'FL Characterization'!S$2)</f>
        <v>45.2766676016535</v>
      </c>
      <c r="T3" s="2">
        <f>('[1]Pc, Summer, S1'!T3*Main!$B$5)+(_xlfn.IFNA(VLOOKUP($A3,'FL Ratio'!$A$3:$B$10,2,FALSE),0)*'FL Characterization'!T$2)</f>
        <v>44.938964878269907</v>
      </c>
      <c r="U3" s="2">
        <f>('[1]Pc, Summer, S1'!U3*Main!$B$5)+(_xlfn.IFNA(VLOOKUP($A3,'FL Ratio'!$A$3:$B$10,2,FALSE),0)*'FL Characterization'!U$2)</f>
        <v>44.796554526513361</v>
      </c>
      <c r="V3" s="2">
        <f>('[1]Pc, Summer, S1'!V3*Main!$B$5)+(_xlfn.IFNA(VLOOKUP($A3,'FL Ratio'!$A$3:$B$10,2,FALSE),0)*'FL Characterization'!V$2)</f>
        <v>44.97143629397987</v>
      </c>
      <c r="W3" s="2">
        <f>('[1]Pc, Summer, S1'!W3*Main!$B$5)+(_xlfn.IFNA(VLOOKUP($A3,'FL Ratio'!$A$3:$B$10,2,FALSE),0)*'FL Characterization'!W$2)</f>
        <v>44.775834670774628</v>
      </c>
      <c r="X3" s="2">
        <f>('[1]Pc, Summer, S1'!X3*Main!$B$5)+(_xlfn.IFNA(VLOOKUP($A3,'FL Ratio'!$A$3:$B$10,2,FALSE),0)*'FL Characterization'!X$2)</f>
        <v>44.306119057127532</v>
      </c>
      <c r="Y3" s="2">
        <f>('[1]Pc, Summer, S1'!Y3*Main!$B$5)+(_xlfn.IFNA(VLOOKUP($A3,'FL Ratio'!$A$3:$B$10,2,FALSE),0)*'FL Characterization'!Y$2)</f>
        <v>41.845194152706384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49.526525332022558</v>
      </c>
      <c r="C4" s="2">
        <f>('[1]Pc, Summer, S1'!C4*Main!$B$5)+(_xlfn.IFNA(VLOOKUP($A4,'FL Ratio'!$A$3:$B$10,2,FALSE),0)*'FL Characterization'!C$2)</f>
        <v>43.889195681300777</v>
      </c>
      <c r="D4" s="2">
        <f>('[1]Pc, Summer, S1'!D4*Main!$B$5)+(_xlfn.IFNA(VLOOKUP($A4,'FL Ratio'!$A$3:$B$10,2,FALSE),0)*'FL Characterization'!D$2)</f>
        <v>41.403419518075125</v>
      </c>
      <c r="E4" s="2">
        <f>('[1]Pc, Summer, S1'!E4*Main!$B$5)+(_xlfn.IFNA(VLOOKUP($A4,'FL Ratio'!$A$3:$B$10,2,FALSE),0)*'FL Characterization'!E$2)</f>
        <v>40.05434395030025</v>
      </c>
      <c r="F4" s="2">
        <f>('[1]Pc, Summer, S1'!F4*Main!$B$5)+(_xlfn.IFNA(VLOOKUP($A4,'FL Ratio'!$A$3:$B$10,2,FALSE),0)*'FL Characterization'!F$2)</f>
        <v>42.05997485987529</v>
      </c>
      <c r="G4" s="2">
        <f>('[1]Pc, Summer, S1'!G4*Main!$B$5)+(_xlfn.IFNA(VLOOKUP($A4,'FL Ratio'!$A$3:$B$10,2,FALSE),0)*'FL Characterization'!G$2)</f>
        <v>38.432456960986499</v>
      </c>
      <c r="H4" s="2">
        <f>('[1]Pc, Summer, S1'!H4*Main!$B$5)+(_xlfn.IFNA(VLOOKUP($A4,'FL Ratio'!$A$3:$B$10,2,FALSE),0)*'FL Characterization'!H$2)</f>
        <v>45.132330850458459</v>
      </c>
      <c r="I4" s="2">
        <f>('[1]Pc, Summer, S1'!I4*Main!$B$5)+(_xlfn.IFNA(VLOOKUP($A4,'FL Ratio'!$A$3:$B$10,2,FALSE),0)*'FL Characterization'!I$2)</f>
        <v>50.985272870213869</v>
      </c>
      <c r="J4" s="2">
        <f>('[1]Pc, Summer, S1'!J4*Main!$B$5)+(_xlfn.IFNA(VLOOKUP($A4,'FL Ratio'!$A$3:$B$10,2,FALSE),0)*'FL Characterization'!J$2)</f>
        <v>57.377507042889107</v>
      </c>
      <c r="K4" s="2">
        <f>('[1]Pc, Summer, S1'!K4*Main!$B$5)+(_xlfn.IFNA(VLOOKUP($A4,'FL Ratio'!$A$3:$B$10,2,FALSE),0)*'FL Characterization'!K$2)</f>
        <v>61.664592736341241</v>
      </c>
      <c r="L4" s="2">
        <f>('[1]Pc, Summer, S1'!L4*Main!$B$5)+(_xlfn.IFNA(VLOOKUP($A4,'FL Ratio'!$A$3:$B$10,2,FALSE),0)*'FL Characterization'!L$2)</f>
        <v>63.498162438181552</v>
      </c>
      <c r="M4" s="2">
        <f>('[1]Pc, Summer, S1'!M4*Main!$B$5)+(_xlfn.IFNA(VLOOKUP($A4,'FL Ratio'!$A$3:$B$10,2,FALSE),0)*'FL Characterization'!M$2)</f>
        <v>64.546560224530367</v>
      </c>
      <c r="N4" s="2">
        <f>('[1]Pc, Summer, S1'!N4*Main!$B$5)+(_xlfn.IFNA(VLOOKUP($A4,'FL Ratio'!$A$3:$B$10,2,FALSE),0)*'FL Characterization'!N$2)</f>
        <v>65.947153846436223</v>
      </c>
      <c r="O4" s="2">
        <f>('[1]Pc, Summer, S1'!O4*Main!$B$5)+(_xlfn.IFNA(VLOOKUP($A4,'FL Ratio'!$A$3:$B$10,2,FALSE),0)*'FL Characterization'!O$2)</f>
        <v>66.795980208504773</v>
      </c>
      <c r="P4" s="2">
        <f>('[1]Pc, Summer, S1'!P4*Main!$B$5)+(_xlfn.IFNA(VLOOKUP($A4,'FL Ratio'!$A$3:$B$10,2,FALSE),0)*'FL Characterization'!P$2)</f>
        <v>67.072369124465624</v>
      </c>
      <c r="Q4" s="2">
        <f>('[1]Pc, Summer, S1'!Q4*Main!$B$5)+(_xlfn.IFNA(VLOOKUP($A4,'FL Ratio'!$A$3:$B$10,2,FALSE),0)*'FL Characterization'!Q$2)</f>
        <v>64.559154285383954</v>
      </c>
      <c r="R4" s="2">
        <f>('[1]Pc, Summer, S1'!R4*Main!$B$5)+(_xlfn.IFNA(VLOOKUP($A4,'FL Ratio'!$A$3:$B$10,2,FALSE),0)*'FL Characterization'!R$2)</f>
        <v>64.277064459124603</v>
      </c>
      <c r="S4" s="2">
        <f>('[1]Pc, Summer, S1'!S4*Main!$B$5)+(_xlfn.IFNA(VLOOKUP($A4,'FL Ratio'!$A$3:$B$10,2,FALSE),0)*'FL Characterization'!S$2)</f>
        <v>62.202816098919662</v>
      </c>
      <c r="T4" s="2">
        <f>('[1]Pc, Summer, S1'!T4*Main!$B$5)+(_xlfn.IFNA(VLOOKUP($A4,'FL Ratio'!$A$3:$B$10,2,FALSE),0)*'FL Characterization'!T$2)</f>
        <v>62.188097014446761</v>
      </c>
      <c r="U4" s="2">
        <f>('[1]Pc, Summer, S1'!U4*Main!$B$5)+(_xlfn.IFNA(VLOOKUP($A4,'FL Ratio'!$A$3:$B$10,2,FALSE),0)*'FL Characterization'!U$2)</f>
        <v>62.553036159496777</v>
      </c>
      <c r="V4" s="2">
        <f>('[1]Pc, Summer, S1'!V4*Main!$B$5)+(_xlfn.IFNA(VLOOKUP($A4,'FL Ratio'!$A$3:$B$10,2,FALSE),0)*'FL Characterization'!V$2)</f>
        <v>62.216491129046638</v>
      </c>
      <c r="W4" s="2">
        <f>('[1]Pc, Summer, S1'!W4*Main!$B$5)+(_xlfn.IFNA(VLOOKUP($A4,'FL Ratio'!$A$3:$B$10,2,FALSE),0)*'FL Characterization'!W$2)</f>
        <v>64.232869792266825</v>
      </c>
      <c r="X4" s="2">
        <f>('[1]Pc, Summer, S1'!X4*Main!$B$5)+(_xlfn.IFNA(VLOOKUP($A4,'FL Ratio'!$A$3:$B$10,2,FALSE),0)*'FL Characterization'!X$2)</f>
        <v>63.891841510211776</v>
      </c>
      <c r="Y4" s="2">
        <f>('[1]Pc, Summer, S1'!Y4*Main!$B$5)+(_xlfn.IFNA(VLOOKUP($A4,'FL Ratio'!$A$3:$B$10,2,FALSE),0)*'FL Characterization'!Y$2)</f>
        <v>57.552612108837046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03274-B199-4149-B2FD-E279CA9FB158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34.83630585565713</v>
      </c>
      <c r="C2" s="2">
        <f>('[1]Pc, Summer, S1'!C2*Main!$B$5)+(_xlfn.IFNA(VLOOKUP($A2,'FL Ratio'!$A$3:$B$10,2,FALSE),0)*'FL Characterization'!C$2)</f>
        <v>31.650342819843548</v>
      </c>
      <c r="D2" s="2">
        <f>('[1]Pc, Summer, S1'!D2*Main!$B$5)+(_xlfn.IFNA(VLOOKUP($A2,'FL Ratio'!$A$3:$B$10,2,FALSE),0)*'FL Characterization'!D$2)</f>
        <v>31.097493589892466</v>
      </c>
      <c r="E2" s="2">
        <f>('[1]Pc, Summer, S1'!E2*Main!$B$5)+(_xlfn.IFNA(VLOOKUP($A2,'FL Ratio'!$A$3:$B$10,2,FALSE),0)*'FL Characterization'!E$2)</f>
        <v>31.018053050770316</v>
      </c>
      <c r="F2" s="2">
        <f>('[1]Pc, Summer, S1'!F2*Main!$B$5)+(_xlfn.IFNA(VLOOKUP($A2,'FL Ratio'!$A$3:$B$10,2,FALSE),0)*'FL Characterization'!F$2)</f>
        <v>31.020498517496343</v>
      </c>
      <c r="G2" s="2">
        <f>('[1]Pc, Summer, S1'!G2*Main!$B$5)+(_xlfn.IFNA(VLOOKUP($A2,'FL Ratio'!$A$3:$B$10,2,FALSE),0)*'FL Characterization'!G$2)</f>
        <v>30.746162292600836</v>
      </c>
      <c r="H2" s="2">
        <f>('[1]Pc, Summer, S1'!H2*Main!$B$5)+(_xlfn.IFNA(VLOOKUP($A2,'FL Ratio'!$A$3:$B$10,2,FALSE),0)*'FL Characterization'!H$2)</f>
        <v>33.193226808756371</v>
      </c>
      <c r="I2" s="2">
        <f>('[1]Pc, Summer, S1'!I2*Main!$B$5)+(_xlfn.IFNA(VLOOKUP($A2,'FL Ratio'!$A$3:$B$10,2,FALSE),0)*'FL Characterization'!I$2)</f>
        <v>39.408469590285883</v>
      </c>
      <c r="J2" s="2">
        <f>('[1]Pc, Summer, S1'!J2*Main!$B$5)+(_xlfn.IFNA(VLOOKUP($A2,'FL Ratio'!$A$3:$B$10,2,FALSE),0)*'FL Characterization'!J$2)</f>
        <v>44.914449660761804</v>
      </c>
      <c r="K2" s="2">
        <f>('[1]Pc, Summer, S1'!K2*Main!$B$5)+(_xlfn.IFNA(VLOOKUP($A2,'FL Ratio'!$A$3:$B$10,2,FALSE),0)*'FL Characterization'!K$2)</f>
        <v>46.294583082290451</v>
      </c>
      <c r="L2" s="2">
        <f>('[1]Pc, Summer, S1'!L2*Main!$B$5)+(_xlfn.IFNA(VLOOKUP($A2,'FL Ratio'!$A$3:$B$10,2,FALSE),0)*'FL Characterization'!L$2)</f>
        <v>45.826094251986547</v>
      </c>
      <c r="M2" s="2">
        <f>('[1]Pc, Summer, S1'!M2*Main!$B$5)+(_xlfn.IFNA(VLOOKUP($A2,'FL Ratio'!$A$3:$B$10,2,FALSE),0)*'FL Characterization'!M$2)</f>
        <v>47.121992398408707</v>
      </c>
      <c r="N2" s="2">
        <f>('[1]Pc, Summer, S1'!N2*Main!$B$5)+(_xlfn.IFNA(VLOOKUP($A2,'FL Ratio'!$A$3:$B$10,2,FALSE),0)*'FL Characterization'!N$2)</f>
        <v>47.768406777045008</v>
      </c>
      <c r="O2" s="2">
        <f>('[1]Pc, Summer, S1'!O2*Main!$B$5)+(_xlfn.IFNA(VLOOKUP($A2,'FL Ratio'!$A$3:$B$10,2,FALSE),0)*'FL Characterization'!O$2)</f>
        <v>46.884780742554817</v>
      </c>
      <c r="P2" s="2">
        <f>('[1]Pc, Summer, S1'!P2*Main!$B$5)+(_xlfn.IFNA(VLOOKUP($A2,'FL Ratio'!$A$3:$B$10,2,FALSE),0)*'FL Characterization'!P$2)</f>
        <v>45.052748149238518</v>
      </c>
      <c r="Q2" s="2">
        <f>('[1]Pc, Summer, S1'!Q2*Main!$B$5)+(_xlfn.IFNA(VLOOKUP($A2,'FL Ratio'!$A$3:$B$10,2,FALSE),0)*'FL Characterization'!Q$2)</f>
        <v>43.239452761766202</v>
      </c>
      <c r="R2" s="2">
        <f>('[1]Pc, Summer, S1'!R2*Main!$B$5)+(_xlfn.IFNA(VLOOKUP($A2,'FL Ratio'!$A$3:$B$10,2,FALSE),0)*'FL Characterization'!R$2)</f>
        <v>43.993839502141213</v>
      </c>
      <c r="S2" s="2">
        <f>('[1]Pc, Summer, S1'!S2*Main!$B$5)+(_xlfn.IFNA(VLOOKUP($A2,'FL Ratio'!$A$3:$B$10,2,FALSE),0)*'FL Characterization'!S$2)</f>
        <v>44.428487646665509</v>
      </c>
      <c r="T2" s="2">
        <f>('[1]Pc, Summer, S1'!T2*Main!$B$5)+(_xlfn.IFNA(VLOOKUP($A2,'FL Ratio'!$A$3:$B$10,2,FALSE),0)*'FL Characterization'!T$2)</f>
        <v>44.617070072390234</v>
      </c>
      <c r="U2" s="2">
        <f>('[1]Pc, Summer, S1'!U2*Main!$B$5)+(_xlfn.IFNA(VLOOKUP($A2,'FL Ratio'!$A$3:$B$10,2,FALSE),0)*'FL Characterization'!U$2)</f>
        <v>43.878452442554618</v>
      </c>
      <c r="V2" s="2">
        <f>('[1]Pc, Summer, S1'!V2*Main!$B$5)+(_xlfn.IFNA(VLOOKUP($A2,'FL Ratio'!$A$3:$B$10,2,FALSE),0)*'FL Characterization'!V$2)</f>
        <v>44.01028786337492</v>
      </c>
      <c r="W2" s="2">
        <f>('[1]Pc, Summer, S1'!W2*Main!$B$5)+(_xlfn.IFNA(VLOOKUP($A2,'FL Ratio'!$A$3:$B$10,2,FALSE),0)*'FL Characterization'!W$2)</f>
        <v>45.833104640213968</v>
      </c>
      <c r="X2" s="2">
        <f>('[1]Pc, Summer, S1'!X2*Main!$B$5)+(_xlfn.IFNA(VLOOKUP($A2,'FL Ratio'!$A$3:$B$10,2,FALSE),0)*'FL Characterization'!X$2)</f>
        <v>42.722001035891267</v>
      </c>
      <c r="Y2" s="2">
        <f>('[1]Pc, Summer, S1'!Y2*Main!$B$5)+(_xlfn.IFNA(VLOOKUP($A2,'FL Ratio'!$A$3:$B$10,2,FALSE),0)*'FL Characterization'!Y$2)</f>
        <v>39.163020135955954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37.222379732808825</v>
      </c>
      <c r="C3" s="2">
        <f>('[1]Pc, Summer, S1'!C3*Main!$B$5)+(_xlfn.IFNA(VLOOKUP($A3,'FL Ratio'!$A$3:$B$10,2,FALSE),0)*'FL Characterization'!C$2)</f>
        <v>34.125529800763829</v>
      </c>
      <c r="D3" s="2">
        <f>('[1]Pc, Summer, S1'!D3*Main!$B$5)+(_xlfn.IFNA(VLOOKUP($A3,'FL Ratio'!$A$3:$B$10,2,FALSE),0)*'FL Characterization'!D$2)</f>
        <v>32.34598431475689</v>
      </c>
      <c r="E3" s="2">
        <f>('[1]Pc, Summer, S1'!E3*Main!$B$5)+(_xlfn.IFNA(VLOOKUP($A3,'FL Ratio'!$A$3:$B$10,2,FALSE),0)*'FL Characterization'!E$2)</f>
        <v>31.16537454543932</v>
      </c>
      <c r="F3" s="2">
        <f>('[1]Pc, Summer, S1'!F3*Main!$B$5)+(_xlfn.IFNA(VLOOKUP($A3,'FL Ratio'!$A$3:$B$10,2,FALSE),0)*'FL Characterization'!F$2)</f>
        <v>30.864163508282161</v>
      </c>
      <c r="G3" s="2">
        <f>('[1]Pc, Summer, S1'!G3*Main!$B$5)+(_xlfn.IFNA(VLOOKUP($A3,'FL Ratio'!$A$3:$B$10,2,FALSE),0)*'FL Characterization'!G$2)</f>
        <v>32.788080771564964</v>
      </c>
      <c r="H3" s="2">
        <f>('[1]Pc, Summer, S1'!H3*Main!$B$5)+(_xlfn.IFNA(VLOOKUP($A3,'FL Ratio'!$A$3:$B$10,2,FALSE),0)*'FL Characterization'!H$2)</f>
        <v>41.047661987038062</v>
      </c>
      <c r="I3" s="2">
        <f>('[1]Pc, Summer, S1'!I3*Main!$B$5)+(_xlfn.IFNA(VLOOKUP($A3,'FL Ratio'!$A$3:$B$10,2,FALSE),0)*'FL Characterization'!I$2)</f>
        <v>49.013820776681428</v>
      </c>
      <c r="J3" s="2">
        <f>('[1]Pc, Summer, S1'!J3*Main!$B$5)+(_xlfn.IFNA(VLOOKUP($A3,'FL Ratio'!$A$3:$B$10,2,FALSE),0)*'FL Characterization'!J$2)</f>
        <v>51.114632495101077</v>
      </c>
      <c r="K3" s="2">
        <f>('[1]Pc, Summer, S1'!K3*Main!$B$5)+(_xlfn.IFNA(VLOOKUP($A3,'FL Ratio'!$A$3:$B$10,2,FALSE),0)*'FL Characterization'!K$2)</f>
        <v>50.148496421406264</v>
      </c>
      <c r="L3" s="2">
        <f>('[1]Pc, Summer, S1'!L3*Main!$B$5)+(_xlfn.IFNA(VLOOKUP($A3,'FL Ratio'!$A$3:$B$10,2,FALSE),0)*'FL Characterization'!L$2)</f>
        <v>49.995097373392461</v>
      </c>
      <c r="M3" s="2">
        <f>('[1]Pc, Summer, S1'!M3*Main!$B$5)+(_xlfn.IFNA(VLOOKUP($A3,'FL Ratio'!$A$3:$B$10,2,FALSE),0)*'FL Characterization'!M$2)</f>
        <v>53.308255465270776</v>
      </c>
      <c r="N3" s="2">
        <f>('[1]Pc, Summer, S1'!N3*Main!$B$5)+(_xlfn.IFNA(VLOOKUP($A3,'FL Ratio'!$A$3:$B$10,2,FALSE),0)*'FL Characterization'!N$2)</f>
        <v>53.446027043354462</v>
      </c>
      <c r="O3" s="2">
        <f>('[1]Pc, Summer, S1'!O3*Main!$B$5)+(_xlfn.IFNA(VLOOKUP($A3,'FL Ratio'!$A$3:$B$10,2,FALSE),0)*'FL Characterization'!O$2)</f>
        <v>53.757752634170089</v>
      </c>
      <c r="P3" s="2">
        <f>('[1]Pc, Summer, S1'!P3*Main!$B$5)+(_xlfn.IFNA(VLOOKUP($A3,'FL Ratio'!$A$3:$B$10,2,FALSE),0)*'FL Characterization'!P$2)</f>
        <v>51.140240500233077</v>
      </c>
      <c r="Q3" s="2">
        <f>('[1]Pc, Summer, S1'!Q3*Main!$B$5)+(_xlfn.IFNA(VLOOKUP($A3,'FL Ratio'!$A$3:$B$10,2,FALSE),0)*'FL Characterization'!Q$2)</f>
        <v>48.441379854501257</v>
      </c>
      <c r="R3" s="2">
        <f>('[1]Pc, Summer, S1'!R3*Main!$B$5)+(_xlfn.IFNA(VLOOKUP($A3,'FL Ratio'!$A$3:$B$10,2,FALSE),0)*'FL Characterization'!R$2)</f>
        <v>44.860569603198719</v>
      </c>
      <c r="S3" s="2">
        <f>('[1]Pc, Summer, S1'!S3*Main!$B$5)+(_xlfn.IFNA(VLOOKUP($A3,'FL Ratio'!$A$3:$B$10,2,FALSE),0)*'FL Characterization'!S$2)</f>
        <v>45.2766676016535</v>
      </c>
      <c r="T3" s="2">
        <f>('[1]Pc, Summer, S1'!T3*Main!$B$5)+(_xlfn.IFNA(VLOOKUP($A3,'FL Ratio'!$A$3:$B$10,2,FALSE),0)*'FL Characterization'!T$2)</f>
        <v>44.938964878269907</v>
      </c>
      <c r="U3" s="2">
        <f>('[1]Pc, Summer, S1'!U3*Main!$B$5)+(_xlfn.IFNA(VLOOKUP($A3,'FL Ratio'!$A$3:$B$10,2,FALSE),0)*'FL Characterization'!U$2)</f>
        <v>44.796554526513361</v>
      </c>
      <c r="V3" s="2">
        <f>('[1]Pc, Summer, S1'!V3*Main!$B$5)+(_xlfn.IFNA(VLOOKUP($A3,'FL Ratio'!$A$3:$B$10,2,FALSE),0)*'FL Characterization'!V$2)</f>
        <v>44.97143629397987</v>
      </c>
      <c r="W3" s="2">
        <f>('[1]Pc, Summer, S1'!W3*Main!$B$5)+(_xlfn.IFNA(VLOOKUP($A3,'FL Ratio'!$A$3:$B$10,2,FALSE),0)*'FL Characterization'!W$2)</f>
        <v>44.775834670774628</v>
      </c>
      <c r="X3" s="2">
        <f>('[1]Pc, Summer, S1'!X3*Main!$B$5)+(_xlfn.IFNA(VLOOKUP($A3,'FL Ratio'!$A$3:$B$10,2,FALSE),0)*'FL Characterization'!X$2)</f>
        <v>44.306119057127532</v>
      </c>
      <c r="Y3" s="2">
        <f>('[1]Pc, Summer, S1'!Y3*Main!$B$5)+(_xlfn.IFNA(VLOOKUP($A3,'FL Ratio'!$A$3:$B$10,2,FALSE),0)*'FL Characterization'!Y$2)</f>
        <v>41.845194152706384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49.526525332022558</v>
      </c>
      <c r="C4" s="2">
        <f>('[1]Pc, Summer, S1'!C4*Main!$B$5)+(_xlfn.IFNA(VLOOKUP($A4,'FL Ratio'!$A$3:$B$10,2,FALSE),0)*'FL Characterization'!C$2)</f>
        <v>43.889195681300777</v>
      </c>
      <c r="D4" s="2">
        <f>('[1]Pc, Summer, S1'!D4*Main!$B$5)+(_xlfn.IFNA(VLOOKUP($A4,'FL Ratio'!$A$3:$B$10,2,FALSE),0)*'FL Characterization'!D$2)</f>
        <v>41.403419518075125</v>
      </c>
      <c r="E4" s="2">
        <f>('[1]Pc, Summer, S1'!E4*Main!$B$5)+(_xlfn.IFNA(VLOOKUP($A4,'FL Ratio'!$A$3:$B$10,2,FALSE),0)*'FL Characterization'!E$2)</f>
        <v>40.05434395030025</v>
      </c>
      <c r="F4" s="2">
        <f>('[1]Pc, Summer, S1'!F4*Main!$B$5)+(_xlfn.IFNA(VLOOKUP($A4,'FL Ratio'!$A$3:$B$10,2,FALSE),0)*'FL Characterization'!F$2)</f>
        <v>42.05997485987529</v>
      </c>
      <c r="G4" s="2">
        <f>('[1]Pc, Summer, S1'!G4*Main!$B$5)+(_xlfn.IFNA(VLOOKUP($A4,'FL Ratio'!$A$3:$B$10,2,FALSE),0)*'FL Characterization'!G$2)</f>
        <v>38.432456960986499</v>
      </c>
      <c r="H4" s="2">
        <f>('[1]Pc, Summer, S1'!H4*Main!$B$5)+(_xlfn.IFNA(VLOOKUP($A4,'FL Ratio'!$A$3:$B$10,2,FALSE),0)*'FL Characterization'!H$2)</f>
        <v>45.132330850458459</v>
      </c>
      <c r="I4" s="2">
        <f>('[1]Pc, Summer, S1'!I4*Main!$B$5)+(_xlfn.IFNA(VLOOKUP($A4,'FL Ratio'!$A$3:$B$10,2,FALSE),0)*'FL Characterization'!I$2)</f>
        <v>50.985272870213869</v>
      </c>
      <c r="J4" s="2">
        <f>('[1]Pc, Summer, S1'!J4*Main!$B$5)+(_xlfn.IFNA(VLOOKUP($A4,'FL Ratio'!$A$3:$B$10,2,FALSE),0)*'FL Characterization'!J$2)</f>
        <v>57.377507042889107</v>
      </c>
      <c r="K4" s="2">
        <f>('[1]Pc, Summer, S1'!K4*Main!$B$5)+(_xlfn.IFNA(VLOOKUP($A4,'FL Ratio'!$A$3:$B$10,2,FALSE),0)*'FL Characterization'!K$2)</f>
        <v>61.664592736341241</v>
      </c>
      <c r="L4" s="2">
        <f>('[1]Pc, Summer, S1'!L4*Main!$B$5)+(_xlfn.IFNA(VLOOKUP($A4,'FL Ratio'!$A$3:$B$10,2,FALSE),0)*'FL Characterization'!L$2)</f>
        <v>63.498162438181552</v>
      </c>
      <c r="M4" s="2">
        <f>('[1]Pc, Summer, S1'!M4*Main!$B$5)+(_xlfn.IFNA(VLOOKUP($A4,'FL Ratio'!$A$3:$B$10,2,FALSE),0)*'FL Characterization'!M$2)</f>
        <v>64.546560224530367</v>
      </c>
      <c r="N4" s="2">
        <f>('[1]Pc, Summer, S1'!N4*Main!$B$5)+(_xlfn.IFNA(VLOOKUP($A4,'FL Ratio'!$A$3:$B$10,2,FALSE),0)*'FL Characterization'!N$2)</f>
        <v>65.947153846436223</v>
      </c>
      <c r="O4" s="2">
        <f>('[1]Pc, Summer, S1'!O4*Main!$B$5)+(_xlfn.IFNA(VLOOKUP($A4,'FL Ratio'!$A$3:$B$10,2,FALSE),0)*'FL Characterization'!O$2)</f>
        <v>66.795980208504773</v>
      </c>
      <c r="P4" s="2">
        <f>('[1]Pc, Summer, S1'!P4*Main!$B$5)+(_xlfn.IFNA(VLOOKUP($A4,'FL Ratio'!$A$3:$B$10,2,FALSE),0)*'FL Characterization'!P$2)</f>
        <v>67.072369124465624</v>
      </c>
      <c r="Q4" s="2">
        <f>('[1]Pc, Summer, S1'!Q4*Main!$B$5)+(_xlfn.IFNA(VLOOKUP($A4,'FL Ratio'!$A$3:$B$10,2,FALSE),0)*'FL Characterization'!Q$2)</f>
        <v>64.559154285383954</v>
      </c>
      <c r="R4" s="2">
        <f>('[1]Pc, Summer, S1'!R4*Main!$B$5)+(_xlfn.IFNA(VLOOKUP($A4,'FL Ratio'!$A$3:$B$10,2,FALSE),0)*'FL Characterization'!R$2)</f>
        <v>64.277064459124603</v>
      </c>
      <c r="S4" s="2">
        <f>('[1]Pc, Summer, S1'!S4*Main!$B$5)+(_xlfn.IFNA(VLOOKUP($A4,'FL Ratio'!$A$3:$B$10,2,FALSE),0)*'FL Characterization'!S$2)</f>
        <v>62.202816098919662</v>
      </c>
      <c r="T4" s="2">
        <f>('[1]Pc, Summer, S1'!T4*Main!$B$5)+(_xlfn.IFNA(VLOOKUP($A4,'FL Ratio'!$A$3:$B$10,2,FALSE),0)*'FL Characterization'!T$2)</f>
        <v>62.188097014446761</v>
      </c>
      <c r="U4" s="2">
        <f>('[1]Pc, Summer, S1'!U4*Main!$B$5)+(_xlfn.IFNA(VLOOKUP($A4,'FL Ratio'!$A$3:$B$10,2,FALSE),0)*'FL Characterization'!U$2)</f>
        <v>62.553036159496777</v>
      </c>
      <c r="V4" s="2">
        <f>('[1]Pc, Summer, S1'!V4*Main!$B$5)+(_xlfn.IFNA(VLOOKUP($A4,'FL Ratio'!$A$3:$B$10,2,FALSE),0)*'FL Characterization'!V$2)</f>
        <v>62.216491129046638</v>
      </c>
      <c r="W4" s="2">
        <f>('[1]Pc, Summer, S1'!W4*Main!$B$5)+(_xlfn.IFNA(VLOOKUP($A4,'FL Ratio'!$A$3:$B$10,2,FALSE),0)*'FL Characterization'!W$2)</f>
        <v>64.232869792266825</v>
      </c>
      <c r="X4" s="2">
        <f>('[1]Pc, Summer, S1'!X4*Main!$B$5)+(_xlfn.IFNA(VLOOKUP($A4,'FL Ratio'!$A$3:$B$10,2,FALSE),0)*'FL Characterization'!X$2)</f>
        <v>63.891841510211776</v>
      </c>
      <c r="Y4" s="2">
        <f>('[1]Pc, Summer, S1'!Y4*Main!$B$5)+(_xlfn.IFNA(VLOOKUP($A4,'FL Ratio'!$A$3:$B$10,2,FALSE),0)*'FL Characterization'!Y$2)</f>
        <v>57.552612108837046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D2FDA-4D04-49F8-9B9F-34E983344C94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34.83630585565713</v>
      </c>
      <c r="C2" s="2">
        <f>('[1]Pc, Summer, S1'!C2*Main!$B$5)+(_xlfn.IFNA(VLOOKUP($A2,'FL Ratio'!$A$3:$B$10,2,FALSE),0)*'FL Characterization'!C$2)</f>
        <v>31.650342819843548</v>
      </c>
      <c r="D2" s="2">
        <f>('[1]Pc, Summer, S1'!D2*Main!$B$5)+(_xlfn.IFNA(VLOOKUP($A2,'FL Ratio'!$A$3:$B$10,2,FALSE),0)*'FL Characterization'!D$2)</f>
        <v>31.097493589892466</v>
      </c>
      <c r="E2" s="2">
        <f>('[1]Pc, Summer, S1'!E2*Main!$B$5)+(_xlfn.IFNA(VLOOKUP($A2,'FL Ratio'!$A$3:$B$10,2,FALSE),0)*'FL Characterization'!E$2)</f>
        <v>31.018053050770316</v>
      </c>
      <c r="F2" s="2">
        <f>('[1]Pc, Summer, S1'!F2*Main!$B$5)+(_xlfn.IFNA(VLOOKUP($A2,'FL Ratio'!$A$3:$B$10,2,FALSE),0)*'FL Characterization'!F$2)</f>
        <v>31.020498517496343</v>
      </c>
      <c r="G2" s="2">
        <f>('[1]Pc, Summer, S1'!G2*Main!$B$5)+(_xlfn.IFNA(VLOOKUP($A2,'FL Ratio'!$A$3:$B$10,2,FALSE),0)*'FL Characterization'!G$2)</f>
        <v>30.746162292600836</v>
      </c>
      <c r="H2" s="2">
        <f>('[1]Pc, Summer, S1'!H2*Main!$B$5)+(_xlfn.IFNA(VLOOKUP($A2,'FL Ratio'!$A$3:$B$10,2,FALSE),0)*'FL Characterization'!H$2)</f>
        <v>33.193226808756371</v>
      </c>
      <c r="I2" s="2">
        <f>('[1]Pc, Summer, S1'!I2*Main!$B$5)+(_xlfn.IFNA(VLOOKUP($A2,'FL Ratio'!$A$3:$B$10,2,FALSE),0)*'FL Characterization'!I$2)</f>
        <v>39.408469590285883</v>
      </c>
      <c r="J2" s="2">
        <f>('[1]Pc, Summer, S1'!J2*Main!$B$5)+(_xlfn.IFNA(VLOOKUP($A2,'FL Ratio'!$A$3:$B$10,2,FALSE),0)*'FL Characterization'!J$2)</f>
        <v>44.914449660761804</v>
      </c>
      <c r="K2" s="2">
        <f>('[1]Pc, Summer, S1'!K2*Main!$B$5)+(_xlfn.IFNA(VLOOKUP($A2,'FL Ratio'!$A$3:$B$10,2,FALSE),0)*'FL Characterization'!K$2)</f>
        <v>46.294583082290451</v>
      </c>
      <c r="L2" s="2">
        <f>('[1]Pc, Summer, S1'!L2*Main!$B$5)+(_xlfn.IFNA(VLOOKUP($A2,'FL Ratio'!$A$3:$B$10,2,FALSE),0)*'FL Characterization'!L$2)</f>
        <v>45.826094251986547</v>
      </c>
      <c r="M2" s="2">
        <f>('[1]Pc, Summer, S1'!M2*Main!$B$5)+(_xlfn.IFNA(VLOOKUP($A2,'FL Ratio'!$A$3:$B$10,2,FALSE),0)*'FL Characterization'!M$2)</f>
        <v>47.121992398408707</v>
      </c>
      <c r="N2" s="2">
        <f>('[1]Pc, Summer, S1'!N2*Main!$B$5)+(_xlfn.IFNA(VLOOKUP($A2,'FL Ratio'!$A$3:$B$10,2,FALSE),0)*'FL Characterization'!N$2)</f>
        <v>47.768406777045008</v>
      </c>
      <c r="O2" s="2">
        <f>('[1]Pc, Summer, S1'!O2*Main!$B$5)+(_xlfn.IFNA(VLOOKUP($A2,'FL Ratio'!$A$3:$B$10,2,FALSE),0)*'FL Characterization'!O$2)</f>
        <v>46.884780742554817</v>
      </c>
      <c r="P2" s="2">
        <f>('[1]Pc, Summer, S1'!P2*Main!$B$5)+(_xlfn.IFNA(VLOOKUP($A2,'FL Ratio'!$A$3:$B$10,2,FALSE),0)*'FL Characterization'!P$2)</f>
        <v>45.052748149238518</v>
      </c>
      <c r="Q2" s="2">
        <f>('[1]Pc, Summer, S1'!Q2*Main!$B$5)+(_xlfn.IFNA(VLOOKUP($A2,'FL Ratio'!$A$3:$B$10,2,FALSE),0)*'FL Characterization'!Q$2)</f>
        <v>43.239452761766202</v>
      </c>
      <c r="R2" s="2">
        <f>('[1]Pc, Summer, S1'!R2*Main!$B$5)+(_xlfn.IFNA(VLOOKUP($A2,'FL Ratio'!$A$3:$B$10,2,FALSE),0)*'FL Characterization'!R$2)</f>
        <v>43.993839502141213</v>
      </c>
      <c r="S2" s="2">
        <f>('[1]Pc, Summer, S1'!S2*Main!$B$5)+(_xlfn.IFNA(VLOOKUP($A2,'FL Ratio'!$A$3:$B$10,2,FALSE),0)*'FL Characterization'!S$2)</f>
        <v>44.428487646665509</v>
      </c>
      <c r="T2" s="2">
        <f>('[1]Pc, Summer, S1'!T2*Main!$B$5)+(_xlfn.IFNA(VLOOKUP($A2,'FL Ratio'!$A$3:$B$10,2,FALSE),0)*'FL Characterization'!T$2)</f>
        <v>44.617070072390234</v>
      </c>
      <c r="U2" s="2">
        <f>('[1]Pc, Summer, S1'!U2*Main!$B$5)+(_xlfn.IFNA(VLOOKUP($A2,'FL Ratio'!$A$3:$B$10,2,FALSE),0)*'FL Characterization'!U$2)</f>
        <v>43.878452442554618</v>
      </c>
      <c r="V2" s="2">
        <f>('[1]Pc, Summer, S1'!V2*Main!$B$5)+(_xlfn.IFNA(VLOOKUP($A2,'FL Ratio'!$A$3:$B$10,2,FALSE),0)*'FL Characterization'!V$2)</f>
        <v>44.01028786337492</v>
      </c>
      <c r="W2" s="2">
        <f>('[1]Pc, Summer, S1'!W2*Main!$B$5)+(_xlfn.IFNA(VLOOKUP($A2,'FL Ratio'!$A$3:$B$10,2,FALSE),0)*'FL Characterization'!W$2)</f>
        <v>45.833104640213968</v>
      </c>
      <c r="X2" s="2">
        <f>('[1]Pc, Summer, S1'!X2*Main!$B$5)+(_xlfn.IFNA(VLOOKUP($A2,'FL Ratio'!$A$3:$B$10,2,FALSE),0)*'FL Characterization'!X$2)</f>
        <v>42.722001035891267</v>
      </c>
      <c r="Y2" s="2">
        <f>('[1]Pc, Summer, S1'!Y2*Main!$B$5)+(_xlfn.IFNA(VLOOKUP($A2,'FL Ratio'!$A$3:$B$10,2,FALSE),0)*'FL Characterization'!Y$2)</f>
        <v>39.163020135955954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37.222379732808825</v>
      </c>
      <c r="C3" s="2">
        <f>('[1]Pc, Summer, S1'!C3*Main!$B$5)+(_xlfn.IFNA(VLOOKUP($A3,'FL Ratio'!$A$3:$B$10,2,FALSE),0)*'FL Characterization'!C$2)</f>
        <v>34.125529800763829</v>
      </c>
      <c r="D3" s="2">
        <f>('[1]Pc, Summer, S1'!D3*Main!$B$5)+(_xlfn.IFNA(VLOOKUP($A3,'FL Ratio'!$A$3:$B$10,2,FALSE),0)*'FL Characterization'!D$2)</f>
        <v>32.34598431475689</v>
      </c>
      <c r="E3" s="2">
        <f>('[1]Pc, Summer, S1'!E3*Main!$B$5)+(_xlfn.IFNA(VLOOKUP($A3,'FL Ratio'!$A$3:$B$10,2,FALSE),0)*'FL Characterization'!E$2)</f>
        <v>31.16537454543932</v>
      </c>
      <c r="F3" s="2">
        <f>('[1]Pc, Summer, S1'!F3*Main!$B$5)+(_xlfn.IFNA(VLOOKUP($A3,'FL Ratio'!$A$3:$B$10,2,FALSE),0)*'FL Characterization'!F$2)</f>
        <v>30.864163508282161</v>
      </c>
      <c r="G3" s="2">
        <f>('[1]Pc, Summer, S1'!G3*Main!$B$5)+(_xlfn.IFNA(VLOOKUP($A3,'FL Ratio'!$A$3:$B$10,2,FALSE),0)*'FL Characterization'!G$2)</f>
        <v>32.788080771564964</v>
      </c>
      <c r="H3" s="2">
        <f>('[1]Pc, Summer, S1'!H3*Main!$B$5)+(_xlfn.IFNA(VLOOKUP($A3,'FL Ratio'!$A$3:$B$10,2,FALSE),0)*'FL Characterization'!H$2)</f>
        <v>41.047661987038062</v>
      </c>
      <c r="I3" s="2">
        <f>('[1]Pc, Summer, S1'!I3*Main!$B$5)+(_xlfn.IFNA(VLOOKUP($A3,'FL Ratio'!$A$3:$B$10,2,FALSE),0)*'FL Characterization'!I$2)</f>
        <v>49.013820776681428</v>
      </c>
      <c r="J3" s="2">
        <f>('[1]Pc, Summer, S1'!J3*Main!$B$5)+(_xlfn.IFNA(VLOOKUP($A3,'FL Ratio'!$A$3:$B$10,2,FALSE),0)*'FL Characterization'!J$2)</f>
        <v>51.114632495101077</v>
      </c>
      <c r="K3" s="2">
        <f>('[1]Pc, Summer, S1'!K3*Main!$B$5)+(_xlfn.IFNA(VLOOKUP($A3,'FL Ratio'!$A$3:$B$10,2,FALSE),0)*'FL Characterization'!K$2)</f>
        <v>50.148496421406264</v>
      </c>
      <c r="L3" s="2">
        <f>('[1]Pc, Summer, S1'!L3*Main!$B$5)+(_xlfn.IFNA(VLOOKUP($A3,'FL Ratio'!$A$3:$B$10,2,FALSE),0)*'FL Characterization'!L$2)</f>
        <v>49.995097373392461</v>
      </c>
      <c r="M3" s="2">
        <f>('[1]Pc, Summer, S1'!M3*Main!$B$5)+(_xlfn.IFNA(VLOOKUP($A3,'FL Ratio'!$A$3:$B$10,2,FALSE),0)*'FL Characterization'!M$2)</f>
        <v>53.308255465270776</v>
      </c>
      <c r="N3" s="2">
        <f>('[1]Pc, Summer, S1'!N3*Main!$B$5)+(_xlfn.IFNA(VLOOKUP($A3,'FL Ratio'!$A$3:$B$10,2,FALSE),0)*'FL Characterization'!N$2)</f>
        <v>53.446027043354462</v>
      </c>
      <c r="O3" s="2">
        <f>('[1]Pc, Summer, S1'!O3*Main!$B$5)+(_xlfn.IFNA(VLOOKUP($A3,'FL Ratio'!$A$3:$B$10,2,FALSE),0)*'FL Characterization'!O$2)</f>
        <v>53.757752634170089</v>
      </c>
      <c r="P3" s="2">
        <f>('[1]Pc, Summer, S1'!P3*Main!$B$5)+(_xlfn.IFNA(VLOOKUP($A3,'FL Ratio'!$A$3:$B$10,2,FALSE),0)*'FL Characterization'!P$2)</f>
        <v>51.140240500233077</v>
      </c>
      <c r="Q3" s="2">
        <f>('[1]Pc, Summer, S1'!Q3*Main!$B$5)+(_xlfn.IFNA(VLOOKUP($A3,'FL Ratio'!$A$3:$B$10,2,FALSE),0)*'FL Characterization'!Q$2)</f>
        <v>48.441379854501257</v>
      </c>
      <c r="R3" s="2">
        <f>('[1]Pc, Summer, S1'!R3*Main!$B$5)+(_xlfn.IFNA(VLOOKUP($A3,'FL Ratio'!$A$3:$B$10,2,FALSE),0)*'FL Characterization'!R$2)</f>
        <v>44.860569603198719</v>
      </c>
      <c r="S3" s="2">
        <f>('[1]Pc, Summer, S1'!S3*Main!$B$5)+(_xlfn.IFNA(VLOOKUP($A3,'FL Ratio'!$A$3:$B$10,2,FALSE),0)*'FL Characterization'!S$2)</f>
        <v>45.2766676016535</v>
      </c>
      <c r="T3" s="2">
        <f>('[1]Pc, Summer, S1'!T3*Main!$B$5)+(_xlfn.IFNA(VLOOKUP($A3,'FL Ratio'!$A$3:$B$10,2,FALSE),0)*'FL Characterization'!T$2)</f>
        <v>44.938964878269907</v>
      </c>
      <c r="U3" s="2">
        <f>('[1]Pc, Summer, S1'!U3*Main!$B$5)+(_xlfn.IFNA(VLOOKUP($A3,'FL Ratio'!$A$3:$B$10,2,FALSE),0)*'FL Characterization'!U$2)</f>
        <v>44.796554526513361</v>
      </c>
      <c r="V3" s="2">
        <f>('[1]Pc, Summer, S1'!V3*Main!$B$5)+(_xlfn.IFNA(VLOOKUP($A3,'FL Ratio'!$A$3:$B$10,2,FALSE),0)*'FL Characterization'!V$2)</f>
        <v>44.97143629397987</v>
      </c>
      <c r="W3" s="2">
        <f>('[1]Pc, Summer, S1'!W3*Main!$B$5)+(_xlfn.IFNA(VLOOKUP($A3,'FL Ratio'!$A$3:$B$10,2,FALSE),0)*'FL Characterization'!W$2)</f>
        <v>44.775834670774628</v>
      </c>
      <c r="X3" s="2">
        <f>('[1]Pc, Summer, S1'!X3*Main!$B$5)+(_xlfn.IFNA(VLOOKUP($A3,'FL Ratio'!$A$3:$B$10,2,FALSE),0)*'FL Characterization'!X$2)</f>
        <v>44.306119057127532</v>
      </c>
      <c r="Y3" s="2">
        <f>('[1]Pc, Summer, S1'!Y3*Main!$B$5)+(_xlfn.IFNA(VLOOKUP($A3,'FL Ratio'!$A$3:$B$10,2,FALSE),0)*'FL Characterization'!Y$2)</f>
        <v>41.845194152706384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49.526525332022558</v>
      </c>
      <c r="C4" s="2">
        <f>('[1]Pc, Summer, S1'!C4*Main!$B$5)+(_xlfn.IFNA(VLOOKUP($A4,'FL Ratio'!$A$3:$B$10,2,FALSE),0)*'FL Characterization'!C$2)</f>
        <v>43.889195681300777</v>
      </c>
      <c r="D4" s="2">
        <f>('[1]Pc, Summer, S1'!D4*Main!$B$5)+(_xlfn.IFNA(VLOOKUP($A4,'FL Ratio'!$A$3:$B$10,2,FALSE),0)*'FL Characterization'!D$2)</f>
        <v>41.403419518075125</v>
      </c>
      <c r="E4" s="2">
        <f>('[1]Pc, Summer, S1'!E4*Main!$B$5)+(_xlfn.IFNA(VLOOKUP($A4,'FL Ratio'!$A$3:$B$10,2,FALSE),0)*'FL Characterization'!E$2)</f>
        <v>40.05434395030025</v>
      </c>
      <c r="F4" s="2">
        <f>('[1]Pc, Summer, S1'!F4*Main!$B$5)+(_xlfn.IFNA(VLOOKUP($A4,'FL Ratio'!$A$3:$B$10,2,FALSE),0)*'FL Characterization'!F$2)</f>
        <v>42.05997485987529</v>
      </c>
      <c r="G4" s="2">
        <f>('[1]Pc, Summer, S1'!G4*Main!$B$5)+(_xlfn.IFNA(VLOOKUP($A4,'FL Ratio'!$A$3:$B$10,2,FALSE),0)*'FL Characterization'!G$2)</f>
        <v>38.432456960986499</v>
      </c>
      <c r="H4" s="2">
        <f>('[1]Pc, Summer, S1'!H4*Main!$B$5)+(_xlfn.IFNA(VLOOKUP($A4,'FL Ratio'!$A$3:$B$10,2,FALSE),0)*'FL Characterization'!H$2)</f>
        <v>45.132330850458459</v>
      </c>
      <c r="I4" s="2">
        <f>('[1]Pc, Summer, S1'!I4*Main!$B$5)+(_xlfn.IFNA(VLOOKUP($A4,'FL Ratio'!$A$3:$B$10,2,FALSE),0)*'FL Characterization'!I$2)</f>
        <v>50.985272870213869</v>
      </c>
      <c r="J4" s="2">
        <f>('[1]Pc, Summer, S1'!J4*Main!$B$5)+(_xlfn.IFNA(VLOOKUP($A4,'FL Ratio'!$A$3:$B$10,2,FALSE),0)*'FL Characterization'!J$2)</f>
        <v>57.377507042889107</v>
      </c>
      <c r="K4" s="2">
        <f>('[1]Pc, Summer, S1'!K4*Main!$B$5)+(_xlfn.IFNA(VLOOKUP($A4,'FL Ratio'!$A$3:$B$10,2,FALSE),0)*'FL Characterization'!K$2)</f>
        <v>61.664592736341241</v>
      </c>
      <c r="L4" s="2">
        <f>('[1]Pc, Summer, S1'!L4*Main!$B$5)+(_xlfn.IFNA(VLOOKUP($A4,'FL Ratio'!$A$3:$B$10,2,FALSE),0)*'FL Characterization'!L$2)</f>
        <v>63.498162438181552</v>
      </c>
      <c r="M4" s="2">
        <f>('[1]Pc, Summer, S1'!M4*Main!$B$5)+(_xlfn.IFNA(VLOOKUP($A4,'FL Ratio'!$A$3:$B$10,2,FALSE),0)*'FL Characterization'!M$2)</f>
        <v>64.546560224530367</v>
      </c>
      <c r="N4" s="2">
        <f>('[1]Pc, Summer, S1'!N4*Main!$B$5)+(_xlfn.IFNA(VLOOKUP($A4,'FL Ratio'!$A$3:$B$10,2,FALSE),0)*'FL Characterization'!N$2)</f>
        <v>65.947153846436223</v>
      </c>
      <c r="O4" s="2">
        <f>('[1]Pc, Summer, S1'!O4*Main!$B$5)+(_xlfn.IFNA(VLOOKUP($A4,'FL Ratio'!$A$3:$B$10,2,FALSE),0)*'FL Characterization'!O$2)</f>
        <v>66.795980208504773</v>
      </c>
      <c r="P4" s="2">
        <f>('[1]Pc, Summer, S1'!P4*Main!$B$5)+(_xlfn.IFNA(VLOOKUP($A4,'FL Ratio'!$A$3:$B$10,2,FALSE),0)*'FL Characterization'!P$2)</f>
        <v>67.072369124465624</v>
      </c>
      <c r="Q4" s="2">
        <f>('[1]Pc, Summer, S1'!Q4*Main!$B$5)+(_xlfn.IFNA(VLOOKUP($A4,'FL Ratio'!$A$3:$B$10,2,FALSE),0)*'FL Characterization'!Q$2)</f>
        <v>64.559154285383954</v>
      </c>
      <c r="R4" s="2">
        <f>('[1]Pc, Summer, S1'!R4*Main!$B$5)+(_xlfn.IFNA(VLOOKUP($A4,'FL Ratio'!$A$3:$B$10,2,FALSE),0)*'FL Characterization'!R$2)</f>
        <v>64.277064459124603</v>
      </c>
      <c r="S4" s="2">
        <f>('[1]Pc, Summer, S1'!S4*Main!$B$5)+(_xlfn.IFNA(VLOOKUP($A4,'FL Ratio'!$A$3:$B$10,2,FALSE),0)*'FL Characterization'!S$2)</f>
        <v>62.202816098919662</v>
      </c>
      <c r="T4" s="2">
        <f>('[1]Pc, Summer, S1'!T4*Main!$B$5)+(_xlfn.IFNA(VLOOKUP($A4,'FL Ratio'!$A$3:$B$10,2,FALSE),0)*'FL Characterization'!T$2)</f>
        <v>62.188097014446761</v>
      </c>
      <c r="U4" s="2">
        <f>('[1]Pc, Summer, S1'!U4*Main!$B$5)+(_xlfn.IFNA(VLOOKUP($A4,'FL Ratio'!$A$3:$B$10,2,FALSE),0)*'FL Characterization'!U$2)</f>
        <v>62.553036159496777</v>
      </c>
      <c r="V4" s="2">
        <f>('[1]Pc, Summer, S1'!V4*Main!$B$5)+(_xlfn.IFNA(VLOOKUP($A4,'FL Ratio'!$A$3:$B$10,2,FALSE),0)*'FL Characterization'!V$2)</f>
        <v>62.216491129046638</v>
      </c>
      <c r="W4" s="2">
        <f>('[1]Pc, Summer, S1'!W4*Main!$B$5)+(_xlfn.IFNA(VLOOKUP($A4,'FL Ratio'!$A$3:$B$10,2,FALSE),0)*'FL Characterization'!W$2)</f>
        <v>64.232869792266825</v>
      </c>
      <c r="X4" s="2">
        <f>('[1]Pc, Summer, S1'!X4*Main!$B$5)+(_xlfn.IFNA(VLOOKUP($A4,'FL Ratio'!$A$3:$B$10,2,FALSE),0)*'FL Characterization'!X$2)</f>
        <v>63.891841510211776</v>
      </c>
      <c r="Y4" s="2">
        <f>('[1]Pc, Summer, S1'!Y4*Main!$B$5)+(_xlfn.IFNA(VLOOKUP($A4,'FL Ratio'!$A$3:$B$10,2,FALSE),0)*'FL Characterization'!Y$2)</f>
        <v>57.552612108837046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496BB-E9F6-4441-8479-A4E462FEE7A4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35.881395031326846</v>
      </c>
      <c r="C2" s="2">
        <f>('[1]Pc, Summer, S2'!C2*Main!$B$5)+(_xlfn.IFNA(VLOOKUP($A2,'FL Ratio'!$A$3:$B$10,2,FALSE),0)*'FL Characterization'!C$2)</f>
        <v>32.599853104438857</v>
      </c>
      <c r="D2" s="2">
        <f>('[1]Pc, Summer, S2'!D2*Main!$B$5)+(_xlfn.IFNA(VLOOKUP($A2,'FL Ratio'!$A$3:$B$10,2,FALSE),0)*'FL Characterization'!D$2)</f>
        <v>32.030418397589237</v>
      </c>
      <c r="E2" s="2">
        <f>('[1]Pc, Summer, S2'!E2*Main!$B$5)+(_xlfn.IFNA(VLOOKUP($A2,'FL Ratio'!$A$3:$B$10,2,FALSE),0)*'FL Characterization'!E$2)</f>
        <v>31.948594642293425</v>
      </c>
      <c r="F2" s="2">
        <f>('[1]Pc, Summer, S2'!F2*Main!$B$5)+(_xlfn.IFNA(VLOOKUP($A2,'FL Ratio'!$A$3:$B$10,2,FALSE),0)*'FL Characterization'!F$2)</f>
        <v>31.951113473021234</v>
      </c>
      <c r="G2" s="2">
        <f>('[1]Pc, Summer, S2'!G2*Main!$B$5)+(_xlfn.IFNA(VLOOKUP($A2,'FL Ratio'!$A$3:$B$10,2,FALSE),0)*'FL Characterization'!G$2)</f>
        <v>31.668547161378864</v>
      </c>
      <c r="H2" s="2">
        <f>('[1]Pc, Summer, S2'!H2*Main!$B$5)+(_xlfn.IFNA(VLOOKUP($A2,'FL Ratio'!$A$3:$B$10,2,FALSE),0)*'FL Characterization'!H$2)</f>
        <v>34.18902361301906</v>
      </c>
      <c r="I2" s="2">
        <f>('[1]Pc, Summer, S2'!I2*Main!$B$5)+(_xlfn.IFNA(VLOOKUP($A2,'FL Ratio'!$A$3:$B$10,2,FALSE),0)*'FL Characterization'!I$2)</f>
        <v>40.590723677994461</v>
      </c>
      <c r="J2" s="2">
        <f>('[1]Pc, Summer, S2'!J2*Main!$B$5)+(_xlfn.IFNA(VLOOKUP($A2,'FL Ratio'!$A$3:$B$10,2,FALSE),0)*'FL Characterization'!J$2)</f>
        <v>46.261883150584659</v>
      </c>
      <c r="K2" s="2">
        <f>('[1]Pc, Summer, S2'!K2*Main!$B$5)+(_xlfn.IFNA(VLOOKUP($A2,'FL Ratio'!$A$3:$B$10,2,FALSE),0)*'FL Characterization'!K$2)</f>
        <v>47.683420574759168</v>
      </c>
      <c r="L2" s="2">
        <f>('[1]Pc, Summer, S2'!L2*Main!$B$5)+(_xlfn.IFNA(VLOOKUP($A2,'FL Ratio'!$A$3:$B$10,2,FALSE),0)*'FL Characterization'!L$2)</f>
        <v>47.200877079546139</v>
      </c>
      <c r="M2" s="2">
        <f>('[1]Pc, Summer, S2'!M2*Main!$B$5)+(_xlfn.IFNA(VLOOKUP($A2,'FL Ratio'!$A$3:$B$10,2,FALSE),0)*'FL Characterization'!M$2)</f>
        <v>48.535652170360976</v>
      </c>
      <c r="N2" s="2">
        <f>('[1]Pc, Summer, S2'!N2*Main!$B$5)+(_xlfn.IFNA(VLOOKUP($A2,'FL Ratio'!$A$3:$B$10,2,FALSE),0)*'FL Characterization'!N$2)</f>
        <v>49.201458980356357</v>
      </c>
      <c r="O2" s="2">
        <f>('[1]Pc, Summer, S2'!O2*Main!$B$5)+(_xlfn.IFNA(VLOOKUP($A2,'FL Ratio'!$A$3:$B$10,2,FALSE),0)*'FL Characterization'!O$2)</f>
        <v>48.291324164831458</v>
      </c>
      <c r="P2" s="2">
        <f>('[1]Pc, Summer, S2'!P2*Main!$B$5)+(_xlfn.IFNA(VLOOKUP($A2,'FL Ratio'!$A$3:$B$10,2,FALSE),0)*'FL Characterization'!P$2)</f>
        <v>46.404330593715677</v>
      </c>
      <c r="Q2" s="2">
        <f>('[1]Pc, Summer, S2'!Q2*Main!$B$5)+(_xlfn.IFNA(VLOOKUP($A2,'FL Ratio'!$A$3:$B$10,2,FALSE),0)*'FL Characterization'!Q$2)</f>
        <v>44.53663634461919</v>
      </c>
      <c r="R2" s="2">
        <f>('[1]Pc, Summer, S2'!R2*Main!$B$5)+(_xlfn.IFNA(VLOOKUP($A2,'FL Ratio'!$A$3:$B$10,2,FALSE),0)*'FL Characterization'!R$2)</f>
        <v>45.31365468720545</v>
      </c>
      <c r="S2" s="2">
        <f>('[1]Pc, Summer, S2'!S2*Main!$B$5)+(_xlfn.IFNA(VLOOKUP($A2,'FL Ratio'!$A$3:$B$10,2,FALSE),0)*'FL Characterization'!S$2)</f>
        <v>45.761342276065477</v>
      </c>
      <c r="T2" s="2">
        <f>('[1]Pc, Summer, S2'!T2*Main!$B$5)+(_xlfn.IFNA(VLOOKUP($A2,'FL Ratio'!$A$3:$B$10,2,FALSE),0)*'FL Characterization'!T$2)</f>
        <v>45.955582174561947</v>
      </c>
      <c r="U2" s="2">
        <f>('[1]Pc, Summer, S2'!U2*Main!$B$5)+(_xlfn.IFNA(VLOOKUP($A2,'FL Ratio'!$A$3:$B$10,2,FALSE),0)*'FL Characterization'!U$2)</f>
        <v>45.194806015831247</v>
      </c>
      <c r="V2" s="2">
        <f>('[1]Pc, Summer, S2'!V2*Main!$B$5)+(_xlfn.IFNA(VLOOKUP($A2,'FL Ratio'!$A$3:$B$10,2,FALSE),0)*'FL Characterization'!V$2)</f>
        <v>45.330596499276169</v>
      </c>
      <c r="W2" s="2">
        <f>('[1]Pc, Summer, S2'!W2*Main!$B$5)+(_xlfn.IFNA(VLOOKUP($A2,'FL Ratio'!$A$3:$B$10,2,FALSE),0)*'FL Characterization'!W$2)</f>
        <v>47.208097779420385</v>
      </c>
      <c r="X2" s="2">
        <f>('[1]Pc, Summer, S2'!X2*Main!$B$5)+(_xlfn.IFNA(VLOOKUP($A2,'FL Ratio'!$A$3:$B$10,2,FALSE),0)*'FL Characterization'!X$2)</f>
        <v>44.003661066968007</v>
      </c>
      <c r="Y2" s="2">
        <f>('[1]Pc, Summer, S2'!Y2*Main!$B$5)+(_xlfn.IFNA(VLOOKUP($A2,'FL Ratio'!$A$3:$B$10,2,FALSE),0)*'FL Characterization'!Y$2)</f>
        <v>40.337910740034623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38.282035957580071</v>
      </c>
      <c r="C3" s="2">
        <f>('[1]Pc, Summer, S2'!C3*Main!$B$5)+(_xlfn.IFNA(VLOOKUP($A3,'FL Ratio'!$A$3:$B$10,2,FALSE),0)*'FL Characterization'!C$2)</f>
        <v>35.090378630367852</v>
      </c>
      <c r="D3" s="2">
        <f>('[1]Pc, Summer, S2'!D3*Main!$B$5)+(_xlfn.IFNA(VLOOKUP($A3,'FL Ratio'!$A$3:$B$10,2,FALSE),0)*'FL Characterization'!D$2)</f>
        <v>33.26360707121826</v>
      </c>
      <c r="E3" s="2">
        <f>('[1]Pc, Summer, S2'!E3*Main!$B$5)+(_xlfn.IFNA(VLOOKUP($A3,'FL Ratio'!$A$3:$B$10,2,FALSE),0)*'FL Characterization'!E$2)</f>
        <v>32.050329801609166</v>
      </c>
      <c r="F3" s="2">
        <f>('[1]Pc, Summer, S2'!F3*Main!$B$5)+(_xlfn.IFNA(VLOOKUP($A3,'FL Ratio'!$A$3:$B$10,2,FALSE),0)*'FL Characterization'!F$2)</f>
        <v>31.749118764452003</v>
      </c>
      <c r="G3" s="2">
        <f>('[1]Pc, Summer, S2'!G3*Main!$B$5)+(_xlfn.IFNA(VLOOKUP($A3,'FL Ratio'!$A$3:$B$10,2,FALSE),0)*'FL Characterization'!G$2)</f>
        <v>33.736950947260219</v>
      </c>
      <c r="H3" s="2">
        <f>('[1]Pc, Summer, S2'!H3*Main!$B$5)+(_xlfn.IFNA(VLOOKUP($A3,'FL Ratio'!$A$3:$B$10,2,FALSE),0)*'FL Characterization'!H$2)</f>
        <v>42.236568208390167</v>
      </c>
      <c r="I3" s="2">
        <f>('[1]Pc, Summer, S2'!I3*Main!$B$5)+(_xlfn.IFNA(VLOOKUP($A3,'FL Ratio'!$A$3:$B$10,2,FALSE),0)*'FL Characterization'!I$2)</f>
        <v>50.4768504722947</v>
      </c>
      <c r="J3" s="2">
        <f>('[1]Pc, Summer, S2'!J3*Main!$B$5)+(_xlfn.IFNA(VLOOKUP($A3,'FL Ratio'!$A$3:$B$10,2,FALSE),0)*'FL Characterization'!J$2)</f>
        <v>52.641577186812121</v>
      </c>
      <c r="K3" s="2">
        <f>('[1]Pc, Summer, S2'!K3*Main!$B$5)+(_xlfn.IFNA(VLOOKUP($A3,'FL Ratio'!$A$3:$B$10,2,FALSE),0)*'FL Characterization'!K$2)</f>
        <v>51.64348357698217</v>
      </c>
      <c r="L3" s="2">
        <f>('[1]Pc, Summer, S2'!L3*Main!$B$5)+(_xlfn.IFNA(VLOOKUP($A3,'FL Ratio'!$A$3:$B$10,2,FALSE),0)*'FL Characterization'!L$2)</f>
        <v>51.489374488639477</v>
      </c>
      <c r="M3" s="2">
        <f>('[1]Pc, Summer, S2'!M3*Main!$B$5)+(_xlfn.IFNA(VLOOKUP($A3,'FL Ratio'!$A$3:$B$10,2,FALSE),0)*'FL Characterization'!M$2)</f>
        <v>54.900535691172273</v>
      </c>
      <c r="N3" s="2">
        <f>('[1]Pc, Summer, S2'!N3*Main!$B$5)+(_xlfn.IFNA(VLOOKUP($A3,'FL Ratio'!$A$3:$B$10,2,FALSE),0)*'FL Characterization'!N$2)</f>
        <v>55.038307269255967</v>
      </c>
      <c r="O3" s="2">
        <f>('[1]Pc, Summer, S2'!O3*Main!$B$5)+(_xlfn.IFNA(VLOOKUP($A3,'FL Ratio'!$A$3:$B$10,2,FALSE),0)*'FL Characterization'!O$2)</f>
        <v>55.350032860071586</v>
      </c>
      <c r="P3" s="2">
        <f>('[1]Pc, Summer, S2'!P3*Main!$B$5)+(_xlfn.IFNA(VLOOKUP($A3,'FL Ratio'!$A$3:$B$10,2,FALSE),0)*'FL Characterization'!P$2)</f>
        <v>52.652626923882977</v>
      </c>
      <c r="Q3" s="2">
        <f>('[1]Pc, Summer, S2'!Q3*Main!$B$5)+(_xlfn.IFNA(VLOOKUP($A3,'FL Ratio'!$A$3:$B$10,2,FALSE),0)*'FL Characterization'!Q$2)</f>
        <v>49.873162283125687</v>
      </c>
      <c r="R3" s="2">
        <f>('[1]Pc, Summer, S2'!R3*Main!$B$5)+(_xlfn.IFNA(VLOOKUP($A3,'FL Ratio'!$A$3:$B$10,2,FALSE),0)*'FL Characterization'!R$2)</f>
        <v>46.19434907361363</v>
      </c>
      <c r="S3" s="2">
        <f>('[1]Pc, Summer, S2'!S3*Main!$B$5)+(_xlfn.IFNA(VLOOKUP($A3,'FL Ratio'!$A$3:$B$10,2,FALSE),0)*'FL Characterization'!S$2)</f>
        <v>46.610447072068411</v>
      </c>
      <c r="T3" s="2">
        <f>('[1]Pc, Summer, S2'!T3*Main!$B$5)+(_xlfn.IFNA(VLOOKUP($A3,'FL Ratio'!$A$3:$B$10,2,FALSE),0)*'FL Characterization'!T$2)</f>
        <v>46.272744348684817</v>
      </c>
      <c r="U3" s="2">
        <f>('[1]Pc, Summer, S2'!U3*Main!$B$5)+(_xlfn.IFNA(VLOOKUP($A3,'FL Ratio'!$A$3:$B$10,2,FALSE),0)*'FL Characterization'!U$2)</f>
        <v>46.130333996928272</v>
      </c>
      <c r="V3" s="2">
        <f>('[1]Pc, Summer, S2'!V3*Main!$B$5)+(_xlfn.IFNA(VLOOKUP($A3,'FL Ratio'!$A$3:$B$10,2,FALSE),0)*'FL Characterization'!V$2)</f>
        <v>46.305215764394781</v>
      </c>
      <c r="W3" s="2">
        <f>('[1]Pc, Summer, S2'!W3*Main!$B$5)+(_xlfn.IFNA(VLOOKUP($A3,'FL Ratio'!$A$3:$B$10,2,FALSE),0)*'FL Characterization'!W$2)</f>
        <v>46.109614141189539</v>
      </c>
      <c r="X3" s="2">
        <f>('[1]Pc, Summer, S2'!X3*Main!$B$5)+(_xlfn.IFNA(VLOOKUP($A3,'FL Ratio'!$A$3:$B$10,2,FALSE),0)*'FL Characterization'!X$2)</f>
        <v>45.591962566415901</v>
      </c>
      <c r="Y3" s="2">
        <f>('[1]Pc, Summer, S2'!Y3*Main!$B$5)+(_xlfn.IFNA(VLOOKUP($A3,'FL Ratio'!$A$3:$B$10,2,FALSE),0)*'FL Characterization'!Y$2)</f>
        <v>43.04830346941025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50.955305924770222</v>
      </c>
      <c r="C4" s="2">
        <f>('[1]Pc, Summer, S2'!C4*Main!$B$5)+(_xlfn.IFNA(VLOOKUP($A4,'FL Ratio'!$A$3:$B$10,2,FALSE),0)*'FL Characterization'!C$2)</f>
        <v>45.146954487320912</v>
      </c>
      <c r="D4" s="2">
        <f>('[1]Pc, Summer, S2'!D4*Main!$B$5)+(_xlfn.IFNA(VLOOKUP($A4,'FL Ratio'!$A$3:$B$10,2,FALSE),0)*'FL Characterization'!D$2)</f>
        <v>42.592765330636041</v>
      </c>
      <c r="E4" s="2">
        <f>('[1]Pc, Summer, S2'!E4*Main!$B$5)+(_xlfn.IFNA(VLOOKUP($A4,'FL Ratio'!$A$3:$B$10,2,FALSE),0)*'FL Characterization'!E$2)</f>
        <v>41.205968288615921</v>
      </c>
      <c r="F4" s="2">
        <f>('[1]Pc, Summer, S2'!F4*Main!$B$5)+(_xlfn.IFNA(VLOOKUP($A4,'FL Ratio'!$A$3:$B$10,2,FALSE),0)*'FL Characterization'!F$2)</f>
        <v>43.280804456592918</v>
      </c>
      <c r="G4" s="2">
        <f>('[1]Pc, Summer, S2'!G4*Main!$B$5)+(_xlfn.IFNA(VLOOKUP($A4,'FL Ratio'!$A$3:$B$10,2,FALSE),0)*'FL Characterization'!G$2)</f>
        <v>39.550658422364407</v>
      </c>
      <c r="H4" s="2">
        <f>('[1]Pc, Summer, S2'!H4*Main!$B$5)+(_xlfn.IFNA(VLOOKUP($A4,'FL Ratio'!$A$3:$B$10,2,FALSE),0)*'FL Characterization'!H$2)</f>
        <v>46.443777137713177</v>
      </c>
      <c r="I4" s="2">
        <f>('[1]Pc, Summer, S2'!I4*Main!$B$5)+(_xlfn.IFNA(VLOOKUP($A4,'FL Ratio'!$A$3:$B$10,2,FALSE),0)*'FL Characterization'!I$2)</f>
        <v>52.507446128633106</v>
      </c>
      <c r="J4" s="2">
        <f>('[1]Pc, Summer, S2'!J4*Main!$B$5)+(_xlfn.IFNA(VLOOKUP($A4,'FL Ratio'!$A$3:$B$10,2,FALSE),0)*'FL Characterization'!J$2)</f>
        <v>59.092337971033793</v>
      </c>
      <c r="K4" s="2">
        <f>('[1]Pc, Summer, S2'!K4*Main!$B$5)+(_xlfn.IFNA(VLOOKUP($A4,'FL Ratio'!$A$3:$B$10,2,FALSE),0)*'FL Characterization'!K$2)</f>
        <v>63.50506278136519</v>
      </c>
      <c r="L4" s="2">
        <f>('[1]Pc, Summer, S2'!L4*Main!$B$5)+(_xlfn.IFNA(VLOOKUP($A4,'FL Ratio'!$A$3:$B$10,2,FALSE),0)*'FL Characterization'!L$2)</f>
        <v>65.397531505372243</v>
      </c>
      <c r="M4" s="2">
        <f>('[1]Pc, Summer, S2'!M4*Main!$B$5)+(_xlfn.IFNA(VLOOKUP($A4,'FL Ratio'!$A$3:$B$10,2,FALSE),0)*'FL Characterization'!M$2)</f>
        <v>66.475989593209661</v>
      </c>
      <c r="N4" s="2">
        <f>('[1]Pc, Summer, S2'!N4*Main!$B$5)+(_xlfn.IFNA(VLOOKUP($A4,'FL Ratio'!$A$3:$B$10,2,FALSE),0)*'FL Characterization'!N$2)</f>
        <v>67.91446787643018</v>
      </c>
      <c r="O4" s="2">
        <f>('[1]Pc, Summer, S2'!O4*Main!$B$5)+(_xlfn.IFNA(VLOOKUP($A4,'FL Ratio'!$A$3:$B$10,2,FALSE),0)*'FL Characterization'!O$2)</f>
        <v>68.779407261636322</v>
      </c>
      <c r="P4" s="2">
        <f>('[1]Pc, Summer, S2'!P4*Main!$B$5)+(_xlfn.IFNA(VLOOKUP($A4,'FL Ratio'!$A$3:$B$10,2,FALSE),0)*'FL Characterization'!P$2)</f>
        <v>69.062719406842504</v>
      </c>
      <c r="Q4" s="2">
        <f>('[1]Pc, Summer, S2'!Q4*Main!$B$5)+(_xlfn.IFNA(VLOOKUP($A4,'FL Ratio'!$A$3:$B$10,2,FALSE),0)*'FL Characterization'!Q$2)</f>
        <v>66.47446994693486</v>
      </c>
      <c r="R4" s="2">
        <f>('[1]Pc, Summer, S2'!R4*Main!$B$5)+(_xlfn.IFNA(VLOOKUP($A4,'FL Ratio'!$A$3:$B$10,2,FALSE),0)*'FL Characterization'!R$2)</f>
        <v>66.193338775217285</v>
      </c>
      <c r="S4" s="2">
        <f>('[1]Pc, Summer, S2'!S4*Main!$B$5)+(_xlfn.IFNA(VLOOKUP($A4,'FL Ratio'!$A$3:$B$10,2,FALSE),0)*'FL Characterization'!S$2)</f>
        <v>64.044380024252561</v>
      </c>
      <c r="T4" s="2">
        <f>('[1]Pc, Summer, S2'!T4*Main!$B$5)+(_xlfn.IFNA(VLOOKUP($A4,'FL Ratio'!$A$3:$B$10,2,FALSE),0)*'FL Characterization'!T$2)</f>
        <v>64.039350448946976</v>
      </c>
      <c r="U4" s="2">
        <f>('[1]Pc, Summer, S2'!U4*Main!$B$5)+(_xlfn.IFNA(VLOOKUP($A4,'FL Ratio'!$A$3:$B$10,2,FALSE),0)*'FL Characterization'!U$2)</f>
        <v>64.419510078901197</v>
      </c>
      <c r="V4" s="2">
        <f>('[1]Pc, Summer, S2'!V4*Main!$B$5)+(_xlfn.IFNA(VLOOKUP($A4,'FL Ratio'!$A$3:$B$10,2,FALSE),0)*'FL Characterization'!V$2)</f>
        <v>64.067622244513544</v>
      </c>
      <c r="W4" s="2">
        <f>('[1]Pc, Summer, S2'!W4*Main!$B$5)+(_xlfn.IFNA(VLOOKUP($A4,'FL Ratio'!$A$3:$B$10,2,FALSE),0)*'FL Characterization'!W$2)</f>
        <v>66.150360316326513</v>
      </c>
      <c r="X4" s="2">
        <f>('[1]Pc, Summer, S2'!X4*Main!$B$5)+(_xlfn.IFNA(VLOOKUP($A4,'FL Ratio'!$A$3:$B$10,2,FALSE),0)*'FL Characterization'!X$2)</f>
        <v>65.765256693092667</v>
      </c>
      <c r="Y4" s="2">
        <f>('[1]Pc, Summer, S2'!Y4*Main!$B$5)+(_xlfn.IFNA(VLOOKUP($A4,'FL Ratio'!$A$3:$B$10,2,FALSE),0)*'FL Characterization'!Y$2)</f>
        <v>59.226943964224823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50CD1-D625-4A92-9BA0-2060A94ABB5B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35.881395031326846</v>
      </c>
      <c r="C2" s="2">
        <f>('[1]Pc, Summer, S2'!C2*Main!$B$5)+(_xlfn.IFNA(VLOOKUP($A2,'FL Ratio'!$A$3:$B$10,2,FALSE),0)*'FL Characterization'!C$2)</f>
        <v>32.599853104438857</v>
      </c>
      <c r="D2" s="2">
        <f>('[1]Pc, Summer, S2'!D2*Main!$B$5)+(_xlfn.IFNA(VLOOKUP($A2,'FL Ratio'!$A$3:$B$10,2,FALSE),0)*'FL Characterization'!D$2)</f>
        <v>32.030418397589237</v>
      </c>
      <c r="E2" s="2">
        <f>('[1]Pc, Summer, S2'!E2*Main!$B$5)+(_xlfn.IFNA(VLOOKUP($A2,'FL Ratio'!$A$3:$B$10,2,FALSE),0)*'FL Characterization'!E$2)</f>
        <v>31.948594642293425</v>
      </c>
      <c r="F2" s="2">
        <f>('[1]Pc, Summer, S2'!F2*Main!$B$5)+(_xlfn.IFNA(VLOOKUP($A2,'FL Ratio'!$A$3:$B$10,2,FALSE),0)*'FL Characterization'!F$2)</f>
        <v>31.951113473021234</v>
      </c>
      <c r="G2" s="2">
        <f>('[1]Pc, Summer, S2'!G2*Main!$B$5)+(_xlfn.IFNA(VLOOKUP($A2,'FL Ratio'!$A$3:$B$10,2,FALSE),0)*'FL Characterization'!G$2)</f>
        <v>31.668547161378864</v>
      </c>
      <c r="H2" s="2">
        <f>('[1]Pc, Summer, S2'!H2*Main!$B$5)+(_xlfn.IFNA(VLOOKUP($A2,'FL Ratio'!$A$3:$B$10,2,FALSE),0)*'FL Characterization'!H$2)</f>
        <v>34.18902361301906</v>
      </c>
      <c r="I2" s="2">
        <f>('[1]Pc, Summer, S2'!I2*Main!$B$5)+(_xlfn.IFNA(VLOOKUP($A2,'FL Ratio'!$A$3:$B$10,2,FALSE),0)*'FL Characterization'!I$2)</f>
        <v>40.590723677994461</v>
      </c>
      <c r="J2" s="2">
        <f>('[1]Pc, Summer, S2'!J2*Main!$B$5)+(_xlfn.IFNA(VLOOKUP($A2,'FL Ratio'!$A$3:$B$10,2,FALSE),0)*'FL Characterization'!J$2)</f>
        <v>46.261883150584659</v>
      </c>
      <c r="K2" s="2">
        <f>('[1]Pc, Summer, S2'!K2*Main!$B$5)+(_xlfn.IFNA(VLOOKUP($A2,'FL Ratio'!$A$3:$B$10,2,FALSE),0)*'FL Characterization'!K$2)</f>
        <v>47.683420574759168</v>
      </c>
      <c r="L2" s="2">
        <f>('[1]Pc, Summer, S2'!L2*Main!$B$5)+(_xlfn.IFNA(VLOOKUP($A2,'FL Ratio'!$A$3:$B$10,2,FALSE),0)*'FL Characterization'!L$2)</f>
        <v>47.200877079546139</v>
      </c>
      <c r="M2" s="2">
        <f>('[1]Pc, Summer, S2'!M2*Main!$B$5)+(_xlfn.IFNA(VLOOKUP($A2,'FL Ratio'!$A$3:$B$10,2,FALSE),0)*'FL Characterization'!M$2)</f>
        <v>48.535652170360976</v>
      </c>
      <c r="N2" s="2">
        <f>('[1]Pc, Summer, S2'!N2*Main!$B$5)+(_xlfn.IFNA(VLOOKUP($A2,'FL Ratio'!$A$3:$B$10,2,FALSE),0)*'FL Characterization'!N$2)</f>
        <v>49.201458980356357</v>
      </c>
      <c r="O2" s="2">
        <f>('[1]Pc, Summer, S2'!O2*Main!$B$5)+(_xlfn.IFNA(VLOOKUP($A2,'FL Ratio'!$A$3:$B$10,2,FALSE),0)*'FL Characterization'!O$2)</f>
        <v>48.291324164831458</v>
      </c>
      <c r="P2" s="2">
        <f>('[1]Pc, Summer, S2'!P2*Main!$B$5)+(_xlfn.IFNA(VLOOKUP($A2,'FL Ratio'!$A$3:$B$10,2,FALSE),0)*'FL Characterization'!P$2)</f>
        <v>46.404330593715677</v>
      </c>
      <c r="Q2" s="2">
        <f>('[1]Pc, Summer, S2'!Q2*Main!$B$5)+(_xlfn.IFNA(VLOOKUP($A2,'FL Ratio'!$A$3:$B$10,2,FALSE),0)*'FL Characterization'!Q$2)</f>
        <v>44.53663634461919</v>
      </c>
      <c r="R2" s="2">
        <f>('[1]Pc, Summer, S2'!R2*Main!$B$5)+(_xlfn.IFNA(VLOOKUP($A2,'FL Ratio'!$A$3:$B$10,2,FALSE),0)*'FL Characterization'!R$2)</f>
        <v>45.31365468720545</v>
      </c>
      <c r="S2" s="2">
        <f>('[1]Pc, Summer, S2'!S2*Main!$B$5)+(_xlfn.IFNA(VLOOKUP($A2,'FL Ratio'!$A$3:$B$10,2,FALSE),0)*'FL Characterization'!S$2)</f>
        <v>45.761342276065477</v>
      </c>
      <c r="T2" s="2">
        <f>('[1]Pc, Summer, S2'!T2*Main!$B$5)+(_xlfn.IFNA(VLOOKUP($A2,'FL Ratio'!$A$3:$B$10,2,FALSE),0)*'FL Characterization'!T$2)</f>
        <v>45.955582174561947</v>
      </c>
      <c r="U2" s="2">
        <f>('[1]Pc, Summer, S2'!U2*Main!$B$5)+(_xlfn.IFNA(VLOOKUP($A2,'FL Ratio'!$A$3:$B$10,2,FALSE),0)*'FL Characterization'!U$2)</f>
        <v>45.194806015831247</v>
      </c>
      <c r="V2" s="2">
        <f>('[1]Pc, Summer, S2'!V2*Main!$B$5)+(_xlfn.IFNA(VLOOKUP($A2,'FL Ratio'!$A$3:$B$10,2,FALSE),0)*'FL Characterization'!V$2)</f>
        <v>45.330596499276169</v>
      </c>
      <c r="W2" s="2">
        <f>('[1]Pc, Summer, S2'!W2*Main!$B$5)+(_xlfn.IFNA(VLOOKUP($A2,'FL Ratio'!$A$3:$B$10,2,FALSE),0)*'FL Characterization'!W$2)</f>
        <v>47.208097779420385</v>
      </c>
      <c r="X2" s="2">
        <f>('[1]Pc, Summer, S2'!X2*Main!$B$5)+(_xlfn.IFNA(VLOOKUP($A2,'FL Ratio'!$A$3:$B$10,2,FALSE),0)*'FL Characterization'!X$2)</f>
        <v>44.003661066968007</v>
      </c>
      <c r="Y2" s="2">
        <f>('[1]Pc, Summer, S2'!Y2*Main!$B$5)+(_xlfn.IFNA(VLOOKUP($A2,'FL Ratio'!$A$3:$B$10,2,FALSE),0)*'FL Characterization'!Y$2)</f>
        <v>40.337910740034623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38.282035957580071</v>
      </c>
      <c r="C3" s="2">
        <f>('[1]Pc, Summer, S2'!C3*Main!$B$5)+(_xlfn.IFNA(VLOOKUP($A3,'FL Ratio'!$A$3:$B$10,2,FALSE),0)*'FL Characterization'!C$2)</f>
        <v>35.090378630367852</v>
      </c>
      <c r="D3" s="2">
        <f>('[1]Pc, Summer, S2'!D3*Main!$B$5)+(_xlfn.IFNA(VLOOKUP($A3,'FL Ratio'!$A$3:$B$10,2,FALSE),0)*'FL Characterization'!D$2)</f>
        <v>33.26360707121826</v>
      </c>
      <c r="E3" s="2">
        <f>('[1]Pc, Summer, S2'!E3*Main!$B$5)+(_xlfn.IFNA(VLOOKUP($A3,'FL Ratio'!$A$3:$B$10,2,FALSE),0)*'FL Characterization'!E$2)</f>
        <v>32.050329801609166</v>
      </c>
      <c r="F3" s="2">
        <f>('[1]Pc, Summer, S2'!F3*Main!$B$5)+(_xlfn.IFNA(VLOOKUP($A3,'FL Ratio'!$A$3:$B$10,2,FALSE),0)*'FL Characterization'!F$2)</f>
        <v>31.749118764452003</v>
      </c>
      <c r="G3" s="2">
        <f>('[1]Pc, Summer, S2'!G3*Main!$B$5)+(_xlfn.IFNA(VLOOKUP($A3,'FL Ratio'!$A$3:$B$10,2,FALSE),0)*'FL Characterization'!G$2)</f>
        <v>33.736950947260219</v>
      </c>
      <c r="H3" s="2">
        <f>('[1]Pc, Summer, S2'!H3*Main!$B$5)+(_xlfn.IFNA(VLOOKUP($A3,'FL Ratio'!$A$3:$B$10,2,FALSE),0)*'FL Characterization'!H$2)</f>
        <v>42.236568208390167</v>
      </c>
      <c r="I3" s="2">
        <f>('[1]Pc, Summer, S2'!I3*Main!$B$5)+(_xlfn.IFNA(VLOOKUP($A3,'FL Ratio'!$A$3:$B$10,2,FALSE),0)*'FL Characterization'!I$2)</f>
        <v>50.4768504722947</v>
      </c>
      <c r="J3" s="2">
        <f>('[1]Pc, Summer, S2'!J3*Main!$B$5)+(_xlfn.IFNA(VLOOKUP($A3,'FL Ratio'!$A$3:$B$10,2,FALSE),0)*'FL Characterization'!J$2)</f>
        <v>52.641577186812121</v>
      </c>
      <c r="K3" s="2">
        <f>('[1]Pc, Summer, S2'!K3*Main!$B$5)+(_xlfn.IFNA(VLOOKUP($A3,'FL Ratio'!$A$3:$B$10,2,FALSE),0)*'FL Characterization'!K$2)</f>
        <v>51.64348357698217</v>
      </c>
      <c r="L3" s="2">
        <f>('[1]Pc, Summer, S2'!L3*Main!$B$5)+(_xlfn.IFNA(VLOOKUP($A3,'FL Ratio'!$A$3:$B$10,2,FALSE),0)*'FL Characterization'!L$2)</f>
        <v>51.489374488639477</v>
      </c>
      <c r="M3" s="2">
        <f>('[1]Pc, Summer, S2'!M3*Main!$B$5)+(_xlfn.IFNA(VLOOKUP($A3,'FL Ratio'!$A$3:$B$10,2,FALSE),0)*'FL Characterization'!M$2)</f>
        <v>54.900535691172273</v>
      </c>
      <c r="N3" s="2">
        <f>('[1]Pc, Summer, S2'!N3*Main!$B$5)+(_xlfn.IFNA(VLOOKUP($A3,'FL Ratio'!$A$3:$B$10,2,FALSE),0)*'FL Characterization'!N$2)</f>
        <v>55.038307269255967</v>
      </c>
      <c r="O3" s="2">
        <f>('[1]Pc, Summer, S2'!O3*Main!$B$5)+(_xlfn.IFNA(VLOOKUP($A3,'FL Ratio'!$A$3:$B$10,2,FALSE),0)*'FL Characterization'!O$2)</f>
        <v>55.350032860071586</v>
      </c>
      <c r="P3" s="2">
        <f>('[1]Pc, Summer, S2'!P3*Main!$B$5)+(_xlfn.IFNA(VLOOKUP($A3,'FL Ratio'!$A$3:$B$10,2,FALSE),0)*'FL Characterization'!P$2)</f>
        <v>52.652626923882977</v>
      </c>
      <c r="Q3" s="2">
        <f>('[1]Pc, Summer, S2'!Q3*Main!$B$5)+(_xlfn.IFNA(VLOOKUP($A3,'FL Ratio'!$A$3:$B$10,2,FALSE),0)*'FL Characterization'!Q$2)</f>
        <v>49.873162283125687</v>
      </c>
      <c r="R3" s="2">
        <f>('[1]Pc, Summer, S2'!R3*Main!$B$5)+(_xlfn.IFNA(VLOOKUP($A3,'FL Ratio'!$A$3:$B$10,2,FALSE),0)*'FL Characterization'!R$2)</f>
        <v>46.19434907361363</v>
      </c>
      <c r="S3" s="2">
        <f>('[1]Pc, Summer, S2'!S3*Main!$B$5)+(_xlfn.IFNA(VLOOKUP($A3,'FL Ratio'!$A$3:$B$10,2,FALSE),0)*'FL Characterization'!S$2)</f>
        <v>46.610447072068411</v>
      </c>
      <c r="T3" s="2">
        <f>('[1]Pc, Summer, S2'!T3*Main!$B$5)+(_xlfn.IFNA(VLOOKUP($A3,'FL Ratio'!$A$3:$B$10,2,FALSE),0)*'FL Characterization'!T$2)</f>
        <v>46.272744348684817</v>
      </c>
      <c r="U3" s="2">
        <f>('[1]Pc, Summer, S2'!U3*Main!$B$5)+(_xlfn.IFNA(VLOOKUP($A3,'FL Ratio'!$A$3:$B$10,2,FALSE),0)*'FL Characterization'!U$2)</f>
        <v>46.130333996928272</v>
      </c>
      <c r="V3" s="2">
        <f>('[1]Pc, Summer, S2'!V3*Main!$B$5)+(_xlfn.IFNA(VLOOKUP($A3,'FL Ratio'!$A$3:$B$10,2,FALSE),0)*'FL Characterization'!V$2)</f>
        <v>46.305215764394781</v>
      </c>
      <c r="W3" s="2">
        <f>('[1]Pc, Summer, S2'!W3*Main!$B$5)+(_xlfn.IFNA(VLOOKUP($A3,'FL Ratio'!$A$3:$B$10,2,FALSE),0)*'FL Characterization'!W$2)</f>
        <v>46.109614141189539</v>
      </c>
      <c r="X3" s="2">
        <f>('[1]Pc, Summer, S2'!X3*Main!$B$5)+(_xlfn.IFNA(VLOOKUP($A3,'FL Ratio'!$A$3:$B$10,2,FALSE),0)*'FL Characterization'!X$2)</f>
        <v>45.591962566415901</v>
      </c>
      <c r="Y3" s="2">
        <f>('[1]Pc, Summer, S2'!Y3*Main!$B$5)+(_xlfn.IFNA(VLOOKUP($A3,'FL Ratio'!$A$3:$B$10,2,FALSE),0)*'FL Characterization'!Y$2)</f>
        <v>43.04830346941025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50.955305924770222</v>
      </c>
      <c r="C4" s="2">
        <f>('[1]Pc, Summer, S2'!C4*Main!$B$5)+(_xlfn.IFNA(VLOOKUP($A4,'FL Ratio'!$A$3:$B$10,2,FALSE),0)*'FL Characterization'!C$2)</f>
        <v>45.146954487320912</v>
      </c>
      <c r="D4" s="2">
        <f>('[1]Pc, Summer, S2'!D4*Main!$B$5)+(_xlfn.IFNA(VLOOKUP($A4,'FL Ratio'!$A$3:$B$10,2,FALSE),0)*'FL Characterization'!D$2)</f>
        <v>42.592765330636041</v>
      </c>
      <c r="E4" s="2">
        <f>('[1]Pc, Summer, S2'!E4*Main!$B$5)+(_xlfn.IFNA(VLOOKUP($A4,'FL Ratio'!$A$3:$B$10,2,FALSE),0)*'FL Characterization'!E$2)</f>
        <v>41.205968288615921</v>
      </c>
      <c r="F4" s="2">
        <f>('[1]Pc, Summer, S2'!F4*Main!$B$5)+(_xlfn.IFNA(VLOOKUP($A4,'FL Ratio'!$A$3:$B$10,2,FALSE),0)*'FL Characterization'!F$2)</f>
        <v>43.280804456592918</v>
      </c>
      <c r="G4" s="2">
        <f>('[1]Pc, Summer, S2'!G4*Main!$B$5)+(_xlfn.IFNA(VLOOKUP($A4,'FL Ratio'!$A$3:$B$10,2,FALSE),0)*'FL Characterization'!G$2)</f>
        <v>39.550658422364407</v>
      </c>
      <c r="H4" s="2">
        <f>('[1]Pc, Summer, S2'!H4*Main!$B$5)+(_xlfn.IFNA(VLOOKUP($A4,'FL Ratio'!$A$3:$B$10,2,FALSE),0)*'FL Characterization'!H$2)</f>
        <v>46.443777137713177</v>
      </c>
      <c r="I4" s="2">
        <f>('[1]Pc, Summer, S2'!I4*Main!$B$5)+(_xlfn.IFNA(VLOOKUP($A4,'FL Ratio'!$A$3:$B$10,2,FALSE),0)*'FL Characterization'!I$2)</f>
        <v>52.507446128633106</v>
      </c>
      <c r="J4" s="2">
        <f>('[1]Pc, Summer, S2'!J4*Main!$B$5)+(_xlfn.IFNA(VLOOKUP($A4,'FL Ratio'!$A$3:$B$10,2,FALSE),0)*'FL Characterization'!J$2)</f>
        <v>59.092337971033793</v>
      </c>
      <c r="K4" s="2">
        <f>('[1]Pc, Summer, S2'!K4*Main!$B$5)+(_xlfn.IFNA(VLOOKUP($A4,'FL Ratio'!$A$3:$B$10,2,FALSE),0)*'FL Characterization'!K$2)</f>
        <v>63.50506278136519</v>
      </c>
      <c r="L4" s="2">
        <f>('[1]Pc, Summer, S2'!L4*Main!$B$5)+(_xlfn.IFNA(VLOOKUP($A4,'FL Ratio'!$A$3:$B$10,2,FALSE),0)*'FL Characterization'!L$2)</f>
        <v>65.397531505372243</v>
      </c>
      <c r="M4" s="2">
        <f>('[1]Pc, Summer, S2'!M4*Main!$B$5)+(_xlfn.IFNA(VLOOKUP($A4,'FL Ratio'!$A$3:$B$10,2,FALSE),0)*'FL Characterization'!M$2)</f>
        <v>66.475989593209661</v>
      </c>
      <c r="N4" s="2">
        <f>('[1]Pc, Summer, S2'!N4*Main!$B$5)+(_xlfn.IFNA(VLOOKUP($A4,'FL Ratio'!$A$3:$B$10,2,FALSE),0)*'FL Characterization'!N$2)</f>
        <v>67.91446787643018</v>
      </c>
      <c r="O4" s="2">
        <f>('[1]Pc, Summer, S2'!O4*Main!$B$5)+(_xlfn.IFNA(VLOOKUP($A4,'FL Ratio'!$A$3:$B$10,2,FALSE),0)*'FL Characterization'!O$2)</f>
        <v>68.779407261636322</v>
      </c>
      <c r="P4" s="2">
        <f>('[1]Pc, Summer, S2'!P4*Main!$B$5)+(_xlfn.IFNA(VLOOKUP($A4,'FL Ratio'!$A$3:$B$10,2,FALSE),0)*'FL Characterization'!P$2)</f>
        <v>69.062719406842504</v>
      </c>
      <c r="Q4" s="2">
        <f>('[1]Pc, Summer, S2'!Q4*Main!$B$5)+(_xlfn.IFNA(VLOOKUP($A4,'FL Ratio'!$A$3:$B$10,2,FALSE),0)*'FL Characterization'!Q$2)</f>
        <v>66.47446994693486</v>
      </c>
      <c r="R4" s="2">
        <f>('[1]Pc, Summer, S2'!R4*Main!$B$5)+(_xlfn.IFNA(VLOOKUP($A4,'FL Ratio'!$A$3:$B$10,2,FALSE),0)*'FL Characterization'!R$2)</f>
        <v>66.193338775217285</v>
      </c>
      <c r="S4" s="2">
        <f>('[1]Pc, Summer, S2'!S4*Main!$B$5)+(_xlfn.IFNA(VLOOKUP($A4,'FL Ratio'!$A$3:$B$10,2,FALSE),0)*'FL Characterization'!S$2)</f>
        <v>64.044380024252561</v>
      </c>
      <c r="T4" s="2">
        <f>('[1]Pc, Summer, S2'!T4*Main!$B$5)+(_xlfn.IFNA(VLOOKUP($A4,'FL Ratio'!$A$3:$B$10,2,FALSE),0)*'FL Characterization'!T$2)</f>
        <v>64.039350448946976</v>
      </c>
      <c r="U4" s="2">
        <f>('[1]Pc, Summer, S2'!U4*Main!$B$5)+(_xlfn.IFNA(VLOOKUP($A4,'FL Ratio'!$A$3:$B$10,2,FALSE),0)*'FL Characterization'!U$2)</f>
        <v>64.419510078901197</v>
      </c>
      <c r="V4" s="2">
        <f>('[1]Pc, Summer, S2'!V4*Main!$B$5)+(_xlfn.IFNA(VLOOKUP($A4,'FL Ratio'!$A$3:$B$10,2,FALSE),0)*'FL Characterization'!V$2)</f>
        <v>64.067622244513544</v>
      </c>
      <c r="W4" s="2">
        <f>('[1]Pc, Summer, S2'!W4*Main!$B$5)+(_xlfn.IFNA(VLOOKUP($A4,'FL Ratio'!$A$3:$B$10,2,FALSE),0)*'FL Characterization'!W$2)</f>
        <v>66.150360316326513</v>
      </c>
      <c r="X4" s="2">
        <f>('[1]Pc, Summer, S2'!X4*Main!$B$5)+(_xlfn.IFNA(VLOOKUP($A4,'FL Ratio'!$A$3:$B$10,2,FALSE),0)*'FL Characterization'!X$2)</f>
        <v>65.765256693092667</v>
      </c>
      <c r="Y4" s="2">
        <f>('[1]Pc, Summer, S2'!Y4*Main!$B$5)+(_xlfn.IFNA(VLOOKUP($A4,'FL Ratio'!$A$3:$B$10,2,FALSE),0)*'FL Characterization'!Y$2)</f>
        <v>59.226943964224823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B092C-A374-4AA2-A2BC-FB6911C52662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35.881395031326846</v>
      </c>
      <c r="C2" s="2">
        <f>('[1]Pc, Summer, S2'!C2*Main!$B$5)+(_xlfn.IFNA(VLOOKUP($A2,'FL Ratio'!$A$3:$B$10,2,FALSE),0)*'FL Characterization'!C$2)</f>
        <v>32.599853104438857</v>
      </c>
      <c r="D2" s="2">
        <f>('[1]Pc, Summer, S2'!D2*Main!$B$5)+(_xlfn.IFNA(VLOOKUP($A2,'FL Ratio'!$A$3:$B$10,2,FALSE),0)*'FL Characterization'!D$2)</f>
        <v>32.030418397589237</v>
      </c>
      <c r="E2" s="2">
        <f>('[1]Pc, Summer, S2'!E2*Main!$B$5)+(_xlfn.IFNA(VLOOKUP($A2,'FL Ratio'!$A$3:$B$10,2,FALSE),0)*'FL Characterization'!E$2)</f>
        <v>31.948594642293425</v>
      </c>
      <c r="F2" s="2">
        <f>('[1]Pc, Summer, S2'!F2*Main!$B$5)+(_xlfn.IFNA(VLOOKUP($A2,'FL Ratio'!$A$3:$B$10,2,FALSE),0)*'FL Characterization'!F$2)</f>
        <v>31.951113473021234</v>
      </c>
      <c r="G2" s="2">
        <f>('[1]Pc, Summer, S2'!G2*Main!$B$5)+(_xlfn.IFNA(VLOOKUP($A2,'FL Ratio'!$A$3:$B$10,2,FALSE),0)*'FL Characterization'!G$2)</f>
        <v>31.668547161378864</v>
      </c>
      <c r="H2" s="2">
        <f>('[1]Pc, Summer, S2'!H2*Main!$B$5)+(_xlfn.IFNA(VLOOKUP($A2,'FL Ratio'!$A$3:$B$10,2,FALSE),0)*'FL Characterization'!H$2)</f>
        <v>34.18902361301906</v>
      </c>
      <c r="I2" s="2">
        <f>('[1]Pc, Summer, S2'!I2*Main!$B$5)+(_xlfn.IFNA(VLOOKUP($A2,'FL Ratio'!$A$3:$B$10,2,FALSE),0)*'FL Characterization'!I$2)</f>
        <v>40.590723677994461</v>
      </c>
      <c r="J2" s="2">
        <f>('[1]Pc, Summer, S2'!J2*Main!$B$5)+(_xlfn.IFNA(VLOOKUP($A2,'FL Ratio'!$A$3:$B$10,2,FALSE),0)*'FL Characterization'!J$2)</f>
        <v>46.261883150584659</v>
      </c>
      <c r="K2" s="2">
        <f>('[1]Pc, Summer, S2'!K2*Main!$B$5)+(_xlfn.IFNA(VLOOKUP($A2,'FL Ratio'!$A$3:$B$10,2,FALSE),0)*'FL Characterization'!K$2)</f>
        <v>47.683420574759168</v>
      </c>
      <c r="L2" s="2">
        <f>('[1]Pc, Summer, S2'!L2*Main!$B$5)+(_xlfn.IFNA(VLOOKUP($A2,'FL Ratio'!$A$3:$B$10,2,FALSE),0)*'FL Characterization'!L$2)</f>
        <v>47.200877079546139</v>
      </c>
      <c r="M2" s="2">
        <f>('[1]Pc, Summer, S2'!M2*Main!$B$5)+(_xlfn.IFNA(VLOOKUP($A2,'FL Ratio'!$A$3:$B$10,2,FALSE),0)*'FL Characterization'!M$2)</f>
        <v>48.535652170360976</v>
      </c>
      <c r="N2" s="2">
        <f>('[1]Pc, Summer, S2'!N2*Main!$B$5)+(_xlfn.IFNA(VLOOKUP($A2,'FL Ratio'!$A$3:$B$10,2,FALSE),0)*'FL Characterization'!N$2)</f>
        <v>49.201458980356357</v>
      </c>
      <c r="O2" s="2">
        <f>('[1]Pc, Summer, S2'!O2*Main!$B$5)+(_xlfn.IFNA(VLOOKUP($A2,'FL Ratio'!$A$3:$B$10,2,FALSE),0)*'FL Characterization'!O$2)</f>
        <v>48.291324164831458</v>
      </c>
      <c r="P2" s="2">
        <f>('[1]Pc, Summer, S2'!P2*Main!$B$5)+(_xlfn.IFNA(VLOOKUP($A2,'FL Ratio'!$A$3:$B$10,2,FALSE),0)*'FL Characterization'!P$2)</f>
        <v>46.404330593715677</v>
      </c>
      <c r="Q2" s="2">
        <f>('[1]Pc, Summer, S2'!Q2*Main!$B$5)+(_xlfn.IFNA(VLOOKUP($A2,'FL Ratio'!$A$3:$B$10,2,FALSE),0)*'FL Characterization'!Q$2)</f>
        <v>44.53663634461919</v>
      </c>
      <c r="R2" s="2">
        <f>('[1]Pc, Summer, S2'!R2*Main!$B$5)+(_xlfn.IFNA(VLOOKUP($A2,'FL Ratio'!$A$3:$B$10,2,FALSE),0)*'FL Characterization'!R$2)</f>
        <v>45.31365468720545</v>
      </c>
      <c r="S2" s="2">
        <f>('[1]Pc, Summer, S2'!S2*Main!$B$5)+(_xlfn.IFNA(VLOOKUP($A2,'FL Ratio'!$A$3:$B$10,2,FALSE),0)*'FL Characterization'!S$2)</f>
        <v>45.761342276065477</v>
      </c>
      <c r="T2" s="2">
        <f>('[1]Pc, Summer, S2'!T2*Main!$B$5)+(_xlfn.IFNA(VLOOKUP($A2,'FL Ratio'!$A$3:$B$10,2,FALSE),0)*'FL Characterization'!T$2)</f>
        <v>45.955582174561947</v>
      </c>
      <c r="U2" s="2">
        <f>('[1]Pc, Summer, S2'!U2*Main!$B$5)+(_xlfn.IFNA(VLOOKUP($A2,'FL Ratio'!$A$3:$B$10,2,FALSE),0)*'FL Characterization'!U$2)</f>
        <v>45.194806015831247</v>
      </c>
      <c r="V2" s="2">
        <f>('[1]Pc, Summer, S2'!V2*Main!$B$5)+(_xlfn.IFNA(VLOOKUP($A2,'FL Ratio'!$A$3:$B$10,2,FALSE),0)*'FL Characterization'!V$2)</f>
        <v>45.330596499276169</v>
      </c>
      <c r="W2" s="2">
        <f>('[1]Pc, Summer, S2'!W2*Main!$B$5)+(_xlfn.IFNA(VLOOKUP($A2,'FL Ratio'!$A$3:$B$10,2,FALSE),0)*'FL Characterization'!W$2)</f>
        <v>47.208097779420385</v>
      </c>
      <c r="X2" s="2">
        <f>('[1]Pc, Summer, S2'!X2*Main!$B$5)+(_xlfn.IFNA(VLOOKUP($A2,'FL Ratio'!$A$3:$B$10,2,FALSE),0)*'FL Characterization'!X$2)</f>
        <v>44.003661066968007</v>
      </c>
      <c r="Y2" s="2">
        <f>('[1]Pc, Summer, S2'!Y2*Main!$B$5)+(_xlfn.IFNA(VLOOKUP($A2,'FL Ratio'!$A$3:$B$10,2,FALSE),0)*'FL Characterization'!Y$2)</f>
        <v>40.337910740034623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38.282035957580071</v>
      </c>
      <c r="C3" s="2">
        <f>('[1]Pc, Summer, S2'!C3*Main!$B$5)+(_xlfn.IFNA(VLOOKUP($A3,'FL Ratio'!$A$3:$B$10,2,FALSE),0)*'FL Characterization'!C$2)</f>
        <v>35.090378630367852</v>
      </c>
      <c r="D3" s="2">
        <f>('[1]Pc, Summer, S2'!D3*Main!$B$5)+(_xlfn.IFNA(VLOOKUP($A3,'FL Ratio'!$A$3:$B$10,2,FALSE),0)*'FL Characterization'!D$2)</f>
        <v>33.26360707121826</v>
      </c>
      <c r="E3" s="2">
        <f>('[1]Pc, Summer, S2'!E3*Main!$B$5)+(_xlfn.IFNA(VLOOKUP($A3,'FL Ratio'!$A$3:$B$10,2,FALSE),0)*'FL Characterization'!E$2)</f>
        <v>32.050329801609166</v>
      </c>
      <c r="F3" s="2">
        <f>('[1]Pc, Summer, S2'!F3*Main!$B$5)+(_xlfn.IFNA(VLOOKUP($A3,'FL Ratio'!$A$3:$B$10,2,FALSE),0)*'FL Characterization'!F$2)</f>
        <v>31.749118764452003</v>
      </c>
      <c r="G3" s="2">
        <f>('[1]Pc, Summer, S2'!G3*Main!$B$5)+(_xlfn.IFNA(VLOOKUP($A3,'FL Ratio'!$A$3:$B$10,2,FALSE),0)*'FL Characterization'!G$2)</f>
        <v>33.736950947260219</v>
      </c>
      <c r="H3" s="2">
        <f>('[1]Pc, Summer, S2'!H3*Main!$B$5)+(_xlfn.IFNA(VLOOKUP($A3,'FL Ratio'!$A$3:$B$10,2,FALSE),0)*'FL Characterization'!H$2)</f>
        <v>42.236568208390167</v>
      </c>
      <c r="I3" s="2">
        <f>('[1]Pc, Summer, S2'!I3*Main!$B$5)+(_xlfn.IFNA(VLOOKUP($A3,'FL Ratio'!$A$3:$B$10,2,FALSE),0)*'FL Characterization'!I$2)</f>
        <v>50.4768504722947</v>
      </c>
      <c r="J3" s="2">
        <f>('[1]Pc, Summer, S2'!J3*Main!$B$5)+(_xlfn.IFNA(VLOOKUP($A3,'FL Ratio'!$A$3:$B$10,2,FALSE),0)*'FL Characterization'!J$2)</f>
        <v>52.641577186812121</v>
      </c>
      <c r="K3" s="2">
        <f>('[1]Pc, Summer, S2'!K3*Main!$B$5)+(_xlfn.IFNA(VLOOKUP($A3,'FL Ratio'!$A$3:$B$10,2,FALSE),0)*'FL Characterization'!K$2)</f>
        <v>51.64348357698217</v>
      </c>
      <c r="L3" s="2">
        <f>('[1]Pc, Summer, S2'!L3*Main!$B$5)+(_xlfn.IFNA(VLOOKUP($A3,'FL Ratio'!$A$3:$B$10,2,FALSE),0)*'FL Characterization'!L$2)</f>
        <v>51.489374488639477</v>
      </c>
      <c r="M3" s="2">
        <f>('[1]Pc, Summer, S2'!M3*Main!$B$5)+(_xlfn.IFNA(VLOOKUP($A3,'FL Ratio'!$A$3:$B$10,2,FALSE),0)*'FL Characterization'!M$2)</f>
        <v>54.900535691172273</v>
      </c>
      <c r="N3" s="2">
        <f>('[1]Pc, Summer, S2'!N3*Main!$B$5)+(_xlfn.IFNA(VLOOKUP($A3,'FL Ratio'!$A$3:$B$10,2,FALSE),0)*'FL Characterization'!N$2)</f>
        <v>55.038307269255967</v>
      </c>
      <c r="O3" s="2">
        <f>('[1]Pc, Summer, S2'!O3*Main!$B$5)+(_xlfn.IFNA(VLOOKUP($A3,'FL Ratio'!$A$3:$B$10,2,FALSE),0)*'FL Characterization'!O$2)</f>
        <v>55.350032860071586</v>
      </c>
      <c r="P3" s="2">
        <f>('[1]Pc, Summer, S2'!P3*Main!$B$5)+(_xlfn.IFNA(VLOOKUP($A3,'FL Ratio'!$A$3:$B$10,2,FALSE),0)*'FL Characterization'!P$2)</f>
        <v>52.652626923882977</v>
      </c>
      <c r="Q3" s="2">
        <f>('[1]Pc, Summer, S2'!Q3*Main!$B$5)+(_xlfn.IFNA(VLOOKUP($A3,'FL Ratio'!$A$3:$B$10,2,FALSE),0)*'FL Characterization'!Q$2)</f>
        <v>49.873162283125687</v>
      </c>
      <c r="R3" s="2">
        <f>('[1]Pc, Summer, S2'!R3*Main!$B$5)+(_xlfn.IFNA(VLOOKUP($A3,'FL Ratio'!$A$3:$B$10,2,FALSE),0)*'FL Characterization'!R$2)</f>
        <v>46.19434907361363</v>
      </c>
      <c r="S3" s="2">
        <f>('[1]Pc, Summer, S2'!S3*Main!$B$5)+(_xlfn.IFNA(VLOOKUP($A3,'FL Ratio'!$A$3:$B$10,2,FALSE),0)*'FL Characterization'!S$2)</f>
        <v>46.610447072068411</v>
      </c>
      <c r="T3" s="2">
        <f>('[1]Pc, Summer, S2'!T3*Main!$B$5)+(_xlfn.IFNA(VLOOKUP($A3,'FL Ratio'!$A$3:$B$10,2,FALSE),0)*'FL Characterization'!T$2)</f>
        <v>46.272744348684817</v>
      </c>
      <c r="U3" s="2">
        <f>('[1]Pc, Summer, S2'!U3*Main!$B$5)+(_xlfn.IFNA(VLOOKUP($A3,'FL Ratio'!$A$3:$B$10,2,FALSE),0)*'FL Characterization'!U$2)</f>
        <v>46.130333996928272</v>
      </c>
      <c r="V3" s="2">
        <f>('[1]Pc, Summer, S2'!V3*Main!$B$5)+(_xlfn.IFNA(VLOOKUP($A3,'FL Ratio'!$A$3:$B$10,2,FALSE),0)*'FL Characterization'!V$2)</f>
        <v>46.305215764394781</v>
      </c>
      <c r="W3" s="2">
        <f>('[1]Pc, Summer, S2'!W3*Main!$B$5)+(_xlfn.IFNA(VLOOKUP($A3,'FL Ratio'!$A$3:$B$10,2,FALSE),0)*'FL Characterization'!W$2)</f>
        <v>46.109614141189539</v>
      </c>
      <c r="X3" s="2">
        <f>('[1]Pc, Summer, S2'!X3*Main!$B$5)+(_xlfn.IFNA(VLOOKUP($A3,'FL Ratio'!$A$3:$B$10,2,FALSE),0)*'FL Characterization'!X$2)</f>
        <v>45.591962566415901</v>
      </c>
      <c r="Y3" s="2">
        <f>('[1]Pc, Summer, S2'!Y3*Main!$B$5)+(_xlfn.IFNA(VLOOKUP($A3,'FL Ratio'!$A$3:$B$10,2,FALSE),0)*'FL Characterization'!Y$2)</f>
        <v>43.04830346941025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50.955305924770222</v>
      </c>
      <c r="C4" s="2">
        <f>('[1]Pc, Summer, S2'!C4*Main!$B$5)+(_xlfn.IFNA(VLOOKUP($A4,'FL Ratio'!$A$3:$B$10,2,FALSE),0)*'FL Characterization'!C$2)</f>
        <v>45.146954487320912</v>
      </c>
      <c r="D4" s="2">
        <f>('[1]Pc, Summer, S2'!D4*Main!$B$5)+(_xlfn.IFNA(VLOOKUP($A4,'FL Ratio'!$A$3:$B$10,2,FALSE),0)*'FL Characterization'!D$2)</f>
        <v>42.592765330636041</v>
      </c>
      <c r="E4" s="2">
        <f>('[1]Pc, Summer, S2'!E4*Main!$B$5)+(_xlfn.IFNA(VLOOKUP($A4,'FL Ratio'!$A$3:$B$10,2,FALSE),0)*'FL Characterization'!E$2)</f>
        <v>41.205968288615921</v>
      </c>
      <c r="F4" s="2">
        <f>('[1]Pc, Summer, S2'!F4*Main!$B$5)+(_xlfn.IFNA(VLOOKUP($A4,'FL Ratio'!$A$3:$B$10,2,FALSE),0)*'FL Characterization'!F$2)</f>
        <v>43.280804456592918</v>
      </c>
      <c r="G4" s="2">
        <f>('[1]Pc, Summer, S2'!G4*Main!$B$5)+(_xlfn.IFNA(VLOOKUP($A4,'FL Ratio'!$A$3:$B$10,2,FALSE),0)*'FL Characterization'!G$2)</f>
        <v>39.550658422364407</v>
      </c>
      <c r="H4" s="2">
        <f>('[1]Pc, Summer, S2'!H4*Main!$B$5)+(_xlfn.IFNA(VLOOKUP($A4,'FL Ratio'!$A$3:$B$10,2,FALSE),0)*'FL Characterization'!H$2)</f>
        <v>46.443777137713177</v>
      </c>
      <c r="I4" s="2">
        <f>('[1]Pc, Summer, S2'!I4*Main!$B$5)+(_xlfn.IFNA(VLOOKUP($A4,'FL Ratio'!$A$3:$B$10,2,FALSE),0)*'FL Characterization'!I$2)</f>
        <v>52.507446128633106</v>
      </c>
      <c r="J4" s="2">
        <f>('[1]Pc, Summer, S2'!J4*Main!$B$5)+(_xlfn.IFNA(VLOOKUP($A4,'FL Ratio'!$A$3:$B$10,2,FALSE),0)*'FL Characterization'!J$2)</f>
        <v>59.092337971033793</v>
      </c>
      <c r="K4" s="2">
        <f>('[1]Pc, Summer, S2'!K4*Main!$B$5)+(_xlfn.IFNA(VLOOKUP($A4,'FL Ratio'!$A$3:$B$10,2,FALSE),0)*'FL Characterization'!K$2)</f>
        <v>63.50506278136519</v>
      </c>
      <c r="L4" s="2">
        <f>('[1]Pc, Summer, S2'!L4*Main!$B$5)+(_xlfn.IFNA(VLOOKUP($A4,'FL Ratio'!$A$3:$B$10,2,FALSE),0)*'FL Characterization'!L$2)</f>
        <v>65.397531505372243</v>
      </c>
      <c r="M4" s="2">
        <f>('[1]Pc, Summer, S2'!M4*Main!$B$5)+(_xlfn.IFNA(VLOOKUP($A4,'FL Ratio'!$A$3:$B$10,2,FALSE),0)*'FL Characterization'!M$2)</f>
        <v>66.475989593209661</v>
      </c>
      <c r="N4" s="2">
        <f>('[1]Pc, Summer, S2'!N4*Main!$B$5)+(_xlfn.IFNA(VLOOKUP($A4,'FL Ratio'!$A$3:$B$10,2,FALSE),0)*'FL Characterization'!N$2)</f>
        <v>67.91446787643018</v>
      </c>
      <c r="O4" s="2">
        <f>('[1]Pc, Summer, S2'!O4*Main!$B$5)+(_xlfn.IFNA(VLOOKUP($A4,'FL Ratio'!$A$3:$B$10,2,FALSE),0)*'FL Characterization'!O$2)</f>
        <v>68.779407261636322</v>
      </c>
      <c r="P4" s="2">
        <f>('[1]Pc, Summer, S2'!P4*Main!$B$5)+(_xlfn.IFNA(VLOOKUP($A4,'FL Ratio'!$A$3:$B$10,2,FALSE),0)*'FL Characterization'!P$2)</f>
        <v>69.062719406842504</v>
      </c>
      <c r="Q4" s="2">
        <f>('[1]Pc, Summer, S2'!Q4*Main!$B$5)+(_xlfn.IFNA(VLOOKUP($A4,'FL Ratio'!$A$3:$B$10,2,FALSE),0)*'FL Characterization'!Q$2)</f>
        <v>66.47446994693486</v>
      </c>
      <c r="R4" s="2">
        <f>('[1]Pc, Summer, S2'!R4*Main!$B$5)+(_xlfn.IFNA(VLOOKUP($A4,'FL Ratio'!$A$3:$B$10,2,FALSE),0)*'FL Characterization'!R$2)</f>
        <v>66.193338775217285</v>
      </c>
      <c r="S4" s="2">
        <f>('[1]Pc, Summer, S2'!S4*Main!$B$5)+(_xlfn.IFNA(VLOOKUP($A4,'FL Ratio'!$A$3:$B$10,2,FALSE),0)*'FL Characterization'!S$2)</f>
        <v>64.044380024252561</v>
      </c>
      <c r="T4" s="2">
        <f>('[1]Pc, Summer, S2'!T4*Main!$B$5)+(_xlfn.IFNA(VLOOKUP($A4,'FL Ratio'!$A$3:$B$10,2,FALSE),0)*'FL Characterization'!T$2)</f>
        <v>64.039350448946976</v>
      </c>
      <c r="U4" s="2">
        <f>('[1]Pc, Summer, S2'!U4*Main!$B$5)+(_xlfn.IFNA(VLOOKUP($A4,'FL Ratio'!$A$3:$B$10,2,FALSE),0)*'FL Characterization'!U$2)</f>
        <v>64.419510078901197</v>
      </c>
      <c r="V4" s="2">
        <f>('[1]Pc, Summer, S2'!V4*Main!$B$5)+(_xlfn.IFNA(VLOOKUP($A4,'FL Ratio'!$A$3:$B$10,2,FALSE),0)*'FL Characterization'!V$2)</f>
        <v>64.067622244513544</v>
      </c>
      <c r="W4" s="2">
        <f>('[1]Pc, Summer, S2'!W4*Main!$B$5)+(_xlfn.IFNA(VLOOKUP($A4,'FL Ratio'!$A$3:$B$10,2,FALSE),0)*'FL Characterization'!W$2)</f>
        <v>66.150360316326513</v>
      </c>
      <c r="X4" s="2">
        <f>('[1]Pc, Summer, S2'!X4*Main!$B$5)+(_xlfn.IFNA(VLOOKUP($A4,'FL Ratio'!$A$3:$B$10,2,FALSE),0)*'FL Characterization'!X$2)</f>
        <v>65.765256693092667</v>
      </c>
      <c r="Y4" s="2">
        <f>('[1]Pc, Summer, S2'!Y4*Main!$B$5)+(_xlfn.IFNA(VLOOKUP($A4,'FL Ratio'!$A$3:$B$10,2,FALSE),0)*'FL Characterization'!Y$2)</f>
        <v>59.226943964224823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F9CD-CB3D-425C-A8DE-D4D872192F88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34.139579738543986</v>
      </c>
      <c r="C2" s="2">
        <f>('[1]Pc, Summer, S3'!C2*Main!$B$5)+(_xlfn.IFNA(VLOOKUP($A2,'FL Ratio'!$A$3:$B$10,2,FALSE),0)*'FL Characterization'!C$2)</f>
        <v>31.01733596344668</v>
      </c>
      <c r="D2" s="2">
        <f>('[1]Pc, Summer, S3'!D2*Main!$B$5)+(_xlfn.IFNA(VLOOKUP($A2,'FL Ratio'!$A$3:$B$10,2,FALSE),0)*'FL Characterization'!D$2)</f>
        <v>30.475543718094617</v>
      </c>
      <c r="E2" s="2">
        <f>('[1]Pc, Summer, S3'!E2*Main!$B$5)+(_xlfn.IFNA(VLOOKUP($A2,'FL Ratio'!$A$3:$B$10,2,FALSE),0)*'FL Characterization'!E$2)</f>
        <v>30.397691989754907</v>
      </c>
      <c r="F2" s="2">
        <f>('[1]Pc, Summer, S3'!F2*Main!$B$5)+(_xlfn.IFNA(VLOOKUP($A2,'FL Ratio'!$A$3:$B$10,2,FALSE),0)*'FL Characterization'!F$2)</f>
        <v>30.400088547146417</v>
      </c>
      <c r="G2" s="2">
        <f>('[1]Pc, Summer, S3'!G2*Main!$B$5)+(_xlfn.IFNA(VLOOKUP($A2,'FL Ratio'!$A$3:$B$10,2,FALSE),0)*'FL Characterization'!G$2)</f>
        <v>30.131239046748821</v>
      </c>
      <c r="H2" s="2">
        <f>('[1]Pc, Summer, S3'!H2*Main!$B$5)+(_xlfn.IFNA(VLOOKUP($A2,'FL Ratio'!$A$3:$B$10,2,FALSE),0)*'FL Characterization'!H$2)</f>
        <v>32.529362272581245</v>
      </c>
      <c r="I2" s="2">
        <f>('[1]Pc, Summer, S3'!I2*Main!$B$5)+(_xlfn.IFNA(VLOOKUP($A2,'FL Ratio'!$A$3:$B$10,2,FALSE),0)*'FL Characterization'!I$2)</f>
        <v>38.620300198480166</v>
      </c>
      <c r="J2" s="2">
        <f>('[1]Pc, Summer, S3'!J2*Main!$B$5)+(_xlfn.IFNA(VLOOKUP($A2,'FL Ratio'!$A$3:$B$10,2,FALSE),0)*'FL Characterization'!J$2)</f>
        <v>44.016160667546572</v>
      </c>
      <c r="K2" s="2">
        <f>('[1]Pc, Summer, S3'!K2*Main!$B$5)+(_xlfn.IFNA(VLOOKUP($A2,'FL Ratio'!$A$3:$B$10,2,FALSE),0)*'FL Characterization'!K$2)</f>
        <v>45.36869142064463</v>
      </c>
      <c r="L2" s="2">
        <f>('[1]Pc, Summer, S3'!L2*Main!$B$5)+(_xlfn.IFNA(VLOOKUP($A2,'FL Ratio'!$A$3:$B$10,2,FALSE),0)*'FL Characterization'!L$2)</f>
        <v>44.909572366946819</v>
      </c>
      <c r="M2" s="2">
        <f>('[1]Pc, Summer, S3'!M2*Main!$B$5)+(_xlfn.IFNA(VLOOKUP($A2,'FL Ratio'!$A$3:$B$10,2,FALSE),0)*'FL Characterization'!M$2)</f>
        <v>46.179552550440533</v>
      </c>
      <c r="N2" s="2">
        <f>('[1]Pc, Summer, S3'!N2*Main!$B$5)+(_xlfn.IFNA(VLOOKUP($A2,'FL Ratio'!$A$3:$B$10,2,FALSE),0)*'FL Characterization'!N$2)</f>
        <v>46.813038641504107</v>
      </c>
      <c r="O2" s="2">
        <f>('[1]Pc, Summer, S3'!O2*Main!$B$5)+(_xlfn.IFNA(VLOOKUP($A2,'FL Ratio'!$A$3:$B$10,2,FALSE),0)*'FL Characterization'!O$2)</f>
        <v>45.947085127703716</v>
      </c>
      <c r="P2" s="2">
        <f>('[1]Pc, Summer, S3'!P2*Main!$B$5)+(_xlfn.IFNA(VLOOKUP($A2,'FL Ratio'!$A$3:$B$10,2,FALSE),0)*'FL Characterization'!P$2)</f>
        <v>44.151693186253745</v>
      </c>
      <c r="Q2" s="2">
        <f>('[1]Pc, Summer, S3'!Q2*Main!$B$5)+(_xlfn.IFNA(VLOOKUP($A2,'FL Ratio'!$A$3:$B$10,2,FALSE),0)*'FL Characterization'!Q$2)</f>
        <v>42.374663706530882</v>
      </c>
      <c r="R2" s="2">
        <f>('[1]Pc, Summer, S3'!R2*Main!$B$5)+(_xlfn.IFNA(VLOOKUP($A2,'FL Ratio'!$A$3:$B$10,2,FALSE),0)*'FL Characterization'!R$2)</f>
        <v>43.113962712098385</v>
      </c>
      <c r="S2" s="2">
        <f>('[1]Pc, Summer, S3'!S2*Main!$B$5)+(_xlfn.IFNA(VLOOKUP($A2,'FL Ratio'!$A$3:$B$10,2,FALSE),0)*'FL Characterization'!S$2)</f>
        <v>43.539917893732202</v>
      </c>
      <c r="T2" s="2">
        <f>('[1]Pc, Summer, S3'!T2*Main!$B$5)+(_xlfn.IFNA(VLOOKUP($A2,'FL Ratio'!$A$3:$B$10,2,FALSE),0)*'FL Characterization'!T$2)</f>
        <v>43.724728670942426</v>
      </c>
      <c r="U2" s="2">
        <f>('[1]Pc, Summer, S3'!U2*Main!$B$5)+(_xlfn.IFNA(VLOOKUP($A2,'FL Ratio'!$A$3:$B$10,2,FALSE),0)*'FL Characterization'!U$2)</f>
        <v>43.000883393703518</v>
      </c>
      <c r="V2" s="2">
        <f>('[1]Pc, Summer, S3'!V2*Main!$B$5)+(_xlfn.IFNA(VLOOKUP($A2,'FL Ratio'!$A$3:$B$10,2,FALSE),0)*'FL Characterization'!V$2)</f>
        <v>43.130082106107416</v>
      </c>
      <c r="W2" s="2">
        <f>('[1]Pc, Summer, S3'!W2*Main!$B$5)+(_xlfn.IFNA(VLOOKUP($A2,'FL Ratio'!$A$3:$B$10,2,FALSE),0)*'FL Characterization'!W$2)</f>
        <v>44.916442547409694</v>
      </c>
      <c r="X2" s="2">
        <f>('[1]Pc, Summer, S3'!X2*Main!$B$5)+(_xlfn.IFNA(VLOOKUP($A2,'FL Ratio'!$A$3:$B$10,2,FALSE),0)*'FL Characterization'!X$2)</f>
        <v>41.86756101517345</v>
      </c>
      <c r="Y2" s="2">
        <f>('[1]Pc, Summer, S3'!Y2*Main!$B$5)+(_xlfn.IFNA(VLOOKUP($A2,'FL Ratio'!$A$3:$B$10,2,FALSE),0)*'FL Characterization'!Y$2)</f>
        <v>38.379759733236831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36.51594224962799</v>
      </c>
      <c r="C3" s="2">
        <f>('[1]Pc, Summer, S3'!C3*Main!$B$5)+(_xlfn.IFNA(VLOOKUP($A3,'FL Ratio'!$A$3:$B$10,2,FALSE),0)*'FL Characterization'!C$2)</f>
        <v>33.482297247694483</v>
      </c>
      <c r="D3" s="2">
        <f>('[1]Pc, Summer, S3'!D3*Main!$B$5)+(_xlfn.IFNA(VLOOKUP($A3,'FL Ratio'!$A$3:$B$10,2,FALSE),0)*'FL Characterization'!D$2)</f>
        <v>31.734235810449317</v>
      </c>
      <c r="E3" s="2">
        <f>('[1]Pc, Summer, S3'!E3*Main!$B$5)+(_xlfn.IFNA(VLOOKUP($A3,'FL Ratio'!$A$3:$B$10,2,FALSE),0)*'FL Characterization'!E$2)</f>
        <v>30.575404374659421</v>
      </c>
      <c r="F3" s="2">
        <f>('[1]Pc, Summer, S3'!F3*Main!$B$5)+(_xlfn.IFNA(VLOOKUP($A3,'FL Ratio'!$A$3:$B$10,2,FALSE),0)*'FL Characterization'!F$2)</f>
        <v>30.274193337502261</v>
      </c>
      <c r="G3" s="2">
        <f>('[1]Pc, Summer, S3'!G3*Main!$B$5)+(_xlfn.IFNA(VLOOKUP($A3,'FL Ratio'!$A$3:$B$10,2,FALSE),0)*'FL Characterization'!G$2)</f>
        <v>32.155500654434796</v>
      </c>
      <c r="H3" s="2">
        <f>('[1]Pc, Summer, S3'!H3*Main!$B$5)+(_xlfn.IFNA(VLOOKUP($A3,'FL Ratio'!$A$3:$B$10,2,FALSE),0)*'FL Characterization'!H$2)</f>
        <v>40.255057839469984</v>
      </c>
      <c r="I3" s="2">
        <f>('[1]Pc, Summer, S3'!I3*Main!$B$5)+(_xlfn.IFNA(VLOOKUP($A3,'FL Ratio'!$A$3:$B$10,2,FALSE),0)*'FL Characterization'!I$2)</f>
        <v>48.038467646272586</v>
      </c>
      <c r="J3" s="2">
        <f>('[1]Pc, Summer, S3'!J3*Main!$B$5)+(_xlfn.IFNA(VLOOKUP($A3,'FL Ratio'!$A$3:$B$10,2,FALSE),0)*'FL Characterization'!J$2)</f>
        <v>50.096669367293721</v>
      </c>
      <c r="K3" s="2">
        <f>('[1]Pc, Summer, S3'!K3*Main!$B$5)+(_xlfn.IFNA(VLOOKUP($A3,'FL Ratio'!$A$3:$B$10,2,FALSE),0)*'FL Characterization'!K$2)</f>
        <v>49.151838317688998</v>
      </c>
      <c r="L3" s="2">
        <f>('[1]Pc, Summer, S3'!L3*Main!$B$5)+(_xlfn.IFNA(VLOOKUP($A3,'FL Ratio'!$A$3:$B$10,2,FALSE),0)*'FL Characterization'!L$2)</f>
        <v>48.998912629894463</v>
      </c>
      <c r="M3" s="2">
        <f>('[1]Pc, Summer, S3'!M3*Main!$B$5)+(_xlfn.IFNA(VLOOKUP($A3,'FL Ratio'!$A$3:$B$10,2,FALSE),0)*'FL Characterization'!M$2)</f>
        <v>52.246735314669777</v>
      </c>
      <c r="N3" s="2">
        <f>('[1]Pc, Summer, S3'!N3*Main!$B$5)+(_xlfn.IFNA(VLOOKUP($A3,'FL Ratio'!$A$3:$B$10,2,FALSE),0)*'FL Characterization'!N$2)</f>
        <v>52.384506892753464</v>
      </c>
      <c r="O3" s="2">
        <f>('[1]Pc, Summer, S3'!O3*Main!$B$5)+(_xlfn.IFNA(VLOOKUP($A3,'FL Ratio'!$A$3:$B$10,2,FALSE),0)*'FL Characterization'!O$2)</f>
        <v>52.696232483569091</v>
      </c>
      <c r="P3" s="2">
        <f>('[1]Pc, Summer, S3'!P3*Main!$B$5)+(_xlfn.IFNA(VLOOKUP($A3,'FL Ratio'!$A$3:$B$10,2,FALSE),0)*'FL Characterization'!P$2)</f>
        <v>50.131982884466467</v>
      </c>
      <c r="Q3" s="2">
        <f>('[1]Pc, Summer, S3'!Q3*Main!$B$5)+(_xlfn.IFNA(VLOOKUP($A3,'FL Ratio'!$A$3:$B$10,2,FALSE),0)*'FL Characterization'!Q$2)</f>
        <v>47.486858235418303</v>
      </c>
      <c r="R3" s="2">
        <f>('[1]Pc, Summer, S3'!R3*Main!$B$5)+(_xlfn.IFNA(VLOOKUP($A3,'FL Ratio'!$A$3:$B$10,2,FALSE),0)*'FL Characterization'!R$2)</f>
        <v>43.971383289588779</v>
      </c>
      <c r="S3" s="2">
        <f>('[1]Pc, Summer, S3'!S3*Main!$B$5)+(_xlfn.IFNA(VLOOKUP($A3,'FL Ratio'!$A$3:$B$10,2,FALSE),0)*'FL Characterization'!S$2)</f>
        <v>44.38748128804356</v>
      </c>
      <c r="T3" s="2">
        <f>('[1]Pc, Summer, S3'!T3*Main!$B$5)+(_xlfn.IFNA(VLOOKUP($A3,'FL Ratio'!$A$3:$B$10,2,FALSE),0)*'FL Characterization'!T$2)</f>
        <v>44.049778564659967</v>
      </c>
      <c r="U3" s="2">
        <f>('[1]Pc, Summer, S3'!U3*Main!$B$5)+(_xlfn.IFNA(VLOOKUP($A3,'FL Ratio'!$A$3:$B$10,2,FALSE),0)*'FL Characterization'!U$2)</f>
        <v>43.907368212903421</v>
      </c>
      <c r="V3" s="2">
        <f>('[1]Pc, Summer, S3'!V3*Main!$B$5)+(_xlfn.IFNA(VLOOKUP($A3,'FL Ratio'!$A$3:$B$10,2,FALSE),0)*'FL Characterization'!V$2)</f>
        <v>44.08224998036993</v>
      </c>
      <c r="W3" s="2">
        <f>('[1]Pc, Summer, S3'!W3*Main!$B$5)+(_xlfn.IFNA(VLOOKUP($A3,'FL Ratio'!$A$3:$B$10,2,FALSE),0)*'FL Characterization'!W$2)</f>
        <v>43.886648357164688</v>
      </c>
      <c r="X3" s="2">
        <f>('[1]Pc, Summer, S3'!X3*Main!$B$5)+(_xlfn.IFNA(VLOOKUP($A3,'FL Ratio'!$A$3:$B$10,2,FALSE),0)*'FL Characterization'!X$2)</f>
        <v>43.448890050935283</v>
      </c>
      <c r="Y3" s="2">
        <f>('[1]Pc, Summer, S3'!Y3*Main!$B$5)+(_xlfn.IFNA(VLOOKUP($A3,'FL Ratio'!$A$3:$B$10,2,FALSE),0)*'FL Characterization'!Y$2)</f>
        <v>41.043121274903811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48.574004936857456</v>
      </c>
      <c r="C4" s="2">
        <f>('[1]Pc, Summer, S3'!C4*Main!$B$5)+(_xlfn.IFNA(VLOOKUP($A4,'FL Ratio'!$A$3:$B$10,2,FALSE),0)*'FL Characterization'!C$2)</f>
        <v>43.050689810620689</v>
      </c>
      <c r="D4" s="2">
        <f>('[1]Pc, Summer, S3'!D4*Main!$B$5)+(_xlfn.IFNA(VLOOKUP($A4,'FL Ratio'!$A$3:$B$10,2,FALSE),0)*'FL Characterization'!D$2)</f>
        <v>40.610522309701174</v>
      </c>
      <c r="E4" s="2">
        <f>('[1]Pc, Summer, S3'!E4*Main!$B$5)+(_xlfn.IFNA(VLOOKUP($A4,'FL Ratio'!$A$3:$B$10,2,FALSE),0)*'FL Characterization'!E$2)</f>
        <v>39.286594391423144</v>
      </c>
      <c r="F4" s="2">
        <f>('[1]Pc, Summer, S3'!F4*Main!$B$5)+(_xlfn.IFNA(VLOOKUP($A4,'FL Ratio'!$A$3:$B$10,2,FALSE),0)*'FL Characterization'!F$2)</f>
        <v>41.246088462063533</v>
      </c>
      <c r="G4" s="2">
        <f>('[1]Pc, Summer, S3'!G4*Main!$B$5)+(_xlfn.IFNA(VLOOKUP($A4,'FL Ratio'!$A$3:$B$10,2,FALSE),0)*'FL Characterization'!G$2)</f>
        <v>37.686989320067909</v>
      </c>
      <c r="H4" s="2">
        <f>('[1]Pc, Summer, S3'!H4*Main!$B$5)+(_xlfn.IFNA(VLOOKUP($A4,'FL Ratio'!$A$3:$B$10,2,FALSE),0)*'FL Characterization'!H$2)</f>
        <v>44.25803332562198</v>
      </c>
      <c r="I4" s="2">
        <f>('[1]Pc, Summer, S3'!I4*Main!$B$5)+(_xlfn.IFNA(VLOOKUP($A4,'FL Ratio'!$A$3:$B$10,2,FALSE),0)*'FL Characterization'!I$2)</f>
        <v>49.970490697934373</v>
      </c>
      <c r="J4" s="2">
        <f>('[1]Pc, Summer, S3'!J4*Main!$B$5)+(_xlfn.IFNA(VLOOKUP($A4,'FL Ratio'!$A$3:$B$10,2,FALSE),0)*'FL Characterization'!J$2)</f>
        <v>56.234286424125983</v>
      </c>
      <c r="K4" s="2">
        <f>('[1]Pc, Summer, S3'!K4*Main!$B$5)+(_xlfn.IFNA(VLOOKUP($A4,'FL Ratio'!$A$3:$B$10,2,FALSE),0)*'FL Characterization'!K$2)</f>
        <v>60.437612706325275</v>
      </c>
      <c r="L4" s="2">
        <f>('[1]Pc, Summer, S3'!L4*Main!$B$5)+(_xlfn.IFNA(VLOOKUP($A4,'FL Ratio'!$A$3:$B$10,2,FALSE),0)*'FL Characterization'!L$2)</f>
        <v>62.231916393387763</v>
      </c>
      <c r="M4" s="2">
        <f>('[1]Pc, Summer, S3'!M4*Main!$B$5)+(_xlfn.IFNA(VLOOKUP($A4,'FL Ratio'!$A$3:$B$10,2,FALSE),0)*'FL Characterization'!M$2)</f>
        <v>63.260273978744173</v>
      </c>
      <c r="N4" s="2">
        <f>('[1]Pc, Summer, S3'!N4*Main!$B$5)+(_xlfn.IFNA(VLOOKUP($A4,'FL Ratio'!$A$3:$B$10,2,FALSE),0)*'FL Characterization'!N$2)</f>
        <v>64.635611159773589</v>
      </c>
      <c r="O4" s="2">
        <f>('[1]Pc, Summer, S3'!O4*Main!$B$5)+(_xlfn.IFNA(VLOOKUP($A4,'FL Ratio'!$A$3:$B$10,2,FALSE),0)*'FL Characterization'!O$2)</f>
        <v>65.473695506417087</v>
      </c>
      <c r="P4" s="2">
        <f>('[1]Pc, Summer, S3'!P4*Main!$B$5)+(_xlfn.IFNA(VLOOKUP($A4,'FL Ratio'!$A$3:$B$10,2,FALSE),0)*'FL Characterization'!P$2)</f>
        <v>65.74546893621438</v>
      </c>
      <c r="Q4" s="2">
        <f>('[1]Pc, Summer, S3'!Q4*Main!$B$5)+(_xlfn.IFNA(VLOOKUP($A4,'FL Ratio'!$A$3:$B$10,2,FALSE),0)*'FL Characterization'!Q$2)</f>
        <v>63.282277177683333</v>
      </c>
      <c r="R4" s="2">
        <f>('[1]Pc, Summer, S3'!R4*Main!$B$5)+(_xlfn.IFNA(VLOOKUP($A4,'FL Ratio'!$A$3:$B$10,2,FALSE),0)*'FL Characterization'!R$2)</f>
        <v>62.999548248396138</v>
      </c>
      <c r="S4" s="2">
        <f>('[1]Pc, Summer, S3'!S4*Main!$B$5)+(_xlfn.IFNA(VLOOKUP($A4,'FL Ratio'!$A$3:$B$10,2,FALSE),0)*'FL Characterization'!S$2)</f>
        <v>60.975106815364406</v>
      </c>
      <c r="T4" s="2">
        <f>('[1]Pc, Summer, S3'!T4*Main!$B$5)+(_xlfn.IFNA(VLOOKUP($A4,'FL Ratio'!$A$3:$B$10,2,FALSE),0)*'FL Characterization'!T$2)</f>
        <v>60.953928058113277</v>
      </c>
      <c r="U4" s="2">
        <f>('[1]Pc, Summer, S3'!U4*Main!$B$5)+(_xlfn.IFNA(VLOOKUP($A4,'FL Ratio'!$A$3:$B$10,2,FALSE),0)*'FL Characterization'!U$2)</f>
        <v>61.308720213227168</v>
      </c>
      <c r="V4" s="2">
        <f>('[1]Pc, Summer, S3'!V4*Main!$B$5)+(_xlfn.IFNA(VLOOKUP($A4,'FL Ratio'!$A$3:$B$10,2,FALSE),0)*'FL Characterization'!V$2)</f>
        <v>60.982403718735355</v>
      </c>
      <c r="W4" s="2">
        <f>('[1]Pc, Summer, S3'!W4*Main!$B$5)+(_xlfn.IFNA(VLOOKUP($A4,'FL Ratio'!$A$3:$B$10,2,FALSE),0)*'FL Characterization'!W$2)</f>
        <v>62.954542776227044</v>
      </c>
      <c r="X4" s="2">
        <f>('[1]Pc, Summer, S3'!X4*Main!$B$5)+(_xlfn.IFNA(VLOOKUP($A4,'FL Ratio'!$A$3:$B$10,2,FALSE),0)*'FL Characterization'!X$2)</f>
        <v>62.64289805495784</v>
      </c>
      <c r="Y4" s="2">
        <f>('[1]Pc, Summer, S3'!Y4*Main!$B$5)+(_xlfn.IFNA(VLOOKUP($A4,'FL Ratio'!$A$3:$B$10,2,FALSE),0)*'FL Characterization'!Y$2)</f>
        <v>56.436390871911861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C093A-A009-45C7-8400-95923DE29AB6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34.139579738543986</v>
      </c>
      <c r="C2" s="2">
        <f>('[1]Pc, Summer, S3'!C2*Main!$B$5)+(_xlfn.IFNA(VLOOKUP($A2,'FL Ratio'!$A$3:$B$10,2,FALSE),0)*'FL Characterization'!C$2)</f>
        <v>31.01733596344668</v>
      </c>
      <c r="D2" s="2">
        <f>('[1]Pc, Summer, S3'!D2*Main!$B$5)+(_xlfn.IFNA(VLOOKUP($A2,'FL Ratio'!$A$3:$B$10,2,FALSE),0)*'FL Characterization'!D$2)</f>
        <v>30.475543718094617</v>
      </c>
      <c r="E2" s="2">
        <f>('[1]Pc, Summer, S3'!E2*Main!$B$5)+(_xlfn.IFNA(VLOOKUP($A2,'FL Ratio'!$A$3:$B$10,2,FALSE),0)*'FL Characterization'!E$2)</f>
        <v>30.397691989754907</v>
      </c>
      <c r="F2" s="2">
        <f>('[1]Pc, Summer, S3'!F2*Main!$B$5)+(_xlfn.IFNA(VLOOKUP($A2,'FL Ratio'!$A$3:$B$10,2,FALSE),0)*'FL Characterization'!F$2)</f>
        <v>30.400088547146417</v>
      </c>
      <c r="G2" s="2">
        <f>('[1]Pc, Summer, S3'!G2*Main!$B$5)+(_xlfn.IFNA(VLOOKUP($A2,'FL Ratio'!$A$3:$B$10,2,FALSE),0)*'FL Characterization'!G$2)</f>
        <v>30.131239046748821</v>
      </c>
      <c r="H2" s="2">
        <f>('[1]Pc, Summer, S3'!H2*Main!$B$5)+(_xlfn.IFNA(VLOOKUP($A2,'FL Ratio'!$A$3:$B$10,2,FALSE),0)*'FL Characterization'!H$2)</f>
        <v>32.529362272581245</v>
      </c>
      <c r="I2" s="2">
        <f>('[1]Pc, Summer, S3'!I2*Main!$B$5)+(_xlfn.IFNA(VLOOKUP($A2,'FL Ratio'!$A$3:$B$10,2,FALSE),0)*'FL Characterization'!I$2)</f>
        <v>38.620300198480166</v>
      </c>
      <c r="J2" s="2">
        <f>('[1]Pc, Summer, S3'!J2*Main!$B$5)+(_xlfn.IFNA(VLOOKUP($A2,'FL Ratio'!$A$3:$B$10,2,FALSE),0)*'FL Characterization'!J$2)</f>
        <v>44.016160667546572</v>
      </c>
      <c r="K2" s="2">
        <f>('[1]Pc, Summer, S3'!K2*Main!$B$5)+(_xlfn.IFNA(VLOOKUP($A2,'FL Ratio'!$A$3:$B$10,2,FALSE),0)*'FL Characterization'!K$2)</f>
        <v>45.36869142064463</v>
      </c>
      <c r="L2" s="2">
        <f>('[1]Pc, Summer, S3'!L2*Main!$B$5)+(_xlfn.IFNA(VLOOKUP($A2,'FL Ratio'!$A$3:$B$10,2,FALSE),0)*'FL Characterization'!L$2)</f>
        <v>44.909572366946819</v>
      </c>
      <c r="M2" s="2">
        <f>('[1]Pc, Summer, S3'!M2*Main!$B$5)+(_xlfn.IFNA(VLOOKUP($A2,'FL Ratio'!$A$3:$B$10,2,FALSE),0)*'FL Characterization'!M$2)</f>
        <v>46.179552550440533</v>
      </c>
      <c r="N2" s="2">
        <f>('[1]Pc, Summer, S3'!N2*Main!$B$5)+(_xlfn.IFNA(VLOOKUP($A2,'FL Ratio'!$A$3:$B$10,2,FALSE),0)*'FL Characterization'!N$2)</f>
        <v>46.813038641504107</v>
      </c>
      <c r="O2" s="2">
        <f>('[1]Pc, Summer, S3'!O2*Main!$B$5)+(_xlfn.IFNA(VLOOKUP($A2,'FL Ratio'!$A$3:$B$10,2,FALSE),0)*'FL Characterization'!O$2)</f>
        <v>45.947085127703716</v>
      </c>
      <c r="P2" s="2">
        <f>('[1]Pc, Summer, S3'!P2*Main!$B$5)+(_xlfn.IFNA(VLOOKUP($A2,'FL Ratio'!$A$3:$B$10,2,FALSE),0)*'FL Characterization'!P$2)</f>
        <v>44.151693186253745</v>
      </c>
      <c r="Q2" s="2">
        <f>('[1]Pc, Summer, S3'!Q2*Main!$B$5)+(_xlfn.IFNA(VLOOKUP($A2,'FL Ratio'!$A$3:$B$10,2,FALSE),0)*'FL Characterization'!Q$2)</f>
        <v>42.374663706530882</v>
      </c>
      <c r="R2" s="2">
        <f>('[1]Pc, Summer, S3'!R2*Main!$B$5)+(_xlfn.IFNA(VLOOKUP($A2,'FL Ratio'!$A$3:$B$10,2,FALSE),0)*'FL Characterization'!R$2)</f>
        <v>43.113962712098385</v>
      </c>
      <c r="S2" s="2">
        <f>('[1]Pc, Summer, S3'!S2*Main!$B$5)+(_xlfn.IFNA(VLOOKUP($A2,'FL Ratio'!$A$3:$B$10,2,FALSE),0)*'FL Characterization'!S$2)</f>
        <v>43.539917893732202</v>
      </c>
      <c r="T2" s="2">
        <f>('[1]Pc, Summer, S3'!T2*Main!$B$5)+(_xlfn.IFNA(VLOOKUP($A2,'FL Ratio'!$A$3:$B$10,2,FALSE),0)*'FL Characterization'!T$2)</f>
        <v>43.724728670942426</v>
      </c>
      <c r="U2" s="2">
        <f>('[1]Pc, Summer, S3'!U2*Main!$B$5)+(_xlfn.IFNA(VLOOKUP($A2,'FL Ratio'!$A$3:$B$10,2,FALSE),0)*'FL Characterization'!U$2)</f>
        <v>43.000883393703518</v>
      </c>
      <c r="V2" s="2">
        <f>('[1]Pc, Summer, S3'!V2*Main!$B$5)+(_xlfn.IFNA(VLOOKUP($A2,'FL Ratio'!$A$3:$B$10,2,FALSE),0)*'FL Characterization'!V$2)</f>
        <v>43.130082106107416</v>
      </c>
      <c r="W2" s="2">
        <f>('[1]Pc, Summer, S3'!W2*Main!$B$5)+(_xlfn.IFNA(VLOOKUP($A2,'FL Ratio'!$A$3:$B$10,2,FALSE),0)*'FL Characterization'!W$2)</f>
        <v>44.916442547409694</v>
      </c>
      <c r="X2" s="2">
        <f>('[1]Pc, Summer, S3'!X2*Main!$B$5)+(_xlfn.IFNA(VLOOKUP($A2,'FL Ratio'!$A$3:$B$10,2,FALSE),0)*'FL Characterization'!X$2)</f>
        <v>41.86756101517345</v>
      </c>
      <c r="Y2" s="2">
        <f>('[1]Pc, Summer, S3'!Y2*Main!$B$5)+(_xlfn.IFNA(VLOOKUP($A2,'FL Ratio'!$A$3:$B$10,2,FALSE),0)*'FL Characterization'!Y$2)</f>
        <v>38.379759733236831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36.51594224962799</v>
      </c>
      <c r="C3" s="2">
        <f>('[1]Pc, Summer, S3'!C3*Main!$B$5)+(_xlfn.IFNA(VLOOKUP($A3,'FL Ratio'!$A$3:$B$10,2,FALSE),0)*'FL Characterization'!C$2)</f>
        <v>33.482297247694483</v>
      </c>
      <c r="D3" s="2">
        <f>('[1]Pc, Summer, S3'!D3*Main!$B$5)+(_xlfn.IFNA(VLOOKUP($A3,'FL Ratio'!$A$3:$B$10,2,FALSE),0)*'FL Characterization'!D$2)</f>
        <v>31.734235810449317</v>
      </c>
      <c r="E3" s="2">
        <f>('[1]Pc, Summer, S3'!E3*Main!$B$5)+(_xlfn.IFNA(VLOOKUP($A3,'FL Ratio'!$A$3:$B$10,2,FALSE),0)*'FL Characterization'!E$2)</f>
        <v>30.575404374659421</v>
      </c>
      <c r="F3" s="2">
        <f>('[1]Pc, Summer, S3'!F3*Main!$B$5)+(_xlfn.IFNA(VLOOKUP($A3,'FL Ratio'!$A$3:$B$10,2,FALSE),0)*'FL Characterization'!F$2)</f>
        <v>30.274193337502261</v>
      </c>
      <c r="G3" s="2">
        <f>('[1]Pc, Summer, S3'!G3*Main!$B$5)+(_xlfn.IFNA(VLOOKUP($A3,'FL Ratio'!$A$3:$B$10,2,FALSE),0)*'FL Characterization'!G$2)</f>
        <v>32.155500654434796</v>
      </c>
      <c r="H3" s="2">
        <f>('[1]Pc, Summer, S3'!H3*Main!$B$5)+(_xlfn.IFNA(VLOOKUP($A3,'FL Ratio'!$A$3:$B$10,2,FALSE),0)*'FL Characterization'!H$2)</f>
        <v>40.255057839469984</v>
      </c>
      <c r="I3" s="2">
        <f>('[1]Pc, Summer, S3'!I3*Main!$B$5)+(_xlfn.IFNA(VLOOKUP($A3,'FL Ratio'!$A$3:$B$10,2,FALSE),0)*'FL Characterization'!I$2)</f>
        <v>48.038467646272586</v>
      </c>
      <c r="J3" s="2">
        <f>('[1]Pc, Summer, S3'!J3*Main!$B$5)+(_xlfn.IFNA(VLOOKUP($A3,'FL Ratio'!$A$3:$B$10,2,FALSE),0)*'FL Characterization'!J$2)</f>
        <v>50.096669367293721</v>
      </c>
      <c r="K3" s="2">
        <f>('[1]Pc, Summer, S3'!K3*Main!$B$5)+(_xlfn.IFNA(VLOOKUP($A3,'FL Ratio'!$A$3:$B$10,2,FALSE),0)*'FL Characterization'!K$2)</f>
        <v>49.151838317688998</v>
      </c>
      <c r="L3" s="2">
        <f>('[1]Pc, Summer, S3'!L3*Main!$B$5)+(_xlfn.IFNA(VLOOKUP($A3,'FL Ratio'!$A$3:$B$10,2,FALSE),0)*'FL Characterization'!L$2)</f>
        <v>48.998912629894463</v>
      </c>
      <c r="M3" s="2">
        <f>('[1]Pc, Summer, S3'!M3*Main!$B$5)+(_xlfn.IFNA(VLOOKUP($A3,'FL Ratio'!$A$3:$B$10,2,FALSE),0)*'FL Characterization'!M$2)</f>
        <v>52.246735314669777</v>
      </c>
      <c r="N3" s="2">
        <f>('[1]Pc, Summer, S3'!N3*Main!$B$5)+(_xlfn.IFNA(VLOOKUP($A3,'FL Ratio'!$A$3:$B$10,2,FALSE),0)*'FL Characterization'!N$2)</f>
        <v>52.384506892753464</v>
      </c>
      <c r="O3" s="2">
        <f>('[1]Pc, Summer, S3'!O3*Main!$B$5)+(_xlfn.IFNA(VLOOKUP($A3,'FL Ratio'!$A$3:$B$10,2,FALSE),0)*'FL Characterization'!O$2)</f>
        <v>52.696232483569091</v>
      </c>
      <c r="P3" s="2">
        <f>('[1]Pc, Summer, S3'!P3*Main!$B$5)+(_xlfn.IFNA(VLOOKUP($A3,'FL Ratio'!$A$3:$B$10,2,FALSE),0)*'FL Characterization'!P$2)</f>
        <v>50.131982884466467</v>
      </c>
      <c r="Q3" s="2">
        <f>('[1]Pc, Summer, S3'!Q3*Main!$B$5)+(_xlfn.IFNA(VLOOKUP($A3,'FL Ratio'!$A$3:$B$10,2,FALSE),0)*'FL Characterization'!Q$2)</f>
        <v>47.486858235418303</v>
      </c>
      <c r="R3" s="2">
        <f>('[1]Pc, Summer, S3'!R3*Main!$B$5)+(_xlfn.IFNA(VLOOKUP($A3,'FL Ratio'!$A$3:$B$10,2,FALSE),0)*'FL Characterization'!R$2)</f>
        <v>43.971383289588779</v>
      </c>
      <c r="S3" s="2">
        <f>('[1]Pc, Summer, S3'!S3*Main!$B$5)+(_xlfn.IFNA(VLOOKUP($A3,'FL Ratio'!$A$3:$B$10,2,FALSE),0)*'FL Characterization'!S$2)</f>
        <v>44.38748128804356</v>
      </c>
      <c r="T3" s="2">
        <f>('[1]Pc, Summer, S3'!T3*Main!$B$5)+(_xlfn.IFNA(VLOOKUP($A3,'FL Ratio'!$A$3:$B$10,2,FALSE),0)*'FL Characterization'!T$2)</f>
        <v>44.049778564659967</v>
      </c>
      <c r="U3" s="2">
        <f>('[1]Pc, Summer, S3'!U3*Main!$B$5)+(_xlfn.IFNA(VLOOKUP($A3,'FL Ratio'!$A$3:$B$10,2,FALSE),0)*'FL Characterization'!U$2)</f>
        <v>43.907368212903421</v>
      </c>
      <c r="V3" s="2">
        <f>('[1]Pc, Summer, S3'!V3*Main!$B$5)+(_xlfn.IFNA(VLOOKUP($A3,'FL Ratio'!$A$3:$B$10,2,FALSE),0)*'FL Characterization'!V$2)</f>
        <v>44.08224998036993</v>
      </c>
      <c r="W3" s="2">
        <f>('[1]Pc, Summer, S3'!W3*Main!$B$5)+(_xlfn.IFNA(VLOOKUP($A3,'FL Ratio'!$A$3:$B$10,2,FALSE),0)*'FL Characterization'!W$2)</f>
        <v>43.886648357164688</v>
      </c>
      <c r="X3" s="2">
        <f>('[1]Pc, Summer, S3'!X3*Main!$B$5)+(_xlfn.IFNA(VLOOKUP($A3,'FL Ratio'!$A$3:$B$10,2,FALSE),0)*'FL Characterization'!X$2)</f>
        <v>43.448890050935283</v>
      </c>
      <c r="Y3" s="2">
        <f>('[1]Pc, Summer, S3'!Y3*Main!$B$5)+(_xlfn.IFNA(VLOOKUP($A3,'FL Ratio'!$A$3:$B$10,2,FALSE),0)*'FL Characterization'!Y$2)</f>
        <v>41.043121274903811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48.574004936857456</v>
      </c>
      <c r="C4" s="2">
        <f>('[1]Pc, Summer, S3'!C4*Main!$B$5)+(_xlfn.IFNA(VLOOKUP($A4,'FL Ratio'!$A$3:$B$10,2,FALSE),0)*'FL Characterization'!C$2)</f>
        <v>43.050689810620689</v>
      </c>
      <c r="D4" s="2">
        <f>('[1]Pc, Summer, S3'!D4*Main!$B$5)+(_xlfn.IFNA(VLOOKUP($A4,'FL Ratio'!$A$3:$B$10,2,FALSE),0)*'FL Characterization'!D$2)</f>
        <v>40.610522309701174</v>
      </c>
      <c r="E4" s="2">
        <f>('[1]Pc, Summer, S3'!E4*Main!$B$5)+(_xlfn.IFNA(VLOOKUP($A4,'FL Ratio'!$A$3:$B$10,2,FALSE),0)*'FL Characterization'!E$2)</f>
        <v>39.286594391423144</v>
      </c>
      <c r="F4" s="2">
        <f>('[1]Pc, Summer, S3'!F4*Main!$B$5)+(_xlfn.IFNA(VLOOKUP($A4,'FL Ratio'!$A$3:$B$10,2,FALSE),0)*'FL Characterization'!F$2)</f>
        <v>41.246088462063533</v>
      </c>
      <c r="G4" s="2">
        <f>('[1]Pc, Summer, S3'!G4*Main!$B$5)+(_xlfn.IFNA(VLOOKUP($A4,'FL Ratio'!$A$3:$B$10,2,FALSE),0)*'FL Characterization'!G$2)</f>
        <v>37.686989320067909</v>
      </c>
      <c r="H4" s="2">
        <f>('[1]Pc, Summer, S3'!H4*Main!$B$5)+(_xlfn.IFNA(VLOOKUP($A4,'FL Ratio'!$A$3:$B$10,2,FALSE),0)*'FL Characterization'!H$2)</f>
        <v>44.25803332562198</v>
      </c>
      <c r="I4" s="2">
        <f>('[1]Pc, Summer, S3'!I4*Main!$B$5)+(_xlfn.IFNA(VLOOKUP($A4,'FL Ratio'!$A$3:$B$10,2,FALSE),0)*'FL Characterization'!I$2)</f>
        <v>49.970490697934373</v>
      </c>
      <c r="J4" s="2">
        <f>('[1]Pc, Summer, S3'!J4*Main!$B$5)+(_xlfn.IFNA(VLOOKUP($A4,'FL Ratio'!$A$3:$B$10,2,FALSE),0)*'FL Characterization'!J$2)</f>
        <v>56.234286424125983</v>
      </c>
      <c r="K4" s="2">
        <f>('[1]Pc, Summer, S3'!K4*Main!$B$5)+(_xlfn.IFNA(VLOOKUP($A4,'FL Ratio'!$A$3:$B$10,2,FALSE),0)*'FL Characterization'!K$2)</f>
        <v>60.437612706325275</v>
      </c>
      <c r="L4" s="2">
        <f>('[1]Pc, Summer, S3'!L4*Main!$B$5)+(_xlfn.IFNA(VLOOKUP($A4,'FL Ratio'!$A$3:$B$10,2,FALSE),0)*'FL Characterization'!L$2)</f>
        <v>62.231916393387763</v>
      </c>
      <c r="M4" s="2">
        <f>('[1]Pc, Summer, S3'!M4*Main!$B$5)+(_xlfn.IFNA(VLOOKUP($A4,'FL Ratio'!$A$3:$B$10,2,FALSE),0)*'FL Characterization'!M$2)</f>
        <v>63.260273978744173</v>
      </c>
      <c r="N4" s="2">
        <f>('[1]Pc, Summer, S3'!N4*Main!$B$5)+(_xlfn.IFNA(VLOOKUP($A4,'FL Ratio'!$A$3:$B$10,2,FALSE),0)*'FL Characterization'!N$2)</f>
        <v>64.635611159773589</v>
      </c>
      <c r="O4" s="2">
        <f>('[1]Pc, Summer, S3'!O4*Main!$B$5)+(_xlfn.IFNA(VLOOKUP($A4,'FL Ratio'!$A$3:$B$10,2,FALSE),0)*'FL Characterization'!O$2)</f>
        <v>65.473695506417087</v>
      </c>
      <c r="P4" s="2">
        <f>('[1]Pc, Summer, S3'!P4*Main!$B$5)+(_xlfn.IFNA(VLOOKUP($A4,'FL Ratio'!$A$3:$B$10,2,FALSE),0)*'FL Characterization'!P$2)</f>
        <v>65.74546893621438</v>
      </c>
      <c r="Q4" s="2">
        <f>('[1]Pc, Summer, S3'!Q4*Main!$B$5)+(_xlfn.IFNA(VLOOKUP($A4,'FL Ratio'!$A$3:$B$10,2,FALSE),0)*'FL Characterization'!Q$2)</f>
        <v>63.282277177683333</v>
      </c>
      <c r="R4" s="2">
        <f>('[1]Pc, Summer, S3'!R4*Main!$B$5)+(_xlfn.IFNA(VLOOKUP($A4,'FL Ratio'!$A$3:$B$10,2,FALSE),0)*'FL Characterization'!R$2)</f>
        <v>62.999548248396138</v>
      </c>
      <c r="S4" s="2">
        <f>('[1]Pc, Summer, S3'!S4*Main!$B$5)+(_xlfn.IFNA(VLOOKUP($A4,'FL Ratio'!$A$3:$B$10,2,FALSE),0)*'FL Characterization'!S$2)</f>
        <v>60.975106815364406</v>
      </c>
      <c r="T4" s="2">
        <f>('[1]Pc, Summer, S3'!T4*Main!$B$5)+(_xlfn.IFNA(VLOOKUP($A4,'FL Ratio'!$A$3:$B$10,2,FALSE),0)*'FL Characterization'!T$2)</f>
        <v>60.953928058113277</v>
      </c>
      <c r="U4" s="2">
        <f>('[1]Pc, Summer, S3'!U4*Main!$B$5)+(_xlfn.IFNA(VLOOKUP($A4,'FL Ratio'!$A$3:$B$10,2,FALSE),0)*'FL Characterization'!U$2)</f>
        <v>61.308720213227168</v>
      </c>
      <c r="V4" s="2">
        <f>('[1]Pc, Summer, S3'!V4*Main!$B$5)+(_xlfn.IFNA(VLOOKUP($A4,'FL Ratio'!$A$3:$B$10,2,FALSE),0)*'FL Characterization'!V$2)</f>
        <v>60.982403718735355</v>
      </c>
      <c r="W4" s="2">
        <f>('[1]Pc, Summer, S3'!W4*Main!$B$5)+(_xlfn.IFNA(VLOOKUP($A4,'FL Ratio'!$A$3:$B$10,2,FALSE),0)*'FL Characterization'!W$2)</f>
        <v>62.954542776227044</v>
      </c>
      <c r="X4" s="2">
        <f>('[1]Pc, Summer, S3'!X4*Main!$B$5)+(_xlfn.IFNA(VLOOKUP($A4,'FL Ratio'!$A$3:$B$10,2,FALSE),0)*'FL Characterization'!X$2)</f>
        <v>62.64289805495784</v>
      </c>
      <c r="Y4" s="2">
        <f>('[1]Pc, Summer, S3'!Y4*Main!$B$5)+(_xlfn.IFNA(VLOOKUP($A4,'FL Ratio'!$A$3:$B$10,2,FALSE),0)*'FL Characterization'!Y$2)</f>
        <v>56.436390871911861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7E3D7-C1B6-4623-A296-E98A362F351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34.139579738543986</v>
      </c>
      <c r="C2" s="2">
        <f>('[1]Pc, Summer, S3'!C2*Main!$B$5)+(_xlfn.IFNA(VLOOKUP($A2,'FL Ratio'!$A$3:$B$10,2,FALSE),0)*'FL Characterization'!C$2)</f>
        <v>31.01733596344668</v>
      </c>
      <c r="D2" s="2">
        <f>('[1]Pc, Summer, S3'!D2*Main!$B$5)+(_xlfn.IFNA(VLOOKUP($A2,'FL Ratio'!$A$3:$B$10,2,FALSE),0)*'FL Characterization'!D$2)</f>
        <v>30.475543718094617</v>
      </c>
      <c r="E2" s="2">
        <f>('[1]Pc, Summer, S3'!E2*Main!$B$5)+(_xlfn.IFNA(VLOOKUP($A2,'FL Ratio'!$A$3:$B$10,2,FALSE),0)*'FL Characterization'!E$2)</f>
        <v>30.397691989754907</v>
      </c>
      <c r="F2" s="2">
        <f>('[1]Pc, Summer, S3'!F2*Main!$B$5)+(_xlfn.IFNA(VLOOKUP($A2,'FL Ratio'!$A$3:$B$10,2,FALSE),0)*'FL Characterization'!F$2)</f>
        <v>30.400088547146417</v>
      </c>
      <c r="G2" s="2">
        <f>('[1]Pc, Summer, S3'!G2*Main!$B$5)+(_xlfn.IFNA(VLOOKUP($A2,'FL Ratio'!$A$3:$B$10,2,FALSE),0)*'FL Characterization'!G$2)</f>
        <v>30.131239046748821</v>
      </c>
      <c r="H2" s="2">
        <f>('[1]Pc, Summer, S3'!H2*Main!$B$5)+(_xlfn.IFNA(VLOOKUP($A2,'FL Ratio'!$A$3:$B$10,2,FALSE),0)*'FL Characterization'!H$2)</f>
        <v>32.529362272581245</v>
      </c>
      <c r="I2" s="2">
        <f>('[1]Pc, Summer, S3'!I2*Main!$B$5)+(_xlfn.IFNA(VLOOKUP($A2,'FL Ratio'!$A$3:$B$10,2,FALSE),0)*'FL Characterization'!I$2)</f>
        <v>38.620300198480166</v>
      </c>
      <c r="J2" s="2">
        <f>('[1]Pc, Summer, S3'!J2*Main!$B$5)+(_xlfn.IFNA(VLOOKUP($A2,'FL Ratio'!$A$3:$B$10,2,FALSE),0)*'FL Characterization'!J$2)</f>
        <v>44.016160667546572</v>
      </c>
      <c r="K2" s="2">
        <f>('[1]Pc, Summer, S3'!K2*Main!$B$5)+(_xlfn.IFNA(VLOOKUP($A2,'FL Ratio'!$A$3:$B$10,2,FALSE),0)*'FL Characterization'!K$2)</f>
        <v>45.36869142064463</v>
      </c>
      <c r="L2" s="2">
        <f>('[1]Pc, Summer, S3'!L2*Main!$B$5)+(_xlfn.IFNA(VLOOKUP($A2,'FL Ratio'!$A$3:$B$10,2,FALSE),0)*'FL Characterization'!L$2)</f>
        <v>44.909572366946819</v>
      </c>
      <c r="M2" s="2">
        <f>('[1]Pc, Summer, S3'!M2*Main!$B$5)+(_xlfn.IFNA(VLOOKUP($A2,'FL Ratio'!$A$3:$B$10,2,FALSE),0)*'FL Characterization'!M$2)</f>
        <v>46.179552550440533</v>
      </c>
      <c r="N2" s="2">
        <f>('[1]Pc, Summer, S3'!N2*Main!$B$5)+(_xlfn.IFNA(VLOOKUP($A2,'FL Ratio'!$A$3:$B$10,2,FALSE),0)*'FL Characterization'!N$2)</f>
        <v>46.813038641504107</v>
      </c>
      <c r="O2" s="2">
        <f>('[1]Pc, Summer, S3'!O2*Main!$B$5)+(_xlfn.IFNA(VLOOKUP($A2,'FL Ratio'!$A$3:$B$10,2,FALSE),0)*'FL Characterization'!O$2)</f>
        <v>45.947085127703716</v>
      </c>
      <c r="P2" s="2">
        <f>('[1]Pc, Summer, S3'!P2*Main!$B$5)+(_xlfn.IFNA(VLOOKUP($A2,'FL Ratio'!$A$3:$B$10,2,FALSE),0)*'FL Characterization'!P$2)</f>
        <v>44.151693186253745</v>
      </c>
      <c r="Q2" s="2">
        <f>('[1]Pc, Summer, S3'!Q2*Main!$B$5)+(_xlfn.IFNA(VLOOKUP($A2,'FL Ratio'!$A$3:$B$10,2,FALSE),0)*'FL Characterization'!Q$2)</f>
        <v>42.374663706530882</v>
      </c>
      <c r="R2" s="2">
        <f>('[1]Pc, Summer, S3'!R2*Main!$B$5)+(_xlfn.IFNA(VLOOKUP($A2,'FL Ratio'!$A$3:$B$10,2,FALSE),0)*'FL Characterization'!R$2)</f>
        <v>43.113962712098385</v>
      </c>
      <c r="S2" s="2">
        <f>('[1]Pc, Summer, S3'!S2*Main!$B$5)+(_xlfn.IFNA(VLOOKUP($A2,'FL Ratio'!$A$3:$B$10,2,FALSE),0)*'FL Characterization'!S$2)</f>
        <v>43.539917893732202</v>
      </c>
      <c r="T2" s="2">
        <f>('[1]Pc, Summer, S3'!T2*Main!$B$5)+(_xlfn.IFNA(VLOOKUP($A2,'FL Ratio'!$A$3:$B$10,2,FALSE),0)*'FL Characterization'!T$2)</f>
        <v>43.724728670942426</v>
      </c>
      <c r="U2" s="2">
        <f>('[1]Pc, Summer, S3'!U2*Main!$B$5)+(_xlfn.IFNA(VLOOKUP($A2,'FL Ratio'!$A$3:$B$10,2,FALSE),0)*'FL Characterization'!U$2)</f>
        <v>43.000883393703518</v>
      </c>
      <c r="V2" s="2">
        <f>('[1]Pc, Summer, S3'!V2*Main!$B$5)+(_xlfn.IFNA(VLOOKUP($A2,'FL Ratio'!$A$3:$B$10,2,FALSE),0)*'FL Characterization'!V$2)</f>
        <v>43.130082106107416</v>
      </c>
      <c r="W2" s="2">
        <f>('[1]Pc, Summer, S3'!W2*Main!$B$5)+(_xlfn.IFNA(VLOOKUP($A2,'FL Ratio'!$A$3:$B$10,2,FALSE),0)*'FL Characterization'!W$2)</f>
        <v>44.916442547409694</v>
      </c>
      <c r="X2" s="2">
        <f>('[1]Pc, Summer, S3'!X2*Main!$B$5)+(_xlfn.IFNA(VLOOKUP($A2,'FL Ratio'!$A$3:$B$10,2,FALSE),0)*'FL Characterization'!X$2)</f>
        <v>41.86756101517345</v>
      </c>
      <c r="Y2" s="2">
        <f>('[1]Pc, Summer, S3'!Y2*Main!$B$5)+(_xlfn.IFNA(VLOOKUP($A2,'FL Ratio'!$A$3:$B$10,2,FALSE),0)*'FL Characterization'!Y$2)</f>
        <v>38.379759733236831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36.51594224962799</v>
      </c>
      <c r="C3" s="2">
        <f>('[1]Pc, Summer, S3'!C3*Main!$B$5)+(_xlfn.IFNA(VLOOKUP($A3,'FL Ratio'!$A$3:$B$10,2,FALSE),0)*'FL Characterization'!C$2)</f>
        <v>33.482297247694483</v>
      </c>
      <c r="D3" s="2">
        <f>('[1]Pc, Summer, S3'!D3*Main!$B$5)+(_xlfn.IFNA(VLOOKUP($A3,'FL Ratio'!$A$3:$B$10,2,FALSE),0)*'FL Characterization'!D$2)</f>
        <v>31.734235810449317</v>
      </c>
      <c r="E3" s="2">
        <f>('[1]Pc, Summer, S3'!E3*Main!$B$5)+(_xlfn.IFNA(VLOOKUP($A3,'FL Ratio'!$A$3:$B$10,2,FALSE),0)*'FL Characterization'!E$2)</f>
        <v>30.575404374659421</v>
      </c>
      <c r="F3" s="2">
        <f>('[1]Pc, Summer, S3'!F3*Main!$B$5)+(_xlfn.IFNA(VLOOKUP($A3,'FL Ratio'!$A$3:$B$10,2,FALSE),0)*'FL Characterization'!F$2)</f>
        <v>30.274193337502261</v>
      </c>
      <c r="G3" s="2">
        <f>('[1]Pc, Summer, S3'!G3*Main!$B$5)+(_xlfn.IFNA(VLOOKUP($A3,'FL Ratio'!$A$3:$B$10,2,FALSE),0)*'FL Characterization'!G$2)</f>
        <v>32.155500654434796</v>
      </c>
      <c r="H3" s="2">
        <f>('[1]Pc, Summer, S3'!H3*Main!$B$5)+(_xlfn.IFNA(VLOOKUP($A3,'FL Ratio'!$A$3:$B$10,2,FALSE),0)*'FL Characterization'!H$2)</f>
        <v>40.255057839469984</v>
      </c>
      <c r="I3" s="2">
        <f>('[1]Pc, Summer, S3'!I3*Main!$B$5)+(_xlfn.IFNA(VLOOKUP($A3,'FL Ratio'!$A$3:$B$10,2,FALSE),0)*'FL Characterization'!I$2)</f>
        <v>48.038467646272586</v>
      </c>
      <c r="J3" s="2">
        <f>('[1]Pc, Summer, S3'!J3*Main!$B$5)+(_xlfn.IFNA(VLOOKUP($A3,'FL Ratio'!$A$3:$B$10,2,FALSE),0)*'FL Characterization'!J$2)</f>
        <v>50.096669367293721</v>
      </c>
      <c r="K3" s="2">
        <f>('[1]Pc, Summer, S3'!K3*Main!$B$5)+(_xlfn.IFNA(VLOOKUP($A3,'FL Ratio'!$A$3:$B$10,2,FALSE),0)*'FL Characterization'!K$2)</f>
        <v>49.151838317688998</v>
      </c>
      <c r="L3" s="2">
        <f>('[1]Pc, Summer, S3'!L3*Main!$B$5)+(_xlfn.IFNA(VLOOKUP($A3,'FL Ratio'!$A$3:$B$10,2,FALSE),0)*'FL Characterization'!L$2)</f>
        <v>48.998912629894463</v>
      </c>
      <c r="M3" s="2">
        <f>('[1]Pc, Summer, S3'!M3*Main!$B$5)+(_xlfn.IFNA(VLOOKUP($A3,'FL Ratio'!$A$3:$B$10,2,FALSE),0)*'FL Characterization'!M$2)</f>
        <v>52.246735314669777</v>
      </c>
      <c r="N3" s="2">
        <f>('[1]Pc, Summer, S3'!N3*Main!$B$5)+(_xlfn.IFNA(VLOOKUP($A3,'FL Ratio'!$A$3:$B$10,2,FALSE),0)*'FL Characterization'!N$2)</f>
        <v>52.384506892753464</v>
      </c>
      <c r="O3" s="2">
        <f>('[1]Pc, Summer, S3'!O3*Main!$B$5)+(_xlfn.IFNA(VLOOKUP($A3,'FL Ratio'!$A$3:$B$10,2,FALSE),0)*'FL Characterization'!O$2)</f>
        <v>52.696232483569091</v>
      </c>
      <c r="P3" s="2">
        <f>('[1]Pc, Summer, S3'!P3*Main!$B$5)+(_xlfn.IFNA(VLOOKUP($A3,'FL Ratio'!$A$3:$B$10,2,FALSE),0)*'FL Characterization'!P$2)</f>
        <v>50.131982884466467</v>
      </c>
      <c r="Q3" s="2">
        <f>('[1]Pc, Summer, S3'!Q3*Main!$B$5)+(_xlfn.IFNA(VLOOKUP($A3,'FL Ratio'!$A$3:$B$10,2,FALSE),0)*'FL Characterization'!Q$2)</f>
        <v>47.486858235418303</v>
      </c>
      <c r="R3" s="2">
        <f>('[1]Pc, Summer, S3'!R3*Main!$B$5)+(_xlfn.IFNA(VLOOKUP($A3,'FL Ratio'!$A$3:$B$10,2,FALSE),0)*'FL Characterization'!R$2)</f>
        <v>43.971383289588779</v>
      </c>
      <c r="S3" s="2">
        <f>('[1]Pc, Summer, S3'!S3*Main!$B$5)+(_xlfn.IFNA(VLOOKUP($A3,'FL Ratio'!$A$3:$B$10,2,FALSE),0)*'FL Characterization'!S$2)</f>
        <v>44.38748128804356</v>
      </c>
      <c r="T3" s="2">
        <f>('[1]Pc, Summer, S3'!T3*Main!$B$5)+(_xlfn.IFNA(VLOOKUP($A3,'FL Ratio'!$A$3:$B$10,2,FALSE),0)*'FL Characterization'!T$2)</f>
        <v>44.049778564659967</v>
      </c>
      <c r="U3" s="2">
        <f>('[1]Pc, Summer, S3'!U3*Main!$B$5)+(_xlfn.IFNA(VLOOKUP($A3,'FL Ratio'!$A$3:$B$10,2,FALSE),0)*'FL Characterization'!U$2)</f>
        <v>43.907368212903421</v>
      </c>
      <c r="V3" s="2">
        <f>('[1]Pc, Summer, S3'!V3*Main!$B$5)+(_xlfn.IFNA(VLOOKUP($A3,'FL Ratio'!$A$3:$B$10,2,FALSE),0)*'FL Characterization'!V$2)</f>
        <v>44.08224998036993</v>
      </c>
      <c r="W3" s="2">
        <f>('[1]Pc, Summer, S3'!W3*Main!$B$5)+(_xlfn.IFNA(VLOOKUP($A3,'FL Ratio'!$A$3:$B$10,2,FALSE),0)*'FL Characterization'!W$2)</f>
        <v>43.886648357164688</v>
      </c>
      <c r="X3" s="2">
        <f>('[1]Pc, Summer, S3'!X3*Main!$B$5)+(_xlfn.IFNA(VLOOKUP($A3,'FL Ratio'!$A$3:$B$10,2,FALSE),0)*'FL Characterization'!X$2)</f>
        <v>43.448890050935283</v>
      </c>
      <c r="Y3" s="2">
        <f>('[1]Pc, Summer, S3'!Y3*Main!$B$5)+(_xlfn.IFNA(VLOOKUP($A3,'FL Ratio'!$A$3:$B$10,2,FALSE),0)*'FL Characterization'!Y$2)</f>
        <v>41.043121274903811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48.574004936857456</v>
      </c>
      <c r="C4" s="2">
        <f>('[1]Pc, Summer, S3'!C4*Main!$B$5)+(_xlfn.IFNA(VLOOKUP($A4,'FL Ratio'!$A$3:$B$10,2,FALSE),0)*'FL Characterization'!C$2)</f>
        <v>43.050689810620689</v>
      </c>
      <c r="D4" s="2">
        <f>('[1]Pc, Summer, S3'!D4*Main!$B$5)+(_xlfn.IFNA(VLOOKUP($A4,'FL Ratio'!$A$3:$B$10,2,FALSE),0)*'FL Characterization'!D$2)</f>
        <v>40.610522309701174</v>
      </c>
      <c r="E4" s="2">
        <f>('[1]Pc, Summer, S3'!E4*Main!$B$5)+(_xlfn.IFNA(VLOOKUP($A4,'FL Ratio'!$A$3:$B$10,2,FALSE),0)*'FL Characterization'!E$2)</f>
        <v>39.286594391423144</v>
      </c>
      <c r="F4" s="2">
        <f>('[1]Pc, Summer, S3'!F4*Main!$B$5)+(_xlfn.IFNA(VLOOKUP($A4,'FL Ratio'!$A$3:$B$10,2,FALSE),0)*'FL Characterization'!F$2)</f>
        <v>41.246088462063533</v>
      </c>
      <c r="G4" s="2">
        <f>('[1]Pc, Summer, S3'!G4*Main!$B$5)+(_xlfn.IFNA(VLOOKUP($A4,'FL Ratio'!$A$3:$B$10,2,FALSE),0)*'FL Characterization'!G$2)</f>
        <v>37.686989320067909</v>
      </c>
      <c r="H4" s="2">
        <f>('[1]Pc, Summer, S3'!H4*Main!$B$5)+(_xlfn.IFNA(VLOOKUP($A4,'FL Ratio'!$A$3:$B$10,2,FALSE),0)*'FL Characterization'!H$2)</f>
        <v>44.25803332562198</v>
      </c>
      <c r="I4" s="2">
        <f>('[1]Pc, Summer, S3'!I4*Main!$B$5)+(_xlfn.IFNA(VLOOKUP($A4,'FL Ratio'!$A$3:$B$10,2,FALSE),0)*'FL Characterization'!I$2)</f>
        <v>49.970490697934373</v>
      </c>
      <c r="J4" s="2">
        <f>('[1]Pc, Summer, S3'!J4*Main!$B$5)+(_xlfn.IFNA(VLOOKUP($A4,'FL Ratio'!$A$3:$B$10,2,FALSE),0)*'FL Characterization'!J$2)</f>
        <v>56.234286424125983</v>
      </c>
      <c r="K4" s="2">
        <f>('[1]Pc, Summer, S3'!K4*Main!$B$5)+(_xlfn.IFNA(VLOOKUP($A4,'FL Ratio'!$A$3:$B$10,2,FALSE),0)*'FL Characterization'!K$2)</f>
        <v>60.437612706325275</v>
      </c>
      <c r="L4" s="2">
        <f>('[1]Pc, Summer, S3'!L4*Main!$B$5)+(_xlfn.IFNA(VLOOKUP($A4,'FL Ratio'!$A$3:$B$10,2,FALSE),0)*'FL Characterization'!L$2)</f>
        <v>62.231916393387763</v>
      </c>
      <c r="M4" s="2">
        <f>('[1]Pc, Summer, S3'!M4*Main!$B$5)+(_xlfn.IFNA(VLOOKUP($A4,'FL Ratio'!$A$3:$B$10,2,FALSE),0)*'FL Characterization'!M$2)</f>
        <v>63.260273978744173</v>
      </c>
      <c r="N4" s="2">
        <f>('[1]Pc, Summer, S3'!N4*Main!$B$5)+(_xlfn.IFNA(VLOOKUP($A4,'FL Ratio'!$A$3:$B$10,2,FALSE),0)*'FL Characterization'!N$2)</f>
        <v>64.635611159773589</v>
      </c>
      <c r="O4" s="2">
        <f>('[1]Pc, Summer, S3'!O4*Main!$B$5)+(_xlfn.IFNA(VLOOKUP($A4,'FL Ratio'!$A$3:$B$10,2,FALSE),0)*'FL Characterization'!O$2)</f>
        <v>65.473695506417087</v>
      </c>
      <c r="P4" s="2">
        <f>('[1]Pc, Summer, S3'!P4*Main!$B$5)+(_xlfn.IFNA(VLOOKUP($A4,'FL Ratio'!$A$3:$B$10,2,FALSE),0)*'FL Characterization'!P$2)</f>
        <v>65.74546893621438</v>
      </c>
      <c r="Q4" s="2">
        <f>('[1]Pc, Summer, S3'!Q4*Main!$B$5)+(_xlfn.IFNA(VLOOKUP($A4,'FL Ratio'!$A$3:$B$10,2,FALSE),0)*'FL Characterization'!Q$2)</f>
        <v>63.282277177683333</v>
      </c>
      <c r="R4" s="2">
        <f>('[1]Pc, Summer, S3'!R4*Main!$B$5)+(_xlfn.IFNA(VLOOKUP($A4,'FL Ratio'!$A$3:$B$10,2,FALSE),0)*'FL Characterization'!R$2)</f>
        <v>62.999548248396138</v>
      </c>
      <c r="S4" s="2">
        <f>('[1]Pc, Summer, S3'!S4*Main!$B$5)+(_xlfn.IFNA(VLOOKUP($A4,'FL Ratio'!$A$3:$B$10,2,FALSE),0)*'FL Characterization'!S$2)</f>
        <v>60.975106815364406</v>
      </c>
      <c r="T4" s="2">
        <f>('[1]Pc, Summer, S3'!T4*Main!$B$5)+(_xlfn.IFNA(VLOOKUP($A4,'FL Ratio'!$A$3:$B$10,2,FALSE),0)*'FL Characterization'!T$2)</f>
        <v>60.953928058113277</v>
      </c>
      <c r="U4" s="2">
        <f>('[1]Pc, Summer, S3'!U4*Main!$B$5)+(_xlfn.IFNA(VLOOKUP($A4,'FL Ratio'!$A$3:$B$10,2,FALSE),0)*'FL Characterization'!U$2)</f>
        <v>61.308720213227168</v>
      </c>
      <c r="V4" s="2">
        <f>('[1]Pc, Summer, S3'!V4*Main!$B$5)+(_xlfn.IFNA(VLOOKUP($A4,'FL Ratio'!$A$3:$B$10,2,FALSE),0)*'FL Characterization'!V$2)</f>
        <v>60.982403718735355</v>
      </c>
      <c r="W4" s="2">
        <f>('[1]Pc, Summer, S3'!W4*Main!$B$5)+(_xlfn.IFNA(VLOOKUP($A4,'FL Ratio'!$A$3:$B$10,2,FALSE),0)*'FL Characterization'!W$2)</f>
        <v>62.954542776227044</v>
      </c>
      <c r="X4" s="2">
        <f>('[1]Pc, Summer, S3'!X4*Main!$B$5)+(_xlfn.IFNA(VLOOKUP($A4,'FL Ratio'!$A$3:$B$10,2,FALSE),0)*'FL Characterization'!X$2)</f>
        <v>62.64289805495784</v>
      </c>
      <c r="Y4" s="2">
        <f>('[1]Pc, Summer, S3'!Y4*Main!$B$5)+(_xlfn.IFNA(VLOOKUP($A4,'FL Ratio'!$A$3:$B$10,2,FALSE),0)*'FL Characterization'!Y$2)</f>
        <v>56.436390871911861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53056-E6B3-4F0E-8018-F15414CCE61A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-11.104090862791466</v>
      </c>
      <c r="C2" s="2">
        <f>('[1]Qc, Summer, S1'!C2*Main!$B$5)</f>
        <v>-14.436681597041442</v>
      </c>
      <c r="D2" s="2">
        <f>('[1]Qc, Summer, S1'!D2*Main!$B$5)</f>
        <v>-15.912009187538995</v>
      </c>
      <c r="E2" s="2">
        <f>('[1]Qc, Summer, S1'!E2*Main!$B$5)</f>
        <v>-14.520542024708174</v>
      </c>
      <c r="F2" s="2">
        <f>('[1]Qc, Summer, S1'!F2*Main!$B$5)</f>
        <v>-15.564067447357738</v>
      </c>
      <c r="G2" s="2">
        <f>('[1]Qc, Summer, S1'!G2*Main!$B$5)</f>
        <v>-15.922802259015002</v>
      </c>
      <c r="H2" s="2">
        <f>('[1]Qc, Summer, S1'!H2*Main!$B$5)</f>
        <v>-13.800138030345215</v>
      </c>
      <c r="I2" s="2">
        <f>('[1]Qc, Summer, S1'!I2*Main!$B$5)</f>
        <v>-2.1469914331635187</v>
      </c>
      <c r="J2" s="2">
        <f>('[1]Qc, Summer, S1'!J2*Main!$B$5)</f>
        <v>6.891684516907949</v>
      </c>
      <c r="K2" s="2">
        <f>('[1]Qc, Summer, S1'!K2*Main!$B$5)</f>
        <v>10.032953070721822</v>
      </c>
      <c r="L2" s="2">
        <f>('[1]Qc, Summer, S1'!L2*Main!$B$5)</f>
        <v>7.8867980813599621</v>
      </c>
      <c r="M2" s="2">
        <f>('[1]Qc, Summer, S1'!M2*Main!$B$5)</f>
        <v>10.505431590938427</v>
      </c>
      <c r="N2" s="2">
        <f>('[1]Qc, Summer, S1'!N2*Main!$B$5)</f>
        <v>9.3227287886142864</v>
      </c>
      <c r="O2" s="2">
        <f>('[1]Qc, Summer, S1'!O2*Main!$B$5)</f>
        <v>9.6034248302378646</v>
      </c>
      <c r="P2" s="2">
        <f>('[1]Qc, Summer, S1'!P2*Main!$B$5)</f>
        <v>4.9550147775142728</v>
      </c>
      <c r="Q2" s="2">
        <f>('[1]Qc, Summer, S1'!Q2*Main!$B$5)</f>
        <v>1.252687716332366</v>
      </c>
      <c r="R2" s="2">
        <f>('[1]Qc, Summer, S1'!R2*Main!$B$5)</f>
        <v>2.786731022344318</v>
      </c>
      <c r="S2" s="2">
        <f>('[1]Qc, Summer, S1'!S2*Main!$B$5)</f>
        <v>3.3849146789671871</v>
      </c>
      <c r="T2" s="2">
        <f>('[1]Qc, Summer, S1'!T2*Main!$B$5)</f>
        <v>2.0392836202032054</v>
      </c>
      <c r="U2" s="2">
        <f>('[1]Qc, Summer, S1'!U2*Main!$B$5)</f>
        <v>-0.38042115531993126</v>
      </c>
      <c r="V2" s="2">
        <f>('[1]Qc, Summer, S1'!V2*Main!$B$5)</f>
        <v>-1.4851030819000077</v>
      </c>
      <c r="W2" s="2">
        <f>('[1]Qc, Summer, S1'!W2*Main!$B$5)</f>
        <v>-1.0332246908930025</v>
      </c>
      <c r="X2" s="2">
        <f>('[1]Qc, Summer, S1'!X2*Main!$B$5)</f>
        <v>-4.9550797014333217</v>
      </c>
      <c r="Y2" s="2">
        <f>('[1]Qc, Summer, S1'!Y2*Main!$B$5)</f>
        <v>-6.7071038227372641</v>
      </c>
    </row>
    <row r="3" spans="1:25" x14ac:dyDescent="0.3">
      <c r="A3">
        <v>2</v>
      </c>
      <c r="B3" s="2">
        <f>('[1]Qc, Summer, S1'!B3*Main!$B$5)</f>
        <v>-14.05314686179754</v>
      </c>
      <c r="C3" s="2">
        <f>('[1]Qc, Summer, S1'!C3*Main!$B$5)</f>
        <v>-14.05314686179754</v>
      </c>
      <c r="D3" s="2">
        <f>('[1]Qc, Summer, S1'!D3*Main!$B$5)</f>
        <v>-16.31487474865752</v>
      </c>
      <c r="E3" s="2">
        <f>('[1]Qc, Summer, S1'!E3*Main!$B$5)</f>
        <v>-18.576602635517503</v>
      </c>
      <c r="F3" s="2">
        <f>('[1]Qc, Summer, S1'!F3*Main!$B$5)</f>
        <v>-18.576602635517503</v>
      </c>
      <c r="G3" s="2">
        <f>('[1]Qc, Summer, S1'!G3*Main!$B$5)</f>
        <v>-18.576602635517503</v>
      </c>
      <c r="H3" s="2">
        <f>('[1]Qc, Summer, S1'!H3*Main!$B$5)</f>
        <v>-7.4071515208229846</v>
      </c>
      <c r="I3" s="2">
        <f>('[1]Qc, Summer, S1'!I3*Main!$B$5)</f>
        <v>1.5353725166622589</v>
      </c>
      <c r="J3" s="2">
        <f>('[1]Qc, Summer, S1'!J3*Main!$B$5)</f>
        <v>4.875776195170249</v>
      </c>
      <c r="K3" s="2">
        <f>('[1]Qc, Summer, S1'!K3*Main!$B$5)</f>
        <v>4.875776195170249</v>
      </c>
      <c r="L3" s="2">
        <f>('[1]Qc, Summer, S1'!L3*Main!$B$5)</f>
        <v>4.4582187301380767</v>
      </c>
      <c r="M3" s="2">
        <f>('[1]Qc, Summer, S1'!M3*Main!$B$5)</f>
        <v>6.2675920549218942</v>
      </c>
      <c r="N3" s="2">
        <f>('[1]Qc, Summer, S1'!N3*Main!$B$5)</f>
        <v>8.4945228447378867</v>
      </c>
      <c r="O3" s="2">
        <f>('[1]Qc, Summer, S1'!O3*Main!$B$5)</f>
        <v>8.7555009550182668</v>
      </c>
      <c r="P3" s="2">
        <f>('[1]Qc, Summer, S1'!P3*Main!$B$5)</f>
        <v>4.9105695404243397</v>
      </c>
      <c r="Q3" s="2">
        <f>('[1]Qc, Summer, S1'!Q3*Main!$B$5)</f>
        <v>3.8318937291847401</v>
      </c>
      <c r="R3" s="2">
        <f>('[1]Qc, Summer, S1'!R3*Main!$B$5)</f>
        <v>-0.62196788963042582</v>
      </c>
      <c r="S3" s="2">
        <f>('[1]Qc, Summer, S1'!S3*Main!$B$5)</f>
        <v>-0.62196788963042582</v>
      </c>
      <c r="T3" s="2">
        <f>('[1]Qc, Summer, S1'!T3*Main!$B$5)</f>
        <v>-0.62196788963042582</v>
      </c>
      <c r="U3" s="2">
        <f>('[1]Qc, Summer, S1'!U3*Main!$B$5)</f>
        <v>-0.62196788963042582</v>
      </c>
      <c r="V3" s="2">
        <f>('[1]Qc, Summer, S1'!V3*Main!$B$5)</f>
        <v>-3.9623753003367232</v>
      </c>
      <c r="W3" s="2">
        <f>('[1]Qc, Summer, S1'!W3*Main!$B$5)</f>
        <v>-5.0758444372388221</v>
      </c>
      <c r="X3" s="2">
        <f>('[1]Qc, Summer, S1'!X3*Main!$B$5)</f>
        <v>-14.192320242813905</v>
      </c>
      <c r="Y3" s="2">
        <f>('[1]Qc, Summer, S1'!Y3*Main!$B$5)</f>
        <v>-14.192320242813905</v>
      </c>
    </row>
    <row r="4" spans="1:25" x14ac:dyDescent="0.3">
      <c r="A4">
        <v>3</v>
      </c>
      <c r="B4" s="2">
        <f>('[1]Qc, Summer, S1'!B4*Main!$B$5)</f>
        <v>11.344069961777755</v>
      </c>
      <c r="C4" s="2">
        <f>('[1]Qc, Summer, S1'!C4*Main!$B$5)</f>
        <v>8.6917558073069685</v>
      </c>
      <c r="D4" s="2">
        <f>('[1]Qc, Summer, S1'!D4*Main!$B$5)</f>
        <v>8.2367405501234465</v>
      </c>
      <c r="E4" s="2">
        <f>('[1]Qc, Summer, S1'!E4*Main!$B$5)</f>
        <v>7.1937543499720249</v>
      </c>
      <c r="F4" s="2">
        <f>('[1]Qc, Summer, S1'!F4*Main!$B$5)</f>
        <v>8.2814350127041987</v>
      </c>
      <c r="G4" s="2">
        <f>('[1]Qc, Summer, S1'!G4*Main!$B$5)</f>
        <v>3.8435423446333337</v>
      </c>
      <c r="H4" s="2">
        <f>('[1]Qc, Summer, S1'!H4*Main!$B$5)</f>
        <v>6.7060837555290789</v>
      </c>
      <c r="I4" s="2">
        <f>('[1]Qc, Summer, S1'!I4*Main!$B$5)</f>
        <v>12.886532276093767</v>
      </c>
      <c r="J4" s="2">
        <f>('[1]Qc, Summer, S1'!J4*Main!$B$5)</f>
        <v>18.745970631637274</v>
      </c>
      <c r="K4" s="2">
        <f>('[1]Qc, Summer, S1'!K4*Main!$B$5)</f>
        <v>22.275427028057162</v>
      </c>
      <c r="L4" s="2">
        <f>('[1]Qc, Summer, S1'!L4*Main!$B$5)</f>
        <v>24.317909688815011</v>
      </c>
      <c r="M4" s="2">
        <f>('[1]Qc, Summer, S1'!M4*Main!$B$5)</f>
        <v>25.205729788356074</v>
      </c>
      <c r="N4" s="2">
        <f>('[1]Qc, Summer, S1'!N4*Main!$B$5)</f>
        <v>26.338726731256795</v>
      </c>
      <c r="O4" s="2">
        <f>('[1]Qc, Summer, S1'!O4*Main!$B$5)</f>
        <v>26.538003765025003</v>
      </c>
      <c r="P4" s="2">
        <f>('[1]Qc, Summer, S1'!P4*Main!$B$5)</f>
        <v>26.349637550559397</v>
      </c>
      <c r="Q4" s="2">
        <f>('[1]Qc, Summer, S1'!Q4*Main!$B$5)</f>
        <v>25.47249582637674</v>
      </c>
      <c r="R4" s="2">
        <f>('[1]Qc, Summer, S1'!R4*Main!$B$5)</f>
        <v>24.241143398483647</v>
      </c>
      <c r="S4" s="2">
        <f>('[1]Qc, Summer, S1'!S4*Main!$B$5)</f>
        <v>21.511285281755356</v>
      </c>
      <c r="T4" s="2">
        <f>('[1]Qc, Summer, S1'!T4*Main!$B$5)</f>
        <v>21.411762764469298</v>
      </c>
      <c r="U4" s="2">
        <f>('[1]Qc, Summer, S1'!U4*Main!$B$5)</f>
        <v>20.369049765774633</v>
      </c>
      <c r="V4" s="2">
        <f>('[1]Qc, Summer, S1'!V4*Main!$B$5)</f>
        <v>18.360622515936914</v>
      </c>
      <c r="W4" s="2">
        <f>('[1]Qc, Summer, S1'!W4*Main!$B$5)</f>
        <v>22.010800739531831</v>
      </c>
      <c r="X4" s="2">
        <f>('[1]Qc, Summer, S1'!X4*Main!$B$5)</f>
        <v>19.722478633761828</v>
      </c>
      <c r="Y4" s="2">
        <f>('[1]Qc, Summer, S1'!Y4*Main!$B$5)</f>
        <v>15.871856768939024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50F2B-C4B7-4CA6-9F6F-9625BF8A2D24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-11.104090862791466</v>
      </c>
      <c r="C2" s="2">
        <f>('[1]Qc, Summer, S1'!C2*Main!$B$5)</f>
        <v>-14.436681597041442</v>
      </c>
      <c r="D2" s="2">
        <f>('[1]Qc, Summer, S1'!D2*Main!$B$5)</f>
        <v>-15.912009187538995</v>
      </c>
      <c r="E2" s="2">
        <f>('[1]Qc, Summer, S1'!E2*Main!$B$5)</f>
        <v>-14.520542024708174</v>
      </c>
      <c r="F2" s="2">
        <f>('[1]Qc, Summer, S1'!F2*Main!$B$5)</f>
        <v>-15.564067447357738</v>
      </c>
      <c r="G2" s="2">
        <f>('[1]Qc, Summer, S1'!G2*Main!$B$5)</f>
        <v>-15.922802259015002</v>
      </c>
      <c r="H2" s="2">
        <f>('[1]Qc, Summer, S1'!H2*Main!$B$5)</f>
        <v>-13.800138030345215</v>
      </c>
      <c r="I2" s="2">
        <f>('[1]Qc, Summer, S1'!I2*Main!$B$5)</f>
        <v>-2.1469914331635187</v>
      </c>
      <c r="J2" s="2">
        <f>('[1]Qc, Summer, S1'!J2*Main!$B$5)</f>
        <v>6.891684516907949</v>
      </c>
      <c r="K2" s="2">
        <f>('[1]Qc, Summer, S1'!K2*Main!$B$5)</f>
        <v>10.032953070721822</v>
      </c>
      <c r="L2" s="2">
        <f>('[1]Qc, Summer, S1'!L2*Main!$B$5)</f>
        <v>7.8867980813599621</v>
      </c>
      <c r="M2" s="2">
        <f>('[1]Qc, Summer, S1'!M2*Main!$B$5)</f>
        <v>10.505431590938427</v>
      </c>
      <c r="N2" s="2">
        <f>('[1]Qc, Summer, S1'!N2*Main!$B$5)</f>
        <v>9.3227287886142864</v>
      </c>
      <c r="O2" s="2">
        <f>('[1]Qc, Summer, S1'!O2*Main!$B$5)</f>
        <v>9.6034248302378646</v>
      </c>
      <c r="P2" s="2">
        <f>('[1]Qc, Summer, S1'!P2*Main!$B$5)</f>
        <v>4.9550147775142728</v>
      </c>
      <c r="Q2" s="2">
        <f>('[1]Qc, Summer, S1'!Q2*Main!$B$5)</f>
        <v>1.252687716332366</v>
      </c>
      <c r="R2" s="2">
        <f>('[1]Qc, Summer, S1'!R2*Main!$B$5)</f>
        <v>2.786731022344318</v>
      </c>
      <c r="S2" s="2">
        <f>('[1]Qc, Summer, S1'!S2*Main!$B$5)</f>
        <v>3.3849146789671871</v>
      </c>
      <c r="T2" s="2">
        <f>('[1]Qc, Summer, S1'!T2*Main!$B$5)</f>
        <v>2.0392836202032054</v>
      </c>
      <c r="U2" s="2">
        <f>('[1]Qc, Summer, S1'!U2*Main!$B$5)</f>
        <v>-0.38042115531993126</v>
      </c>
      <c r="V2" s="2">
        <f>('[1]Qc, Summer, S1'!V2*Main!$B$5)</f>
        <v>-1.4851030819000077</v>
      </c>
      <c r="W2" s="2">
        <f>('[1]Qc, Summer, S1'!W2*Main!$B$5)</f>
        <v>-1.0332246908930025</v>
      </c>
      <c r="X2" s="2">
        <f>('[1]Qc, Summer, S1'!X2*Main!$B$5)</f>
        <v>-4.9550797014333217</v>
      </c>
      <c r="Y2" s="2">
        <f>('[1]Qc, Summer, S1'!Y2*Main!$B$5)</f>
        <v>-6.7071038227372641</v>
      </c>
    </row>
    <row r="3" spans="1:25" x14ac:dyDescent="0.3">
      <c r="A3">
        <v>2</v>
      </c>
      <c r="B3" s="2">
        <f>('[1]Qc, Summer, S1'!B3*Main!$B$5)</f>
        <v>-14.05314686179754</v>
      </c>
      <c r="C3" s="2">
        <f>('[1]Qc, Summer, S1'!C3*Main!$B$5)</f>
        <v>-14.05314686179754</v>
      </c>
      <c r="D3" s="2">
        <f>('[1]Qc, Summer, S1'!D3*Main!$B$5)</f>
        <v>-16.31487474865752</v>
      </c>
      <c r="E3" s="2">
        <f>('[1]Qc, Summer, S1'!E3*Main!$B$5)</f>
        <v>-18.576602635517503</v>
      </c>
      <c r="F3" s="2">
        <f>('[1]Qc, Summer, S1'!F3*Main!$B$5)</f>
        <v>-18.576602635517503</v>
      </c>
      <c r="G3" s="2">
        <f>('[1]Qc, Summer, S1'!G3*Main!$B$5)</f>
        <v>-18.576602635517503</v>
      </c>
      <c r="H3" s="2">
        <f>('[1]Qc, Summer, S1'!H3*Main!$B$5)</f>
        <v>-7.4071515208229846</v>
      </c>
      <c r="I3" s="2">
        <f>('[1]Qc, Summer, S1'!I3*Main!$B$5)</f>
        <v>1.5353725166622589</v>
      </c>
      <c r="J3" s="2">
        <f>('[1]Qc, Summer, S1'!J3*Main!$B$5)</f>
        <v>4.875776195170249</v>
      </c>
      <c r="K3" s="2">
        <f>('[1]Qc, Summer, S1'!K3*Main!$B$5)</f>
        <v>4.875776195170249</v>
      </c>
      <c r="L3" s="2">
        <f>('[1]Qc, Summer, S1'!L3*Main!$B$5)</f>
        <v>4.4582187301380767</v>
      </c>
      <c r="M3" s="2">
        <f>('[1]Qc, Summer, S1'!M3*Main!$B$5)</f>
        <v>6.2675920549218942</v>
      </c>
      <c r="N3" s="2">
        <f>('[1]Qc, Summer, S1'!N3*Main!$B$5)</f>
        <v>8.4945228447378867</v>
      </c>
      <c r="O3" s="2">
        <f>('[1]Qc, Summer, S1'!O3*Main!$B$5)</f>
        <v>8.7555009550182668</v>
      </c>
      <c r="P3" s="2">
        <f>('[1]Qc, Summer, S1'!P3*Main!$B$5)</f>
        <v>4.9105695404243397</v>
      </c>
      <c r="Q3" s="2">
        <f>('[1]Qc, Summer, S1'!Q3*Main!$B$5)</f>
        <v>3.8318937291847401</v>
      </c>
      <c r="R3" s="2">
        <f>('[1]Qc, Summer, S1'!R3*Main!$B$5)</f>
        <v>-0.62196788963042582</v>
      </c>
      <c r="S3" s="2">
        <f>('[1]Qc, Summer, S1'!S3*Main!$B$5)</f>
        <v>-0.62196788963042582</v>
      </c>
      <c r="T3" s="2">
        <f>('[1]Qc, Summer, S1'!T3*Main!$B$5)</f>
        <v>-0.62196788963042582</v>
      </c>
      <c r="U3" s="2">
        <f>('[1]Qc, Summer, S1'!U3*Main!$B$5)</f>
        <v>-0.62196788963042582</v>
      </c>
      <c r="V3" s="2">
        <f>('[1]Qc, Summer, S1'!V3*Main!$B$5)</f>
        <v>-3.9623753003367232</v>
      </c>
      <c r="W3" s="2">
        <f>('[1]Qc, Summer, S1'!W3*Main!$B$5)</f>
        <v>-5.0758444372388221</v>
      </c>
      <c r="X3" s="2">
        <f>('[1]Qc, Summer, S1'!X3*Main!$B$5)</f>
        <v>-14.192320242813905</v>
      </c>
      <c r="Y3" s="2">
        <f>('[1]Qc, Summer, S1'!Y3*Main!$B$5)</f>
        <v>-14.192320242813905</v>
      </c>
    </row>
    <row r="4" spans="1:25" x14ac:dyDescent="0.3">
      <c r="A4">
        <v>3</v>
      </c>
      <c r="B4" s="2">
        <f>('[1]Qc, Summer, S1'!B4*Main!$B$5)</f>
        <v>11.344069961777755</v>
      </c>
      <c r="C4" s="2">
        <f>('[1]Qc, Summer, S1'!C4*Main!$B$5)</f>
        <v>8.6917558073069685</v>
      </c>
      <c r="D4" s="2">
        <f>('[1]Qc, Summer, S1'!D4*Main!$B$5)</f>
        <v>8.2367405501234465</v>
      </c>
      <c r="E4" s="2">
        <f>('[1]Qc, Summer, S1'!E4*Main!$B$5)</f>
        <v>7.1937543499720249</v>
      </c>
      <c r="F4" s="2">
        <f>('[1]Qc, Summer, S1'!F4*Main!$B$5)</f>
        <v>8.2814350127041987</v>
      </c>
      <c r="G4" s="2">
        <f>('[1]Qc, Summer, S1'!G4*Main!$B$5)</f>
        <v>3.8435423446333337</v>
      </c>
      <c r="H4" s="2">
        <f>('[1]Qc, Summer, S1'!H4*Main!$B$5)</f>
        <v>6.7060837555290789</v>
      </c>
      <c r="I4" s="2">
        <f>('[1]Qc, Summer, S1'!I4*Main!$B$5)</f>
        <v>12.886532276093767</v>
      </c>
      <c r="J4" s="2">
        <f>('[1]Qc, Summer, S1'!J4*Main!$B$5)</f>
        <v>18.745970631637274</v>
      </c>
      <c r="K4" s="2">
        <f>('[1]Qc, Summer, S1'!K4*Main!$B$5)</f>
        <v>22.275427028057162</v>
      </c>
      <c r="L4" s="2">
        <f>('[1]Qc, Summer, S1'!L4*Main!$B$5)</f>
        <v>24.317909688815011</v>
      </c>
      <c r="M4" s="2">
        <f>('[1]Qc, Summer, S1'!M4*Main!$B$5)</f>
        <v>25.205729788356074</v>
      </c>
      <c r="N4" s="2">
        <f>('[1]Qc, Summer, S1'!N4*Main!$B$5)</f>
        <v>26.338726731256795</v>
      </c>
      <c r="O4" s="2">
        <f>('[1]Qc, Summer, S1'!O4*Main!$B$5)</f>
        <v>26.538003765025003</v>
      </c>
      <c r="P4" s="2">
        <f>('[1]Qc, Summer, S1'!P4*Main!$B$5)</f>
        <v>26.349637550559397</v>
      </c>
      <c r="Q4" s="2">
        <f>('[1]Qc, Summer, S1'!Q4*Main!$B$5)</f>
        <v>25.47249582637674</v>
      </c>
      <c r="R4" s="2">
        <f>('[1]Qc, Summer, S1'!R4*Main!$B$5)</f>
        <v>24.241143398483647</v>
      </c>
      <c r="S4" s="2">
        <f>('[1]Qc, Summer, S1'!S4*Main!$B$5)</f>
        <v>21.511285281755356</v>
      </c>
      <c r="T4" s="2">
        <f>('[1]Qc, Summer, S1'!T4*Main!$B$5)</f>
        <v>21.411762764469298</v>
      </c>
      <c r="U4" s="2">
        <f>('[1]Qc, Summer, S1'!U4*Main!$B$5)</f>
        <v>20.369049765774633</v>
      </c>
      <c r="V4" s="2">
        <f>('[1]Qc, Summer, S1'!V4*Main!$B$5)</f>
        <v>18.360622515936914</v>
      </c>
      <c r="W4" s="2">
        <f>('[1]Qc, Summer, S1'!W4*Main!$B$5)</f>
        <v>22.010800739531831</v>
      </c>
      <c r="X4" s="2">
        <f>('[1]Qc, Summer, S1'!X4*Main!$B$5)</f>
        <v>19.722478633761828</v>
      </c>
      <c r="Y4" s="2">
        <f>('[1]Qc, Summer, S1'!Y4*Main!$B$5)</f>
        <v>15.871856768939024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8A2B2-F3C9-45A7-B421-2FBE8BE2B44A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-11.104090862791466</v>
      </c>
      <c r="C2" s="2">
        <f>('[1]Qc, Summer, S1'!C2*Main!$B$5)</f>
        <v>-14.436681597041442</v>
      </c>
      <c r="D2" s="2">
        <f>('[1]Qc, Summer, S1'!D2*Main!$B$5)</f>
        <v>-15.912009187538995</v>
      </c>
      <c r="E2" s="2">
        <f>('[1]Qc, Summer, S1'!E2*Main!$B$5)</f>
        <v>-14.520542024708174</v>
      </c>
      <c r="F2" s="2">
        <f>('[1]Qc, Summer, S1'!F2*Main!$B$5)</f>
        <v>-15.564067447357738</v>
      </c>
      <c r="G2" s="2">
        <f>('[1]Qc, Summer, S1'!G2*Main!$B$5)</f>
        <v>-15.922802259015002</v>
      </c>
      <c r="H2" s="2">
        <f>('[1]Qc, Summer, S1'!H2*Main!$B$5)</f>
        <v>-13.800138030345215</v>
      </c>
      <c r="I2" s="2">
        <f>('[1]Qc, Summer, S1'!I2*Main!$B$5)</f>
        <v>-2.1469914331635187</v>
      </c>
      <c r="J2" s="2">
        <f>('[1]Qc, Summer, S1'!J2*Main!$B$5)</f>
        <v>6.891684516907949</v>
      </c>
      <c r="K2" s="2">
        <f>('[1]Qc, Summer, S1'!K2*Main!$B$5)</f>
        <v>10.032953070721822</v>
      </c>
      <c r="L2" s="2">
        <f>('[1]Qc, Summer, S1'!L2*Main!$B$5)</f>
        <v>7.8867980813599621</v>
      </c>
      <c r="M2" s="2">
        <f>('[1]Qc, Summer, S1'!M2*Main!$B$5)</f>
        <v>10.505431590938427</v>
      </c>
      <c r="N2" s="2">
        <f>('[1]Qc, Summer, S1'!N2*Main!$B$5)</f>
        <v>9.3227287886142864</v>
      </c>
      <c r="O2" s="2">
        <f>('[1]Qc, Summer, S1'!O2*Main!$B$5)</f>
        <v>9.6034248302378646</v>
      </c>
      <c r="P2" s="2">
        <f>('[1]Qc, Summer, S1'!P2*Main!$B$5)</f>
        <v>4.9550147775142728</v>
      </c>
      <c r="Q2" s="2">
        <f>('[1]Qc, Summer, S1'!Q2*Main!$B$5)</f>
        <v>1.252687716332366</v>
      </c>
      <c r="R2" s="2">
        <f>('[1]Qc, Summer, S1'!R2*Main!$B$5)</f>
        <v>2.786731022344318</v>
      </c>
      <c r="S2" s="2">
        <f>('[1]Qc, Summer, S1'!S2*Main!$B$5)</f>
        <v>3.3849146789671871</v>
      </c>
      <c r="T2" s="2">
        <f>('[1]Qc, Summer, S1'!T2*Main!$B$5)</f>
        <v>2.0392836202032054</v>
      </c>
      <c r="U2" s="2">
        <f>('[1]Qc, Summer, S1'!U2*Main!$B$5)</f>
        <v>-0.38042115531993126</v>
      </c>
      <c r="V2" s="2">
        <f>('[1]Qc, Summer, S1'!V2*Main!$B$5)</f>
        <v>-1.4851030819000077</v>
      </c>
      <c r="W2" s="2">
        <f>('[1]Qc, Summer, S1'!W2*Main!$B$5)</f>
        <v>-1.0332246908930025</v>
      </c>
      <c r="X2" s="2">
        <f>('[1]Qc, Summer, S1'!X2*Main!$B$5)</f>
        <v>-4.9550797014333217</v>
      </c>
      <c r="Y2" s="2">
        <f>('[1]Qc, Summer, S1'!Y2*Main!$B$5)</f>
        <v>-6.7071038227372641</v>
      </c>
    </row>
    <row r="3" spans="1:25" x14ac:dyDescent="0.3">
      <c r="A3">
        <v>2</v>
      </c>
      <c r="B3" s="2">
        <f>('[1]Qc, Summer, S1'!B3*Main!$B$5)</f>
        <v>-14.05314686179754</v>
      </c>
      <c r="C3" s="2">
        <f>('[1]Qc, Summer, S1'!C3*Main!$B$5)</f>
        <v>-14.05314686179754</v>
      </c>
      <c r="D3" s="2">
        <f>('[1]Qc, Summer, S1'!D3*Main!$B$5)</f>
        <v>-16.31487474865752</v>
      </c>
      <c r="E3" s="2">
        <f>('[1]Qc, Summer, S1'!E3*Main!$B$5)</f>
        <v>-18.576602635517503</v>
      </c>
      <c r="F3" s="2">
        <f>('[1]Qc, Summer, S1'!F3*Main!$B$5)</f>
        <v>-18.576602635517503</v>
      </c>
      <c r="G3" s="2">
        <f>('[1]Qc, Summer, S1'!G3*Main!$B$5)</f>
        <v>-18.576602635517503</v>
      </c>
      <c r="H3" s="2">
        <f>('[1]Qc, Summer, S1'!H3*Main!$B$5)</f>
        <v>-7.4071515208229846</v>
      </c>
      <c r="I3" s="2">
        <f>('[1]Qc, Summer, S1'!I3*Main!$B$5)</f>
        <v>1.5353725166622589</v>
      </c>
      <c r="J3" s="2">
        <f>('[1]Qc, Summer, S1'!J3*Main!$B$5)</f>
        <v>4.875776195170249</v>
      </c>
      <c r="K3" s="2">
        <f>('[1]Qc, Summer, S1'!K3*Main!$B$5)</f>
        <v>4.875776195170249</v>
      </c>
      <c r="L3" s="2">
        <f>('[1]Qc, Summer, S1'!L3*Main!$B$5)</f>
        <v>4.4582187301380767</v>
      </c>
      <c r="M3" s="2">
        <f>('[1]Qc, Summer, S1'!M3*Main!$B$5)</f>
        <v>6.2675920549218942</v>
      </c>
      <c r="N3" s="2">
        <f>('[1]Qc, Summer, S1'!N3*Main!$B$5)</f>
        <v>8.4945228447378867</v>
      </c>
      <c r="O3" s="2">
        <f>('[1]Qc, Summer, S1'!O3*Main!$B$5)</f>
        <v>8.7555009550182668</v>
      </c>
      <c r="P3" s="2">
        <f>('[1]Qc, Summer, S1'!P3*Main!$B$5)</f>
        <v>4.9105695404243397</v>
      </c>
      <c r="Q3" s="2">
        <f>('[1]Qc, Summer, S1'!Q3*Main!$B$5)</f>
        <v>3.8318937291847401</v>
      </c>
      <c r="R3" s="2">
        <f>('[1]Qc, Summer, S1'!R3*Main!$B$5)</f>
        <v>-0.62196788963042582</v>
      </c>
      <c r="S3" s="2">
        <f>('[1]Qc, Summer, S1'!S3*Main!$B$5)</f>
        <v>-0.62196788963042582</v>
      </c>
      <c r="T3" s="2">
        <f>('[1]Qc, Summer, S1'!T3*Main!$B$5)</f>
        <v>-0.62196788963042582</v>
      </c>
      <c r="U3" s="2">
        <f>('[1]Qc, Summer, S1'!U3*Main!$B$5)</f>
        <v>-0.62196788963042582</v>
      </c>
      <c r="V3" s="2">
        <f>('[1]Qc, Summer, S1'!V3*Main!$B$5)</f>
        <v>-3.9623753003367232</v>
      </c>
      <c r="W3" s="2">
        <f>('[1]Qc, Summer, S1'!W3*Main!$B$5)</f>
        <v>-5.0758444372388221</v>
      </c>
      <c r="X3" s="2">
        <f>('[1]Qc, Summer, S1'!X3*Main!$B$5)</f>
        <v>-14.192320242813905</v>
      </c>
      <c r="Y3" s="2">
        <f>('[1]Qc, Summer, S1'!Y3*Main!$B$5)</f>
        <v>-14.192320242813905</v>
      </c>
    </row>
    <row r="4" spans="1:25" x14ac:dyDescent="0.3">
      <c r="A4">
        <v>3</v>
      </c>
      <c r="B4" s="2">
        <f>('[1]Qc, Summer, S1'!B4*Main!$B$5)</f>
        <v>11.344069961777755</v>
      </c>
      <c r="C4" s="2">
        <f>('[1]Qc, Summer, S1'!C4*Main!$B$5)</f>
        <v>8.6917558073069685</v>
      </c>
      <c r="D4" s="2">
        <f>('[1]Qc, Summer, S1'!D4*Main!$B$5)</f>
        <v>8.2367405501234465</v>
      </c>
      <c r="E4" s="2">
        <f>('[1]Qc, Summer, S1'!E4*Main!$B$5)</f>
        <v>7.1937543499720249</v>
      </c>
      <c r="F4" s="2">
        <f>('[1]Qc, Summer, S1'!F4*Main!$B$5)</f>
        <v>8.2814350127041987</v>
      </c>
      <c r="G4" s="2">
        <f>('[1]Qc, Summer, S1'!G4*Main!$B$5)</f>
        <v>3.8435423446333337</v>
      </c>
      <c r="H4" s="2">
        <f>('[1]Qc, Summer, S1'!H4*Main!$B$5)</f>
        <v>6.7060837555290789</v>
      </c>
      <c r="I4" s="2">
        <f>('[1]Qc, Summer, S1'!I4*Main!$B$5)</f>
        <v>12.886532276093767</v>
      </c>
      <c r="J4" s="2">
        <f>('[1]Qc, Summer, S1'!J4*Main!$B$5)</f>
        <v>18.745970631637274</v>
      </c>
      <c r="K4" s="2">
        <f>('[1]Qc, Summer, S1'!K4*Main!$B$5)</f>
        <v>22.275427028057162</v>
      </c>
      <c r="L4" s="2">
        <f>('[1]Qc, Summer, S1'!L4*Main!$B$5)</f>
        <v>24.317909688815011</v>
      </c>
      <c r="M4" s="2">
        <f>('[1]Qc, Summer, S1'!M4*Main!$B$5)</f>
        <v>25.205729788356074</v>
      </c>
      <c r="N4" s="2">
        <f>('[1]Qc, Summer, S1'!N4*Main!$B$5)</f>
        <v>26.338726731256795</v>
      </c>
      <c r="O4" s="2">
        <f>('[1]Qc, Summer, S1'!O4*Main!$B$5)</f>
        <v>26.538003765025003</v>
      </c>
      <c r="P4" s="2">
        <f>('[1]Qc, Summer, S1'!P4*Main!$B$5)</f>
        <v>26.349637550559397</v>
      </c>
      <c r="Q4" s="2">
        <f>('[1]Qc, Summer, S1'!Q4*Main!$B$5)</f>
        <v>25.47249582637674</v>
      </c>
      <c r="R4" s="2">
        <f>('[1]Qc, Summer, S1'!R4*Main!$B$5)</f>
        <v>24.241143398483647</v>
      </c>
      <c r="S4" s="2">
        <f>('[1]Qc, Summer, S1'!S4*Main!$B$5)</f>
        <v>21.511285281755356</v>
      </c>
      <c r="T4" s="2">
        <f>('[1]Qc, Summer, S1'!T4*Main!$B$5)</f>
        <v>21.411762764469298</v>
      </c>
      <c r="U4" s="2">
        <f>('[1]Qc, Summer, S1'!U4*Main!$B$5)</f>
        <v>20.369049765774633</v>
      </c>
      <c r="V4" s="2">
        <f>('[1]Qc, Summer, S1'!V4*Main!$B$5)</f>
        <v>18.360622515936914</v>
      </c>
      <c r="W4" s="2">
        <f>('[1]Qc, Summer, S1'!W4*Main!$B$5)</f>
        <v>22.010800739531831</v>
      </c>
      <c r="X4" s="2">
        <f>('[1]Qc, Summer, S1'!X4*Main!$B$5)</f>
        <v>19.722478633761828</v>
      </c>
      <c r="Y4" s="2">
        <f>('[1]Qc, Summer, S1'!Y4*Main!$B$5)</f>
        <v>15.871856768939024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B436F-3476-4DB3-805A-C57EDD458B32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-11.437213588675208</v>
      </c>
      <c r="C2" s="2">
        <f>('[1]Qc, Summer, S2'!C2*Main!$B$5)</f>
        <v>-14.869782044952686</v>
      </c>
      <c r="D2" s="2">
        <f>('[1]Qc, Summer, S2'!D2*Main!$B$5)</f>
        <v>-16.389369463165167</v>
      </c>
      <c r="E2" s="2">
        <f>('[1]Qc, Summer, S2'!E2*Main!$B$5)</f>
        <v>-14.956158285449421</v>
      </c>
      <c r="F2" s="2">
        <f>('[1]Qc, Summer, S2'!F2*Main!$B$5)</f>
        <v>-16.030989470778469</v>
      </c>
      <c r="G2" s="2">
        <f>('[1]Qc, Summer, S2'!G2*Main!$B$5)</f>
        <v>-16.400486326785455</v>
      </c>
      <c r="H2" s="2">
        <f>('[1]Qc, Summer, S2'!H2*Main!$B$5)</f>
        <v>-14.21414217125557</v>
      </c>
      <c r="I2" s="2">
        <f>('[1]Qc, Summer, S2'!I2*Main!$B$5)</f>
        <v>-2.2114011761584247</v>
      </c>
      <c r="J2" s="2">
        <f>('[1]Qc, Summer, S2'!J2*Main!$B$5)</f>
        <v>7.098435052415188</v>
      </c>
      <c r="K2" s="2">
        <f>('[1]Qc, Summer, S2'!K2*Main!$B$5)</f>
        <v>10.333941662843475</v>
      </c>
      <c r="L2" s="2">
        <f>('[1]Qc, Summer, S2'!L2*Main!$B$5)</f>
        <v>8.1234020238007609</v>
      </c>
      <c r="M2" s="2">
        <f>('[1]Qc, Summer, S2'!M2*Main!$B$5)</f>
        <v>10.82059453866658</v>
      </c>
      <c r="N2" s="2">
        <f>('[1]Qc, Summer, S2'!N2*Main!$B$5)</f>
        <v>9.6024106522727166</v>
      </c>
      <c r="O2" s="2">
        <f>('[1]Qc, Summer, S2'!O2*Main!$B$5)</f>
        <v>9.891527575145</v>
      </c>
      <c r="P2" s="2">
        <f>('[1]Qc, Summer, S2'!P2*Main!$B$5)</f>
        <v>5.1036652208397015</v>
      </c>
      <c r="Q2" s="2">
        <f>('[1]Qc, Summer, S2'!Q2*Main!$B$5)</f>
        <v>1.2902683478223371</v>
      </c>
      <c r="R2" s="2">
        <f>('[1]Qc, Summer, S2'!R2*Main!$B$5)</f>
        <v>2.8703329530146475</v>
      </c>
      <c r="S2" s="2">
        <f>('[1]Qc, Summer, S2'!S2*Main!$B$5)</f>
        <v>3.4864621193362031</v>
      </c>
      <c r="T2" s="2">
        <f>('[1]Qc, Summer, S2'!T2*Main!$B$5)</f>
        <v>2.1004621288093013</v>
      </c>
      <c r="U2" s="2">
        <f>('[1]Qc, Summer, S2'!U2*Main!$B$5)</f>
        <v>-0.39183378997952928</v>
      </c>
      <c r="V2" s="2">
        <f>('[1]Qc, Summer, S2'!V2*Main!$B$5)</f>
        <v>-1.5296561743570078</v>
      </c>
      <c r="W2" s="2">
        <f>('[1]Qc, Summer, S2'!W2*Main!$B$5)</f>
        <v>-1.0642214316197924</v>
      </c>
      <c r="X2" s="2">
        <f>('[1]Qc, Summer, S2'!X2*Main!$B$5)</f>
        <v>-5.1037320924763225</v>
      </c>
      <c r="Y2" s="2">
        <f>('[1]Qc, Summer, S2'!Y2*Main!$B$5)</f>
        <v>-6.9083169374193814</v>
      </c>
    </row>
    <row r="3" spans="1:25" x14ac:dyDescent="0.3">
      <c r="A3">
        <v>2</v>
      </c>
      <c r="B3" s="2">
        <f>('[1]Qc, Summer, S2'!B3*Main!$B$5)</f>
        <v>-14.474741267651464</v>
      </c>
      <c r="C3" s="2">
        <f>('[1]Qc, Summer, S2'!C3*Main!$B$5)</f>
        <v>-14.474741267651464</v>
      </c>
      <c r="D3" s="2">
        <f>('[1]Qc, Summer, S2'!D3*Main!$B$5)</f>
        <v>-16.804320991117244</v>
      </c>
      <c r="E3" s="2">
        <f>('[1]Qc, Summer, S2'!E3*Main!$B$5)</f>
        <v>-19.133900714583028</v>
      </c>
      <c r="F3" s="2">
        <f>('[1]Qc, Summer, S2'!F3*Main!$B$5)</f>
        <v>-19.133900714583028</v>
      </c>
      <c r="G3" s="2">
        <f>('[1]Qc, Summer, S2'!G3*Main!$B$5)</f>
        <v>-19.133900714583028</v>
      </c>
      <c r="H3" s="2">
        <f>('[1]Qc, Summer, S2'!H3*Main!$B$5)</f>
        <v>-7.6293660664476741</v>
      </c>
      <c r="I3" s="2">
        <f>('[1]Qc, Summer, S2'!I3*Main!$B$5)</f>
        <v>1.581433692162127</v>
      </c>
      <c r="J3" s="2">
        <f>('[1]Qc, Summer, S2'!J3*Main!$B$5)</f>
        <v>5.0220494810253564</v>
      </c>
      <c r="K3" s="2">
        <f>('[1]Qc, Summer, S2'!K3*Main!$B$5)</f>
        <v>5.0220494810253564</v>
      </c>
      <c r="L3" s="2">
        <f>('[1]Qc, Summer, S2'!L3*Main!$B$5)</f>
        <v>4.5919652920422189</v>
      </c>
      <c r="M3" s="2">
        <f>('[1]Qc, Summer, S2'!M3*Main!$B$5)</f>
        <v>6.4556198165695502</v>
      </c>
      <c r="N3" s="2">
        <f>('[1]Qc, Summer, S2'!N3*Main!$B$5)</f>
        <v>8.7493585300800216</v>
      </c>
      <c r="O3" s="2">
        <f>('[1]Qc, Summer, S2'!O3*Main!$B$5)</f>
        <v>9.0181659836688137</v>
      </c>
      <c r="P3" s="2">
        <f>('[1]Qc, Summer, S2'!P3*Main!$B$5)</f>
        <v>5.057886626637071</v>
      </c>
      <c r="Q3" s="2">
        <f>('[1]Qc, Summer, S2'!Q3*Main!$B$5)</f>
        <v>3.9468505410602828</v>
      </c>
      <c r="R3" s="2">
        <f>('[1]Qc, Summer, S2'!R3*Main!$B$5)</f>
        <v>-0.6406269263193386</v>
      </c>
      <c r="S3" s="2">
        <f>('[1]Qc, Summer, S2'!S3*Main!$B$5)</f>
        <v>-0.6406269263193386</v>
      </c>
      <c r="T3" s="2">
        <f>('[1]Qc, Summer, S2'!T3*Main!$B$5)</f>
        <v>-0.6406269263193386</v>
      </c>
      <c r="U3" s="2">
        <f>('[1]Qc, Summer, S2'!U3*Main!$B$5)</f>
        <v>-0.6406269263193386</v>
      </c>
      <c r="V3" s="2">
        <f>('[1]Qc, Summer, S2'!V3*Main!$B$5)</f>
        <v>-4.081246559346825</v>
      </c>
      <c r="W3" s="2">
        <f>('[1]Qc, Summer, S2'!W3*Main!$B$5)</f>
        <v>-5.2281197703559874</v>
      </c>
      <c r="X3" s="2">
        <f>('[1]Qc, Summer, S2'!X3*Main!$B$5)</f>
        <v>-14.618089850098324</v>
      </c>
      <c r="Y3" s="2">
        <f>('[1]Qc, Summer, S2'!Y3*Main!$B$5)</f>
        <v>-14.618089850098324</v>
      </c>
    </row>
    <row r="4" spans="1:25" x14ac:dyDescent="0.3">
      <c r="A4">
        <v>3</v>
      </c>
      <c r="B4" s="2">
        <f>('[1]Qc, Summer, S2'!B4*Main!$B$5)</f>
        <v>11.684392060631088</v>
      </c>
      <c r="C4" s="2">
        <f>('[1]Qc, Summer, S2'!C4*Main!$B$5)</f>
        <v>8.9525084815261753</v>
      </c>
      <c r="D4" s="2">
        <f>('[1]Qc, Summer, S2'!D4*Main!$B$5)</f>
        <v>8.4838427666271503</v>
      </c>
      <c r="E4" s="2">
        <f>('[1]Qc, Summer, S2'!E4*Main!$B$5)</f>
        <v>7.4095669804711859</v>
      </c>
      <c r="F4" s="2">
        <f>('[1]Qc, Summer, S2'!F4*Main!$B$5)</f>
        <v>8.5298780630853255</v>
      </c>
      <c r="G4" s="2">
        <f>('[1]Qc, Summer, S2'!G4*Main!$B$5)</f>
        <v>3.9588486149723336</v>
      </c>
      <c r="H4" s="2">
        <f>('[1]Qc, Summer, S2'!H4*Main!$B$5)</f>
        <v>6.9072662681949506</v>
      </c>
      <c r="I4" s="2">
        <f>('[1]Qc, Summer, S2'!I4*Main!$B$5)</f>
        <v>13.273128244376583</v>
      </c>
      <c r="J4" s="2">
        <f>('[1]Qc, Summer, S2'!J4*Main!$B$5)</f>
        <v>19.308349750586398</v>
      </c>
      <c r="K4" s="2">
        <f>('[1]Qc, Summer, S2'!K4*Main!$B$5)</f>
        <v>22.943689838898877</v>
      </c>
      <c r="L4" s="2">
        <f>('[1]Qc, Summer, S2'!L4*Main!$B$5)</f>
        <v>25.047446979479464</v>
      </c>
      <c r="M4" s="2">
        <f>('[1]Qc, Summer, S2'!M4*Main!$B$5)</f>
        <v>25.961901682006758</v>
      </c>
      <c r="N4" s="2">
        <f>('[1]Qc, Summer, S2'!N4*Main!$B$5)</f>
        <v>27.128888533194502</v>
      </c>
      <c r="O4" s="2">
        <f>('[1]Qc, Summer, S2'!O4*Main!$B$5)</f>
        <v>27.334143877975752</v>
      </c>
      <c r="P4" s="2">
        <f>('[1]Qc, Summer, S2'!P4*Main!$B$5)</f>
        <v>27.140126677076182</v>
      </c>
      <c r="Q4" s="2">
        <f>('[1]Qc, Summer, S2'!Q4*Main!$B$5)</f>
        <v>26.236670701168041</v>
      </c>
      <c r="R4" s="2">
        <f>('[1]Qc, Summer, S2'!R4*Main!$B$5)</f>
        <v>24.968377700438158</v>
      </c>
      <c r="S4" s="2">
        <f>('[1]Qc, Summer, S2'!S4*Main!$B$5)</f>
        <v>22.156623840208017</v>
      </c>
      <c r="T4" s="2">
        <f>('[1]Qc, Summer, S2'!T4*Main!$B$5)</f>
        <v>22.054115647403378</v>
      </c>
      <c r="U4" s="2">
        <f>('[1]Qc, Summer, S2'!U4*Main!$B$5)</f>
        <v>20.980121258747872</v>
      </c>
      <c r="V4" s="2">
        <f>('[1]Qc, Summer, S2'!V4*Main!$B$5)</f>
        <v>18.911441191415019</v>
      </c>
      <c r="W4" s="2">
        <f>('[1]Qc, Summer, S2'!W4*Main!$B$5)</f>
        <v>22.671124761717785</v>
      </c>
      <c r="X4" s="2">
        <f>('[1]Qc, Summer, S2'!X4*Main!$B$5)</f>
        <v>20.314152992774684</v>
      </c>
      <c r="Y4" s="2">
        <f>('[1]Qc, Summer, S2'!Y4*Main!$B$5)</f>
        <v>16.348012472007195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166DC-49E9-4005-859A-30B80B18882C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-11.437213588675208</v>
      </c>
      <c r="C2" s="2">
        <f>('[1]Qc, Summer, S2'!C2*Main!$B$5)</f>
        <v>-14.869782044952686</v>
      </c>
      <c r="D2" s="2">
        <f>('[1]Qc, Summer, S2'!D2*Main!$B$5)</f>
        <v>-16.389369463165167</v>
      </c>
      <c r="E2" s="2">
        <f>('[1]Qc, Summer, S2'!E2*Main!$B$5)</f>
        <v>-14.956158285449421</v>
      </c>
      <c r="F2" s="2">
        <f>('[1]Qc, Summer, S2'!F2*Main!$B$5)</f>
        <v>-16.030989470778469</v>
      </c>
      <c r="G2" s="2">
        <f>('[1]Qc, Summer, S2'!G2*Main!$B$5)</f>
        <v>-16.400486326785455</v>
      </c>
      <c r="H2" s="2">
        <f>('[1]Qc, Summer, S2'!H2*Main!$B$5)</f>
        <v>-14.21414217125557</v>
      </c>
      <c r="I2" s="2">
        <f>('[1]Qc, Summer, S2'!I2*Main!$B$5)</f>
        <v>-2.2114011761584247</v>
      </c>
      <c r="J2" s="2">
        <f>('[1]Qc, Summer, S2'!J2*Main!$B$5)</f>
        <v>7.098435052415188</v>
      </c>
      <c r="K2" s="2">
        <f>('[1]Qc, Summer, S2'!K2*Main!$B$5)</f>
        <v>10.333941662843475</v>
      </c>
      <c r="L2" s="2">
        <f>('[1]Qc, Summer, S2'!L2*Main!$B$5)</f>
        <v>8.1234020238007609</v>
      </c>
      <c r="M2" s="2">
        <f>('[1]Qc, Summer, S2'!M2*Main!$B$5)</f>
        <v>10.82059453866658</v>
      </c>
      <c r="N2" s="2">
        <f>('[1]Qc, Summer, S2'!N2*Main!$B$5)</f>
        <v>9.6024106522727166</v>
      </c>
      <c r="O2" s="2">
        <f>('[1]Qc, Summer, S2'!O2*Main!$B$5)</f>
        <v>9.891527575145</v>
      </c>
      <c r="P2" s="2">
        <f>('[1]Qc, Summer, S2'!P2*Main!$B$5)</f>
        <v>5.1036652208397015</v>
      </c>
      <c r="Q2" s="2">
        <f>('[1]Qc, Summer, S2'!Q2*Main!$B$5)</f>
        <v>1.2902683478223371</v>
      </c>
      <c r="R2" s="2">
        <f>('[1]Qc, Summer, S2'!R2*Main!$B$5)</f>
        <v>2.8703329530146475</v>
      </c>
      <c r="S2" s="2">
        <f>('[1]Qc, Summer, S2'!S2*Main!$B$5)</f>
        <v>3.4864621193362031</v>
      </c>
      <c r="T2" s="2">
        <f>('[1]Qc, Summer, S2'!T2*Main!$B$5)</f>
        <v>2.1004621288093013</v>
      </c>
      <c r="U2" s="2">
        <f>('[1]Qc, Summer, S2'!U2*Main!$B$5)</f>
        <v>-0.39183378997952928</v>
      </c>
      <c r="V2" s="2">
        <f>('[1]Qc, Summer, S2'!V2*Main!$B$5)</f>
        <v>-1.5296561743570078</v>
      </c>
      <c r="W2" s="2">
        <f>('[1]Qc, Summer, S2'!W2*Main!$B$5)</f>
        <v>-1.0642214316197924</v>
      </c>
      <c r="X2" s="2">
        <f>('[1]Qc, Summer, S2'!X2*Main!$B$5)</f>
        <v>-5.1037320924763225</v>
      </c>
      <c r="Y2" s="2">
        <f>('[1]Qc, Summer, S2'!Y2*Main!$B$5)</f>
        <v>-6.9083169374193814</v>
      </c>
    </row>
    <row r="3" spans="1:25" x14ac:dyDescent="0.3">
      <c r="A3">
        <v>2</v>
      </c>
      <c r="B3" s="2">
        <f>('[1]Qc, Summer, S2'!B3*Main!$B$5)</f>
        <v>-14.474741267651464</v>
      </c>
      <c r="C3" s="2">
        <f>('[1]Qc, Summer, S2'!C3*Main!$B$5)</f>
        <v>-14.474741267651464</v>
      </c>
      <c r="D3" s="2">
        <f>('[1]Qc, Summer, S2'!D3*Main!$B$5)</f>
        <v>-16.804320991117244</v>
      </c>
      <c r="E3" s="2">
        <f>('[1]Qc, Summer, S2'!E3*Main!$B$5)</f>
        <v>-19.133900714583028</v>
      </c>
      <c r="F3" s="2">
        <f>('[1]Qc, Summer, S2'!F3*Main!$B$5)</f>
        <v>-19.133900714583028</v>
      </c>
      <c r="G3" s="2">
        <f>('[1]Qc, Summer, S2'!G3*Main!$B$5)</f>
        <v>-19.133900714583028</v>
      </c>
      <c r="H3" s="2">
        <f>('[1]Qc, Summer, S2'!H3*Main!$B$5)</f>
        <v>-7.6293660664476741</v>
      </c>
      <c r="I3" s="2">
        <f>('[1]Qc, Summer, S2'!I3*Main!$B$5)</f>
        <v>1.581433692162127</v>
      </c>
      <c r="J3" s="2">
        <f>('[1]Qc, Summer, S2'!J3*Main!$B$5)</f>
        <v>5.0220494810253564</v>
      </c>
      <c r="K3" s="2">
        <f>('[1]Qc, Summer, S2'!K3*Main!$B$5)</f>
        <v>5.0220494810253564</v>
      </c>
      <c r="L3" s="2">
        <f>('[1]Qc, Summer, S2'!L3*Main!$B$5)</f>
        <v>4.5919652920422189</v>
      </c>
      <c r="M3" s="2">
        <f>('[1]Qc, Summer, S2'!M3*Main!$B$5)</f>
        <v>6.4556198165695502</v>
      </c>
      <c r="N3" s="2">
        <f>('[1]Qc, Summer, S2'!N3*Main!$B$5)</f>
        <v>8.7493585300800216</v>
      </c>
      <c r="O3" s="2">
        <f>('[1]Qc, Summer, S2'!O3*Main!$B$5)</f>
        <v>9.0181659836688137</v>
      </c>
      <c r="P3" s="2">
        <f>('[1]Qc, Summer, S2'!P3*Main!$B$5)</f>
        <v>5.057886626637071</v>
      </c>
      <c r="Q3" s="2">
        <f>('[1]Qc, Summer, S2'!Q3*Main!$B$5)</f>
        <v>3.9468505410602828</v>
      </c>
      <c r="R3" s="2">
        <f>('[1]Qc, Summer, S2'!R3*Main!$B$5)</f>
        <v>-0.6406269263193386</v>
      </c>
      <c r="S3" s="2">
        <f>('[1]Qc, Summer, S2'!S3*Main!$B$5)</f>
        <v>-0.6406269263193386</v>
      </c>
      <c r="T3" s="2">
        <f>('[1]Qc, Summer, S2'!T3*Main!$B$5)</f>
        <v>-0.6406269263193386</v>
      </c>
      <c r="U3" s="2">
        <f>('[1]Qc, Summer, S2'!U3*Main!$B$5)</f>
        <v>-0.6406269263193386</v>
      </c>
      <c r="V3" s="2">
        <f>('[1]Qc, Summer, S2'!V3*Main!$B$5)</f>
        <v>-4.081246559346825</v>
      </c>
      <c r="W3" s="2">
        <f>('[1]Qc, Summer, S2'!W3*Main!$B$5)</f>
        <v>-5.2281197703559874</v>
      </c>
      <c r="X3" s="2">
        <f>('[1]Qc, Summer, S2'!X3*Main!$B$5)</f>
        <v>-14.618089850098324</v>
      </c>
      <c r="Y3" s="2">
        <f>('[1]Qc, Summer, S2'!Y3*Main!$B$5)</f>
        <v>-14.618089850098324</v>
      </c>
    </row>
    <row r="4" spans="1:25" x14ac:dyDescent="0.3">
      <c r="A4">
        <v>3</v>
      </c>
      <c r="B4" s="2">
        <f>('[1]Qc, Summer, S2'!B4*Main!$B$5)</f>
        <v>11.684392060631088</v>
      </c>
      <c r="C4" s="2">
        <f>('[1]Qc, Summer, S2'!C4*Main!$B$5)</f>
        <v>8.9525084815261753</v>
      </c>
      <c r="D4" s="2">
        <f>('[1]Qc, Summer, S2'!D4*Main!$B$5)</f>
        <v>8.4838427666271503</v>
      </c>
      <c r="E4" s="2">
        <f>('[1]Qc, Summer, S2'!E4*Main!$B$5)</f>
        <v>7.4095669804711859</v>
      </c>
      <c r="F4" s="2">
        <f>('[1]Qc, Summer, S2'!F4*Main!$B$5)</f>
        <v>8.5298780630853255</v>
      </c>
      <c r="G4" s="2">
        <f>('[1]Qc, Summer, S2'!G4*Main!$B$5)</f>
        <v>3.9588486149723336</v>
      </c>
      <c r="H4" s="2">
        <f>('[1]Qc, Summer, S2'!H4*Main!$B$5)</f>
        <v>6.9072662681949506</v>
      </c>
      <c r="I4" s="2">
        <f>('[1]Qc, Summer, S2'!I4*Main!$B$5)</f>
        <v>13.273128244376583</v>
      </c>
      <c r="J4" s="2">
        <f>('[1]Qc, Summer, S2'!J4*Main!$B$5)</f>
        <v>19.308349750586398</v>
      </c>
      <c r="K4" s="2">
        <f>('[1]Qc, Summer, S2'!K4*Main!$B$5)</f>
        <v>22.943689838898877</v>
      </c>
      <c r="L4" s="2">
        <f>('[1]Qc, Summer, S2'!L4*Main!$B$5)</f>
        <v>25.047446979479464</v>
      </c>
      <c r="M4" s="2">
        <f>('[1]Qc, Summer, S2'!M4*Main!$B$5)</f>
        <v>25.961901682006758</v>
      </c>
      <c r="N4" s="2">
        <f>('[1]Qc, Summer, S2'!N4*Main!$B$5)</f>
        <v>27.128888533194502</v>
      </c>
      <c r="O4" s="2">
        <f>('[1]Qc, Summer, S2'!O4*Main!$B$5)</f>
        <v>27.334143877975752</v>
      </c>
      <c r="P4" s="2">
        <f>('[1]Qc, Summer, S2'!P4*Main!$B$5)</f>
        <v>27.140126677076182</v>
      </c>
      <c r="Q4" s="2">
        <f>('[1]Qc, Summer, S2'!Q4*Main!$B$5)</f>
        <v>26.236670701168041</v>
      </c>
      <c r="R4" s="2">
        <f>('[1]Qc, Summer, S2'!R4*Main!$B$5)</f>
        <v>24.968377700438158</v>
      </c>
      <c r="S4" s="2">
        <f>('[1]Qc, Summer, S2'!S4*Main!$B$5)</f>
        <v>22.156623840208017</v>
      </c>
      <c r="T4" s="2">
        <f>('[1]Qc, Summer, S2'!T4*Main!$B$5)</f>
        <v>22.054115647403378</v>
      </c>
      <c r="U4" s="2">
        <f>('[1]Qc, Summer, S2'!U4*Main!$B$5)</f>
        <v>20.980121258747872</v>
      </c>
      <c r="V4" s="2">
        <f>('[1]Qc, Summer, S2'!V4*Main!$B$5)</f>
        <v>18.911441191415019</v>
      </c>
      <c r="W4" s="2">
        <f>('[1]Qc, Summer, S2'!W4*Main!$B$5)</f>
        <v>22.671124761717785</v>
      </c>
      <c r="X4" s="2">
        <f>('[1]Qc, Summer, S2'!X4*Main!$B$5)</f>
        <v>20.314152992774684</v>
      </c>
      <c r="Y4" s="2">
        <f>('[1]Qc, Summer, S2'!Y4*Main!$B$5)</f>
        <v>16.348012472007195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5A79A-A7A5-4753-BFC0-753B09052AA3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-11.437213588675208</v>
      </c>
      <c r="C2" s="2">
        <f>('[1]Qc, Summer, S2'!C2*Main!$B$5)</f>
        <v>-14.869782044952686</v>
      </c>
      <c r="D2" s="2">
        <f>('[1]Qc, Summer, S2'!D2*Main!$B$5)</f>
        <v>-16.389369463165167</v>
      </c>
      <c r="E2" s="2">
        <f>('[1]Qc, Summer, S2'!E2*Main!$B$5)</f>
        <v>-14.956158285449421</v>
      </c>
      <c r="F2" s="2">
        <f>('[1]Qc, Summer, S2'!F2*Main!$B$5)</f>
        <v>-16.030989470778469</v>
      </c>
      <c r="G2" s="2">
        <f>('[1]Qc, Summer, S2'!G2*Main!$B$5)</f>
        <v>-16.400486326785455</v>
      </c>
      <c r="H2" s="2">
        <f>('[1]Qc, Summer, S2'!H2*Main!$B$5)</f>
        <v>-14.21414217125557</v>
      </c>
      <c r="I2" s="2">
        <f>('[1]Qc, Summer, S2'!I2*Main!$B$5)</f>
        <v>-2.2114011761584247</v>
      </c>
      <c r="J2" s="2">
        <f>('[1]Qc, Summer, S2'!J2*Main!$B$5)</f>
        <v>7.098435052415188</v>
      </c>
      <c r="K2" s="2">
        <f>('[1]Qc, Summer, S2'!K2*Main!$B$5)</f>
        <v>10.333941662843475</v>
      </c>
      <c r="L2" s="2">
        <f>('[1]Qc, Summer, S2'!L2*Main!$B$5)</f>
        <v>8.1234020238007609</v>
      </c>
      <c r="M2" s="2">
        <f>('[1]Qc, Summer, S2'!M2*Main!$B$5)</f>
        <v>10.82059453866658</v>
      </c>
      <c r="N2" s="2">
        <f>('[1]Qc, Summer, S2'!N2*Main!$B$5)</f>
        <v>9.6024106522727166</v>
      </c>
      <c r="O2" s="2">
        <f>('[1]Qc, Summer, S2'!O2*Main!$B$5)</f>
        <v>9.891527575145</v>
      </c>
      <c r="P2" s="2">
        <f>('[1]Qc, Summer, S2'!P2*Main!$B$5)</f>
        <v>5.1036652208397015</v>
      </c>
      <c r="Q2" s="2">
        <f>('[1]Qc, Summer, S2'!Q2*Main!$B$5)</f>
        <v>1.2902683478223371</v>
      </c>
      <c r="R2" s="2">
        <f>('[1]Qc, Summer, S2'!R2*Main!$B$5)</f>
        <v>2.8703329530146475</v>
      </c>
      <c r="S2" s="2">
        <f>('[1]Qc, Summer, S2'!S2*Main!$B$5)</f>
        <v>3.4864621193362031</v>
      </c>
      <c r="T2" s="2">
        <f>('[1]Qc, Summer, S2'!T2*Main!$B$5)</f>
        <v>2.1004621288093013</v>
      </c>
      <c r="U2" s="2">
        <f>('[1]Qc, Summer, S2'!U2*Main!$B$5)</f>
        <v>-0.39183378997952928</v>
      </c>
      <c r="V2" s="2">
        <f>('[1]Qc, Summer, S2'!V2*Main!$B$5)</f>
        <v>-1.5296561743570078</v>
      </c>
      <c r="W2" s="2">
        <f>('[1]Qc, Summer, S2'!W2*Main!$B$5)</f>
        <v>-1.0642214316197924</v>
      </c>
      <c r="X2" s="2">
        <f>('[1]Qc, Summer, S2'!X2*Main!$B$5)</f>
        <v>-5.1037320924763225</v>
      </c>
      <c r="Y2" s="2">
        <f>('[1]Qc, Summer, S2'!Y2*Main!$B$5)</f>
        <v>-6.9083169374193814</v>
      </c>
    </row>
    <row r="3" spans="1:25" x14ac:dyDescent="0.3">
      <c r="A3">
        <v>2</v>
      </c>
      <c r="B3" s="2">
        <f>('[1]Qc, Summer, S2'!B3*Main!$B$5)</f>
        <v>-14.474741267651464</v>
      </c>
      <c r="C3" s="2">
        <f>('[1]Qc, Summer, S2'!C3*Main!$B$5)</f>
        <v>-14.474741267651464</v>
      </c>
      <c r="D3" s="2">
        <f>('[1]Qc, Summer, S2'!D3*Main!$B$5)</f>
        <v>-16.804320991117244</v>
      </c>
      <c r="E3" s="2">
        <f>('[1]Qc, Summer, S2'!E3*Main!$B$5)</f>
        <v>-19.133900714583028</v>
      </c>
      <c r="F3" s="2">
        <f>('[1]Qc, Summer, S2'!F3*Main!$B$5)</f>
        <v>-19.133900714583028</v>
      </c>
      <c r="G3" s="2">
        <f>('[1]Qc, Summer, S2'!G3*Main!$B$5)</f>
        <v>-19.133900714583028</v>
      </c>
      <c r="H3" s="2">
        <f>('[1]Qc, Summer, S2'!H3*Main!$B$5)</f>
        <v>-7.6293660664476741</v>
      </c>
      <c r="I3" s="2">
        <f>('[1]Qc, Summer, S2'!I3*Main!$B$5)</f>
        <v>1.581433692162127</v>
      </c>
      <c r="J3" s="2">
        <f>('[1]Qc, Summer, S2'!J3*Main!$B$5)</f>
        <v>5.0220494810253564</v>
      </c>
      <c r="K3" s="2">
        <f>('[1]Qc, Summer, S2'!K3*Main!$B$5)</f>
        <v>5.0220494810253564</v>
      </c>
      <c r="L3" s="2">
        <f>('[1]Qc, Summer, S2'!L3*Main!$B$5)</f>
        <v>4.5919652920422189</v>
      </c>
      <c r="M3" s="2">
        <f>('[1]Qc, Summer, S2'!M3*Main!$B$5)</f>
        <v>6.4556198165695502</v>
      </c>
      <c r="N3" s="2">
        <f>('[1]Qc, Summer, S2'!N3*Main!$B$5)</f>
        <v>8.7493585300800216</v>
      </c>
      <c r="O3" s="2">
        <f>('[1]Qc, Summer, S2'!O3*Main!$B$5)</f>
        <v>9.0181659836688137</v>
      </c>
      <c r="P3" s="2">
        <f>('[1]Qc, Summer, S2'!P3*Main!$B$5)</f>
        <v>5.057886626637071</v>
      </c>
      <c r="Q3" s="2">
        <f>('[1]Qc, Summer, S2'!Q3*Main!$B$5)</f>
        <v>3.9468505410602828</v>
      </c>
      <c r="R3" s="2">
        <f>('[1]Qc, Summer, S2'!R3*Main!$B$5)</f>
        <v>-0.6406269263193386</v>
      </c>
      <c r="S3" s="2">
        <f>('[1]Qc, Summer, S2'!S3*Main!$B$5)</f>
        <v>-0.6406269263193386</v>
      </c>
      <c r="T3" s="2">
        <f>('[1]Qc, Summer, S2'!T3*Main!$B$5)</f>
        <v>-0.6406269263193386</v>
      </c>
      <c r="U3" s="2">
        <f>('[1]Qc, Summer, S2'!U3*Main!$B$5)</f>
        <v>-0.6406269263193386</v>
      </c>
      <c r="V3" s="2">
        <f>('[1]Qc, Summer, S2'!V3*Main!$B$5)</f>
        <v>-4.081246559346825</v>
      </c>
      <c r="W3" s="2">
        <f>('[1]Qc, Summer, S2'!W3*Main!$B$5)</f>
        <v>-5.2281197703559874</v>
      </c>
      <c r="X3" s="2">
        <f>('[1]Qc, Summer, S2'!X3*Main!$B$5)</f>
        <v>-14.618089850098324</v>
      </c>
      <c r="Y3" s="2">
        <f>('[1]Qc, Summer, S2'!Y3*Main!$B$5)</f>
        <v>-14.618089850098324</v>
      </c>
    </row>
    <row r="4" spans="1:25" x14ac:dyDescent="0.3">
      <c r="A4">
        <v>3</v>
      </c>
      <c r="B4" s="2">
        <f>('[1]Qc, Summer, S2'!B4*Main!$B$5)</f>
        <v>11.684392060631088</v>
      </c>
      <c r="C4" s="2">
        <f>('[1]Qc, Summer, S2'!C4*Main!$B$5)</f>
        <v>8.9525084815261753</v>
      </c>
      <c r="D4" s="2">
        <f>('[1]Qc, Summer, S2'!D4*Main!$B$5)</f>
        <v>8.4838427666271503</v>
      </c>
      <c r="E4" s="2">
        <f>('[1]Qc, Summer, S2'!E4*Main!$B$5)</f>
        <v>7.4095669804711859</v>
      </c>
      <c r="F4" s="2">
        <f>('[1]Qc, Summer, S2'!F4*Main!$B$5)</f>
        <v>8.5298780630853255</v>
      </c>
      <c r="G4" s="2">
        <f>('[1]Qc, Summer, S2'!G4*Main!$B$5)</f>
        <v>3.9588486149723336</v>
      </c>
      <c r="H4" s="2">
        <f>('[1]Qc, Summer, S2'!H4*Main!$B$5)</f>
        <v>6.9072662681949506</v>
      </c>
      <c r="I4" s="2">
        <f>('[1]Qc, Summer, S2'!I4*Main!$B$5)</f>
        <v>13.273128244376583</v>
      </c>
      <c r="J4" s="2">
        <f>('[1]Qc, Summer, S2'!J4*Main!$B$5)</f>
        <v>19.308349750586398</v>
      </c>
      <c r="K4" s="2">
        <f>('[1]Qc, Summer, S2'!K4*Main!$B$5)</f>
        <v>22.943689838898877</v>
      </c>
      <c r="L4" s="2">
        <f>('[1]Qc, Summer, S2'!L4*Main!$B$5)</f>
        <v>25.047446979479464</v>
      </c>
      <c r="M4" s="2">
        <f>('[1]Qc, Summer, S2'!M4*Main!$B$5)</f>
        <v>25.961901682006758</v>
      </c>
      <c r="N4" s="2">
        <f>('[1]Qc, Summer, S2'!N4*Main!$B$5)</f>
        <v>27.128888533194502</v>
      </c>
      <c r="O4" s="2">
        <f>('[1]Qc, Summer, S2'!O4*Main!$B$5)</f>
        <v>27.334143877975752</v>
      </c>
      <c r="P4" s="2">
        <f>('[1]Qc, Summer, S2'!P4*Main!$B$5)</f>
        <v>27.140126677076182</v>
      </c>
      <c r="Q4" s="2">
        <f>('[1]Qc, Summer, S2'!Q4*Main!$B$5)</f>
        <v>26.236670701168041</v>
      </c>
      <c r="R4" s="2">
        <f>('[1]Qc, Summer, S2'!R4*Main!$B$5)</f>
        <v>24.968377700438158</v>
      </c>
      <c r="S4" s="2">
        <f>('[1]Qc, Summer, S2'!S4*Main!$B$5)</f>
        <v>22.156623840208017</v>
      </c>
      <c r="T4" s="2">
        <f>('[1]Qc, Summer, S2'!T4*Main!$B$5)</f>
        <v>22.054115647403378</v>
      </c>
      <c r="U4" s="2">
        <f>('[1]Qc, Summer, S2'!U4*Main!$B$5)</f>
        <v>20.980121258747872</v>
      </c>
      <c r="V4" s="2">
        <f>('[1]Qc, Summer, S2'!V4*Main!$B$5)</f>
        <v>18.911441191415019</v>
      </c>
      <c r="W4" s="2">
        <f>('[1]Qc, Summer, S2'!W4*Main!$B$5)</f>
        <v>22.671124761717785</v>
      </c>
      <c r="X4" s="2">
        <f>('[1]Qc, Summer, S2'!X4*Main!$B$5)</f>
        <v>20.314152992774684</v>
      </c>
      <c r="Y4" s="2">
        <f>('[1]Qc, Summer, S2'!Y4*Main!$B$5)</f>
        <v>16.348012472007195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4CB74-1EDC-42F0-8237-BA1DB1708AAE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-10.882009045535636</v>
      </c>
      <c r="C2" s="2">
        <f>('[1]Qc, Summer, S3'!C2*Main!$B$5)</f>
        <v>-14.147947965100613</v>
      </c>
      <c r="D2" s="2">
        <f>('[1]Qc, Summer, S3'!D2*Main!$B$5)</f>
        <v>-15.593769003788212</v>
      </c>
      <c r="E2" s="2">
        <f>('[1]Qc, Summer, S3'!E2*Main!$B$5)</f>
        <v>-14.230131184214009</v>
      </c>
      <c r="F2" s="2">
        <f>('[1]Qc, Summer, S3'!F2*Main!$B$5)</f>
        <v>-15.252786098410583</v>
      </c>
      <c r="G2" s="2">
        <f>('[1]Qc, Summer, S3'!G2*Main!$B$5)</f>
        <v>-15.604346213834701</v>
      </c>
      <c r="H2" s="2">
        <f>('[1]Qc, Summer, S3'!H2*Main!$B$5)</f>
        <v>-13.524135269738309</v>
      </c>
      <c r="I2" s="2">
        <f>('[1]Qc, Summer, S3'!I2*Main!$B$5)</f>
        <v>-2.1040516045002486</v>
      </c>
      <c r="J2" s="2">
        <f>('[1]Qc, Summer, S3'!J2*Main!$B$5)</f>
        <v>6.7538508265697903</v>
      </c>
      <c r="K2" s="2">
        <f>('[1]Qc, Summer, S3'!K2*Main!$B$5)</f>
        <v>9.8322940093073843</v>
      </c>
      <c r="L2" s="2">
        <f>('[1]Qc, Summer, S3'!L2*Main!$B$5)</f>
        <v>7.7290621197327622</v>
      </c>
      <c r="M2" s="2">
        <f>('[1]Qc, Summer, S3'!M2*Main!$B$5)</f>
        <v>10.295322959119659</v>
      </c>
      <c r="N2" s="2">
        <f>('[1]Qc, Summer, S3'!N2*Main!$B$5)</f>
        <v>9.136274212842002</v>
      </c>
      <c r="O2" s="2">
        <f>('[1]Qc, Summer, S3'!O2*Main!$B$5)</f>
        <v>9.4113563336331065</v>
      </c>
      <c r="P2" s="2">
        <f>('[1]Qc, Summer, S3'!P2*Main!$B$5)</f>
        <v>4.8559144819639881</v>
      </c>
      <c r="Q2" s="2">
        <f>('[1]Qc, Summer, S3'!Q2*Main!$B$5)</f>
        <v>1.2276339620057186</v>
      </c>
      <c r="R2" s="2">
        <f>('[1]Qc, Summer, S3'!R2*Main!$B$5)</f>
        <v>2.7309964018974315</v>
      </c>
      <c r="S2" s="2">
        <f>('[1]Qc, Summer, S3'!S2*Main!$B$5)</f>
        <v>3.3172163853878431</v>
      </c>
      <c r="T2" s="2">
        <f>('[1]Qc, Summer, S3'!T2*Main!$B$5)</f>
        <v>1.9984979477991416</v>
      </c>
      <c r="U2" s="2">
        <f>('[1]Qc, Summer, S3'!U2*Main!$B$5)</f>
        <v>-0.37281273221353267</v>
      </c>
      <c r="V2" s="2">
        <f>('[1]Qc, Summer, S3'!V2*Main!$B$5)</f>
        <v>-1.4554010202620073</v>
      </c>
      <c r="W2" s="2">
        <f>('[1]Qc, Summer, S3'!W2*Main!$B$5)</f>
        <v>-1.0125601970751423</v>
      </c>
      <c r="X2" s="2">
        <f>('[1]Qc, Summer, S3'!X2*Main!$B$5)</f>
        <v>-4.8559781074046553</v>
      </c>
      <c r="Y2" s="2">
        <f>('[1]Qc, Summer, S3'!Y2*Main!$B$5)</f>
        <v>-6.5729617462825196</v>
      </c>
    </row>
    <row r="3" spans="1:25" x14ac:dyDescent="0.3">
      <c r="A3">
        <v>2</v>
      </c>
      <c r="B3" s="2">
        <f>('[1]Qc, Summer, S3'!B3*Main!$B$5)</f>
        <v>-13.772083924561588</v>
      </c>
      <c r="C3" s="2">
        <f>('[1]Qc, Summer, S3'!C3*Main!$B$5)</f>
        <v>-13.772083924561588</v>
      </c>
      <c r="D3" s="2">
        <f>('[1]Qc, Summer, S3'!D3*Main!$B$5)</f>
        <v>-15.988577253684369</v>
      </c>
      <c r="E3" s="2">
        <f>('[1]Qc, Summer, S3'!E3*Main!$B$5)</f>
        <v>-18.205070582807149</v>
      </c>
      <c r="F3" s="2">
        <f>('[1]Qc, Summer, S3'!F3*Main!$B$5)</f>
        <v>-18.205070582807149</v>
      </c>
      <c r="G3" s="2">
        <f>('[1]Qc, Summer, S3'!G3*Main!$B$5)</f>
        <v>-18.205070582807149</v>
      </c>
      <c r="H3" s="2">
        <f>('[1]Qc, Summer, S3'!H3*Main!$B$5)</f>
        <v>-7.259008490406524</v>
      </c>
      <c r="I3" s="2">
        <f>('[1]Qc, Summer, S3'!I3*Main!$B$5)</f>
        <v>1.5046650663290138</v>
      </c>
      <c r="J3" s="2">
        <f>('[1]Qc, Summer, S3'!J3*Main!$B$5)</f>
        <v>4.7782606712668434</v>
      </c>
      <c r="K3" s="2">
        <f>('[1]Qc, Summer, S3'!K3*Main!$B$5)</f>
        <v>4.7782606712668434</v>
      </c>
      <c r="L3" s="2">
        <f>('[1]Qc, Summer, S3'!L3*Main!$B$5)</f>
        <v>4.3690543555353143</v>
      </c>
      <c r="M3" s="2">
        <f>('[1]Qc, Summer, S3'!M3*Main!$B$5)</f>
        <v>6.1422402138234569</v>
      </c>
      <c r="N3" s="2">
        <f>('[1]Qc, Summer, S3'!N3*Main!$B$5)</f>
        <v>8.3246323878431276</v>
      </c>
      <c r="O3" s="2">
        <f>('[1]Qc, Summer, S3'!O3*Main!$B$5)</f>
        <v>8.5803909359179009</v>
      </c>
      <c r="P3" s="2">
        <f>('[1]Qc, Summer, S3'!P3*Main!$B$5)</f>
        <v>4.8123581496158536</v>
      </c>
      <c r="Q3" s="2">
        <f>('[1]Qc, Summer, S3'!Q3*Main!$B$5)</f>
        <v>3.7552558546010455</v>
      </c>
      <c r="R3" s="2">
        <f>('[1]Qc, Summer, S3'!R3*Main!$B$5)</f>
        <v>-0.6095285318378173</v>
      </c>
      <c r="S3" s="2">
        <f>('[1]Qc, Summer, S3'!S3*Main!$B$5)</f>
        <v>-0.6095285318378173</v>
      </c>
      <c r="T3" s="2">
        <f>('[1]Qc, Summer, S3'!T3*Main!$B$5)</f>
        <v>-0.6095285318378173</v>
      </c>
      <c r="U3" s="2">
        <f>('[1]Qc, Summer, S3'!U3*Main!$B$5)</f>
        <v>-0.6095285318378173</v>
      </c>
      <c r="V3" s="2">
        <f>('[1]Qc, Summer, S3'!V3*Main!$B$5)</f>
        <v>-3.8831277943299889</v>
      </c>
      <c r="W3" s="2">
        <f>('[1]Qc, Summer, S3'!W3*Main!$B$5)</f>
        <v>-4.9743275484940455</v>
      </c>
      <c r="X3" s="2">
        <f>('[1]Qc, Summer, S3'!X3*Main!$B$5)</f>
        <v>-13.908473837957629</v>
      </c>
      <c r="Y3" s="2">
        <f>('[1]Qc, Summer, S3'!Y3*Main!$B$5)</f>
        <v>-13.908473837957629</v>
      </c>
    </row>
    <row r="4" spans="1:25" x14ac:dyDescent="0.3">
      <c r="A4">
        <v>3</v>
      </c>
      <c r="B4" s="2">
        <f>('[1]Qc, Summer, S3'!B4*Main!$B$5)</f>
        <v>11.117188562542202</v>
      </c>
      <c r="C4" s="2">
        <f>('[1]Qc, Summer, S3'!C4*Main!$B$5)</f>
        <v>8.5179206911608283</v>
      </c>
      <c r="D4" s="2">
        <f>('[1]Qc, Summer, S3'!D4*Main!$B$5)</f>
        <v>8.0720057391209767</v>
      </c>
      <c r="E4" s="2">
        <f>('[1]Qc, Summer, S3'!E4*Main!$B$5)</f>
        <v>7.0498792629725839</v>
      </c>
      <c r="F4" s="2">
        <f>('[1]Qc, Summer, S3'!F4*Main!$B$5)</f>
        <v>8.1158063124501147</v>
      </c>
      <c r="G4" s="2">
        <f>('[1]Qc, Summer, S3'!G4*Main!$B$5)</f>
        <v>3.766671497740667</v>
      </c>
      <c r="H4" s="2">
        <f>('[1]Qc, Summer, S3'!H4*Main!$B$5)</f>
        <v>6.5719620804184968</v>
      </c>
      <c r="I4" s="2">
        <f>('[1]Qc, Summer, S3'!I4*Main!$B$5)</f>
        <v>12.628801630571893</v>
      </c>
      <c r="J4" s="2">
        <f>('[1]Qc, Summer, S3'!J4*Main!$B$5)</f>
        <v>18.371051219004531</v>
      </c>
      <c r="K4" s="2">
        <f>('[1]Qc, Summer, S3'!K4*Main!$B$5)</f>
        <v>21.82991848749602</v>
      </c>
      <c r="L4" s="2">
        <f>('[1]Qc, Summer, S3'!L4*Main!$B$5)</f>
        <v>23.831551495038713</v>
      </c>
      <c r="M4" s="2">
        <f>('[1]Qc, Summer, S3'!M4*Main!$B$5)</f>
        <v>24.701615192588953</v>
      </c>
      <c r="N4" s="2">
        <f>('[1]Qc, Summer, S3'!N4*Main!$B$5)</f>
        <v>25.811952196631658</v>
      </c>
      <c r="O4" s="2">
        <f>('[1]Qc, Summer, S3'!O4*Main!$B$5)</f>
        <v>26.007243689724504</v>
      </c>
      <c r="P4" s="2">
        <f>('[1]Qc, Summer, S3'!P4*Main!$B$5)</f>
        <v>25.822644799548208</v>
      </c>
      <c r="Q4" s="2">
        <f>('[1]Qc, Summer, S3'!Q4*Main!$B$5)</f>
        <v>24.963045909849203</v>
      </c>
      <c r="R4" s="2">
        <f>('[1]Qc, Summer, S3'!R4*Main!$B$5)</f>
        <v>23.756320530513975</v>
      </c>
      <c r="S4" s="2">
        <f>('[1]Qc, Summer, S3'!S4*Main!$B$5)</f>
        <v>21.08105957612025</v>
      </c>
      <c r="T4" s="2">
        <f>('[1]Qc, Summer, S3'!T4*Main!$B$5)</f>
        <v>20.983527509179911</v>
      </c>
      <c r="U4" s="2">
        <f>('[1]Qc, Summer, S3'!U4*Main!$B$5)</f>
        <v>19.961668770459145</v>
      </c>
      <c r="V4" s="2">
        <f>('[1]Qc, Summer, S3'!V4*Main!$B$5)</f>
        <v>17.993410065618171</v>
      </c>
      <c r="W4" s="2">
        <f>('[1]Qc, Summer, S3'!W4*Main!$B$5)</f>
        <v>21.570584724741192</v>
      </c>
      <c r="X4" s="2">
        <f>('[1]Qc, Summer, S3'!X4*Main!$B$5)</f>
        <v>19.328029061086593</v>
      </c>
      <c r="Y4" s="2">
        <f>('[1]Qc, Summer, S3'!Y4*Main!$B$5)</f>
        <v>15.554419633560242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B2D06-6809-4291-8C45-542A8D818016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-10.882009045535636</v>
      </c>
      <c r="C2" s="2">
        <f>('[1]Qc, Summer, S3'!C2*Main!$B$5)</f>
        <v>-14.147947965100613</v>
      </c>
      <c r="D2" s="2">
        <f>('[1]Qc, Summer, S3'!D2*Main!$B$5)</f>
        <v>-15.593769003788212</v>
      </c>
      <c r="E2" s="2">
        <f>('[1]Qc, Summer, S3'!E2*Main!$B$5)</f>
        <v>-14.230131184214009</v>
      </c>
      <c r="F2" s="2">
        <f>('[1]Qc, Summer, S3'!F2*Main!$B$5)</f>
        <v>-15.252786098410583</v>
      </c>
      <c r="G2" s="2">
        <f>('[1]Qc, Summer, S3'!G2*Main!$B$5)</f>
        <v>-15.604346213834701</v>
      </c>
      <c r="H2" s="2">
        <f>('[1]Qc, Summer, S3'!H2*Main!$B$5)</f>
        <v>-13.524135269738309</v>
      </c>
      <c r="I2" s="2">
        <f>('[1]Qc, Summer, S3'!I2*Main!$B$5)</f>
        <v>-2.1040516045002486</v>
      </c>
      <c r="J2" s="2">
        <f>('[1]Qc, Summer, S3'!J2*Main!$B$5)</f>
        <v>6.7538508265697903</v>
      </c>
      <c r="K2" s="2">
        <f>('[1]Qc, Summer, S3'!K2*Main!$B$5)</f>
        <v>9.8322940093073843</v>
      </c>
      <c r="L2" s="2">
        <f>('[1]Qc, Summer, S3'!L2*Main!$B$5)</f>
        <v>7.7290621197327622</v>
      </c>
      <c r="M2" s="2">
        <f>('[1]Qc, Summer, S3'!M2*Main!$B$5)</f>
        <v>10.295322959119659</v>
      </c>
      <c r="N2" s="2">
        <f>('[1]Qc, Summer, S3'!N2*Main!$B$5)</f>
        <v>9.136274212842002</v>
      </c>
      <c r="O2" s="2">
        <f>('[1]Qc, Summer, S3'!O2*Main!$B$5)</f>
        <v>9.4113563336331065</v>
      </c>
      <c r="P2" s="2">
        <f>('[1]Qc, Summer, S3'!P2*Main!$B$5)</f>
        <v>4.8559144819639881</v>
      </c>
      <c r="Q2" s="2">
        <f>('[1]Qc, Summer, S3'!Q2*Main!$B$5)</f>
        <v>1.2276339620057186</v>
      </c>
      <c r="R2" s="2">
        <f>('[1]Qc, Summer, S3'!R2*Main!$B$5)</f>
        <v>2.7309964018974315</v>
      </c>
      <c r="S2" s="2">
        <f>('[1]Qc, Summer, S3'!S2*Main!$B$5)</f>
        <v>3.3172163853878431</v>
      </c>
      <c r="T2" s="2">
        <f>('[1]Qc, Summer, S3'!T2*Main!$B$5)</f>
        <v>1.9984979477991416</v>
      </c>
      <c r="U2" s="2">
        <f>('[1]Qc, Summer, S3'!U2*Main!$B$5)</f>
        <v>-0.37281273221353267</v>
      </c>
      <c r="V2" s="2">
        <f>('[1]Qc, Summer, S3'!V2*Main!$B$5)</f>
        <v>-1.4554010202620073</v>
      </c>
      <c r="W2" s="2">
        <f>('[1]Qc, Summer, S3'!W2*Main!$B$5)</f>
        <v>-1.0125601970751423</v>
      </c>
      <c r="X2" s="2">
        <f>('[1]Qc, Summer, S3'!X2*Main!$B$5)</f>
        <v>-4.8559781074046553</v>
      </c>
      <c r="Y2" s="2">
        <f>('[1]Qc, Summer, S3'!Y2*Main!$B$5)</f>
        <v>-6.5729617462825196</v>
      </c>
    </row>
    <row r="3" spans="1:25" x14ac:dyDescent="0.3">
      <c r="A3">
        <v>2</v>
      </c>
      <c r="B3" s="2">
        <f>('[1]Qc, Summer, S3'!B3*Main!$B$5)</f>
        <v>-13.772083924561588</v>
      </c>
      <c r="C3" s="2">
        <f>('[1]Qc, Summer, S3'!C3*Main!$B$5)</f>
        <v>-13.772083924561588</v>
      </c>
      <c r="D3" s="2">
        <f>('[1]Qc, Summer, S3'!D3*Main!$B$5)</f>
        <v>-15.988577253684369</v>
      </c>
      <c r="E3" s="2">
        <f>('[1]Qc, Summer, S3'!E3*Main!$B$5)</f>
        <v>-18.205070582807149</v>
      </c>
      <c r="F3" s="2">
        <f>('[1]Qc, Summer, S3'!F3*Main!$B$5)</f>
        <v>-18.205070582807149</v>
      </c>
      <c r="G3" s="2">
        <f>('[1]Qc, Summer, S3'!G3*Main!$B$5)</f>
        <v>-18.205070582807149</v>
      </c>
      <c r="H3" s="2">
        <f>('[1]Qc, Summer, S3'!H3*Main!$B$5)</f>
        <v>-7.259008490406524</v>
      </c>
      <c r="I3" s="2">
        <f>('[1]Qc, Summer, S3'!I3*Main!$B$5)</f>
        <v>1.5046650663290138</v>
      </c>
      <c r="J3" s="2">
        <f>('[1]Qc, Summer, S3'!J3*Main!$B$5)</f>
        <v>4.7782606712668434</v>
      </c>
      <c r="K3" s="2">
        <f>('[1]Qc, Summer, S3'!K3*Main!$B$5)</f>
        <v>4.7782606712668434</v>
      </c>
      <c r="L3" s="2">
        <f>('[1]Qc, Summer, S3'!L3*Main!$B$5)</f>
        <v>4.3690543555353143</v>
      </c>
      <c r="M3" s="2">
        <f>('[1]Qc, Summer, S3'!M3*Main!$B$5)</f>
        <v>6.1422402138234569</v>
      </c>
      <c r="N3" s="2">
        <f>('[1]Qc, Summer, S3'!N3*Main!$B$5)</f>
        <v>8.3246323878431276</v>
      </c>
      <c r="O3" s="2">
        <f>('[1]Qc, Summer, S3'!O3*Main!$B$5)</f>
        <v>8.5803909359179009</v>
      </c>
      <c r="P3" s="2">
        <f>('[1]Qc, Summer, S3'!P3*Main!$B$5)</f>
        <v>4.8123581496158536</v>
      </c>
      <c r="Q3" s="2">
        <f>('[1]Qc, Summer, S3'!Q3*Main!$B$5)</f>
        <v>3.7552558546010455</v>
      </c>
      <c r="R3" s="2">
        <f>('[1]Qc, Summer, S3'!R3*Main!$B$5)</f>
        <v>-0.6095285318378173</v>
      </c>
      <c r="S3" s="2">
        <f>('[1]Qc, Summer, S3'!S3*Main!$B$5)</f>
        <v>-0.6095285318378173</v>
      </c>
      <c r="T3" s="2">
        <f>('[1]Qc, Summer, S3'!T3*Main!$B$5)</f>
        <v>-0.6095285318378173</v>
      </c>
      <c r="U3" s="2">
        <f>('[1]Qc, Summer, S3'!U3*Main!$B$5)</f>
        <v>-0.6095285318378173</v>
      </c>
      <c r="V3" s="2">
        <f>('[1]Qc, Summer, S3'!V3*Main!$B$5)</f>
        <v>-3.8831277943299889</v>
      </c>
      <c r="W3" s="2">
        <f>('[1]Qc, Summer, S3'!W3*Main!$B$5)</f>
        <v>-4.9743275484940455</v>
      </c>
      <c r="X3" s="2">
        <f>('[1]Qc, Summer, S3'!X3*Main!$B$5)</f>
        <v>-13.908473837957629</v>
      </c>
      <c r="Y3" s="2">
        <f>('[1]Qc, Summer, S3'!Y3*Main!$B$5)</f>
        <v>-13.908473837957629</v>
      </c>
    </row>
    <row r="4" spans="1:25" x14ac:dyDescent="0.3">
      <c r="A4">
        <v>3</v>
      </c>
      <c r="B4" s="2">
        <f>('[1]Qc, Summer, S3'!B4*Main!$B$5)</f>
        <v>11.117188562542202</v>
      </c>
      <c r="C4" s="2">
        <f>('[1]Qc, Summer, S3'!C4*Main!$B$5)</f>
        <v>8.5179206911608283</v>
      </c>
      <c r="D4" s="2">
        <f>('[1]Qc, Summer, S3'!D4*Main!$B$5)</f>
        <v>8.0720057391209767</v>
      </c>
      <c r="E4" s="2">
        <f>('[1]Qc, Summer, S3'!E4*Main!$B$5)</f>
        <v>7.0498792629725839</v>
      </c>
      <c r="F4" s="2">
        <f>('[1]Qc, Summer, S3'!F4*Main!$B$5)</f>
        <v>8.1158063124501147</v>
      </c>
      <c r="G4" s="2">
        <f>('[1]Qc, Summer, S3'!G4*Main!$B$5)</f>
        <v>3.766671497740667</v>
      </c>
      <c r="H4" s="2">
        <f>('[1]Qc, Summer, S3'!H4*Main!$B$5)</f>
        <v>6.5719620804184968</v>
      </c>
      <c r="I4" s="2">
        <f>('[1]Qc, Summer, S3'!I4*Main!$B$5)</f>
        <v>12.628801630571893</v>
      </c>
      <c r="J4" s="2">
        <f>('[1]Qc, Summer, S3'!J4*Main!$B$5)</f>
        <v>18.371051219004531</v>
      </c>
      <c r="K4" s="2">
        <f>('[1]Qc, Summer, S3'!K4*Main!$B$5)</f>
        <v>21.82991848749602</v>
      </c>
      <c r="L4" s="2">
        <f>('[1]Qc, Summer, S3'!L4*Main!$B$5)</f>
        <v>23.831551495038713</v>
      </c>
      <c r="M4" s="2">
        <f>('[1]Qc, Summer, S3'!M4*Main!$B$5)</f>
        <v>24.701615192588953</v>
      </c>
      <c r="N4" s="2">
        <f>('[1]Qc, Summer, S3'!N4*Main!$B$5)</f>
        <v>25.811952196631658</v>
      </c>
      <c r="O4" s="2">
        <f>('[1]Qc, Summer, S3'!O4*Main!$B$5)</f>
        <v>26.007243689724504</v>
      </c>
      <c r="P4" s="2">
        <f>('[1]Qc, Summer, S3'!P4*Main!$B$5)</f>
        <v>25.822644799548208</v>
      </c>
      <c r="Q4" s="2">
        <f>('[1]Qc, Summer, S3'!Q4*Main!$B$5)</f>
        <v>24.963045909849203</v>
      </c>
      <c r="R4" s="2">
        <f>('[1]Qc, Summer, S3'!R4*Main!$B$5)</f>
        <v>23.756320530513975</v>
      </c>
      <c r="S4" s="2">
        <f>('[1]Qc, Summer, S3'!S4*Main!$B$5)</f>
        <v>21.08105957612025</v>
      </c>
      <c r="T4" s="2">
        <f>('[1]Qc, Summer, S3'!T4*Main!$B$5)</f>
        <v>20.983527509179911</v>
      </c>
      <c r="U4" s="2">
        <f>('[1]Qc, Summer, S3'!U4*Main!$B$5)</f>
        <v>19.961668770459145</v>
      </c>
      <c r="V4" s="2">
        <f>('[1]Qc, Summer, S3'!V4*Main!$B$5)</f>
        <v>17.993410065618171</v>
      </c>
      <c r="W4" s="2">
        <f>('[1]Qc, Summer, S3'!W4*Main!$B$5)</f>
        <v>21.570584724741192</v>
      </c>
      <c r="X4" s="2">
        <f>('[1]Qc, Summer, S3'!X4*Main!$B$5)</f>
        <v>19.328029061086593</v>
      </c>
      <c r="Y4" s="2">
        <f>('[1]Qc, Summer, S3'!Y4*Main!$B$5)</f>
        <v>15.554419633560242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C8CBD-8163-4197-999D-14E463C9318C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-10.882009045535636</v>
      </c>
      <c r="C2" s="2">
        <f>('[1]Qc, Summer, S3'!C2*Main!$B$5)</f>
        <v>-14.147947965100613</v>
      </c>
      <c r="D2" s="2">
        <f>('[1]Qc, Summer, S3'!D2*Main!$B$5)</f>
        <v>-15.593769003788212</v>
      </c>
      <c r="E2" s="2">
        <f>('[1]Qc, Summer, S3'!E2*Main!$B$5)</f>
        <v>-14.230131184214009</v>
      </c>
      <c r="F2" s="2">
        <f>('[1]Qc, Summer, S3'!F2*Main!$B$5)</f>
        <v>-15.252786098410583</v>
      </c>
      <c r="G2" s="2">
        <f>('[1]Qc, Summer, S3'!G2*Main!$B$5)</f>
        <v>-15.604346213834701</v>
      </c>
      <c r="H2" s="2">
        <f>('[1]Qc, Summer, S3'!H2*Main!$B$5)</f>
        <v>-13.524135269738309</v>
      </c>
      <c r="I2" s="2">
        <f>('[1]Qc, Summer, S3'!I2*Main!$B$5)</f>
        <v>-2.1040516045002486</v>
      </c>
      <c r="J2" s="2">
        <f>('[1]Qc, Summer, S3'!J2*Main!$B$5)</f>
        <v>6.7538508265697903</v>
      </c>
      <c r="K2" s="2">
        <f>('[1]Qc, Summer, S3'!K2*Main!$B$5)</f>
        <v>9.8322940093073843</v>
      </c>
      <c r="L2" s="2">
        <f>('[1]Qc, Summer, S3'!L2*Main!$B$5)</f>
        <v>7.7290621197327622</v>
      </c>
      <c r="M2" s="2">
        <f>('[1]Qc, Summer, S3'!M2*Main!$B$5)</f>
        <v>10.295322959119659</v>
      </c>
      <c r="N2" s="2">
        <f>('[1]Qc, Summer, S3'!N2*Main!$B$5)</f>
        <v>9.136274212842002</v>
      </c>
      <c r="O2" s="2">
        <f>('[1]Qc, Summer, S3'!O2*Main!$B$5)</f>
        <v>9.4113563336331065</v>
      </c>
      <c r="P2" s="2">
        <f>('[1]Qc, Summer, S3'!P2*Main!$B$5)</f>
        <v>4.8559144819639881</v>
      </c>
      <c r="Q2" s="2">
        <f>('[1]Qc, Summer, S3'!Q2*Main!$B$5)</f>
        <v>1.2276339620057186</v>
      </c>
      <c r="R2" s="2">
        <f>('[1]Qc, Summer, S3'!R2*Main!$B$5)</f>
        <v>2.7309964018974315</v>
      </c>
      <c r="S2" s="2">
        <f>('[1]Qc, Summer, S3'!S2*Main!$B$5)</f>
        <v>3.3172163853878431</v>
      </c>
      <c r="T2" s="2">
        <f>('[1]Qc, Summer, S3'!T2*Main!$B$5)</f>
        <v>1.9984979477991416</v>
      </c>
      <c r="U2" s="2">
        <f>('[1]Qc, Summer, S3'!U2*Main!$B$5)</f>
        <v>-0.37281273221353267</v>
      </c>
      <c r="V2" s="2">
        <f>('[1]Qc, Summer, S3'!V2*Main!$B$5)</f>
        <v>-1.4554010202620073</v>
      </c>
      <c r="W2" s="2">
        <f>('[1]Qc, Summer, S3'!W2*Main!$B$5)</f>
        <v>-1.0125601970751423</v>
      </c>
      <c r="X2" s="2">
        <f>('[1]Qc, Summer, S3'!X2*Main!$B$5)</f>
        <v>-4.8559781074046553</v>
      </c>
      <c r="Y2" s="2">
        <f>('[1]Qc, Summer, S3'!Y2*Main!$B$5)</f>
        <v>-6.5729617462825196</v>
      </c>
    </row>
    <row r="3" spans="1:25" x14ac:dyDescent="0.3">
      <c r="A3">
        <v>2</v>
      </c>
      <c r="B3" s="2">
        <f>('[1]Qc, Summer, S3'!B3*Main!$B$5)</f>
        <v>-13.772083924561588</v>
      </c>
      <c r="C3" s="2">
        <f>('[1]Qc, Summer, S3'!C3*Main!$B$5)</f>
        <v>-13.772083924561588</v>
      </c>
      <c r="D3" s="2">
        <f>('[1]Qc, Summer, S3'!D3*Main!$B$5)</f>
        <v>-15.988577253684369</v>
      </c>
      <c r="E3" s="2">
        <f>('[1]Qc, Summer, S3'!E3*Main!$B$5)</f>
        <v>-18.205070582807149</v>
      </c>
      <c r="F3" s="2">
        <f>('[1]Qc, Summer, S3'!F3*Main!$B$5)</f>
        <v>-18.205070582807149</v>
      </c>
      <c r="G3" s="2">
        <f>('[1]Qc, Summer, S3'!G3*Main!$B$5)</f>
        <v>-18.205070582807149</v>
      </c>
      <c r="H3" s="2">
        <f>('[1]Qc, Summer, S3'!H3*Main!$B$5)</f>
        <v>-7.259008490406524</v>
      </c>
      <c r="I3" s="2">
        <f>('[1]Qc, Summer, S3'!I3*Main!$B$5)</f>
        <v>1.5046650663290138</v>
      </c>
      <c r="J3" s="2">
        <f>('[1]Qc, Summer, S3'!J3*Main!$B$5)</f>
        <v>4.7782606712668434</v>
      </c>
      <c r="K3" s="2">
        <f>('[1]Qc, Summer, S3'!K3*Main!$B$5)</f>
        <v>4.7782606712668434</v>
      </c>
      <c r="L3" s="2">
        <f>('[1]Qc, Summer, S3'!L3*Main!$B$5)</f>
        <v>4.3690543555353143</v>
      </c>
      <c r="M3" s="2">
        <f>('[1]Qc, Summer, S3'!M3*Main!$B$5)</f>
        <v>6.1422402138234569</v>
      </c>
      <c r="N3" s="2">
        <f>('[1]Qc, Summer, S3'!N3*Main!$B$5)</f>
        <v>8.3246323878431276</v>
      </c>
      <c r="O3" s="2">
        <f>('[1]Qc, Summer, S3'!O3*Main!$B$5)</f>
        <v>8.5803909359179009</v>
      </c>
      <c r="P3" s="2">
        <f>('[1]Qc, Summer, S3'!P3*Main!$B$5)</f>
        <v>4.8123581496158536</v>
      </c>
      <c r="Q3" s="2">
        <f>('[1]Qc, Summer, S3'!Q3*Main!$B$5)</f>
        <v>3.7552558546010455</v>
      </c>
      <c r="R3" s="2">
        <f>('[1]Qc, Summer, S3'!R3*Main!$B$5)</f>
        <v>-0.6095285318378173</v>
      </c>
      <c r="S3" s="2">
        <f>('[1]Qc, Summer, S3'!S3*Main!$B$5)</f>
        <v>-0.6095285318378173</v>
      </c>
      <c r="T3" s="2">
        <f>('[1]Qc, Summer, S3'!T3*Main!$B$5)</f>
        <v>-0.6095285318378173</v>
      </c>
      <c r="U3" s="2">
        <f>('[1]Qc, Summer, S3'!U3*Main!$B$5)</f>
        <v>-0.6095285318378173</v>
      </c>
      <c r="V3" s="2">
        <f>('[1]Qc, Summer, S3'!V3*Main!$B$5)</f>
        <v>-3.8831277943299889</v>
      </c>
      <c r="W3" s="2">
        <f>('[1]Qc, Summer, S3'!W3*Main!$B$5)</f>
        <v>-4.9743275484940455</v>
      </c>
      <c r="X3" s="2">
        <f>('[1]Qc, Summer, S3'!X3*Main!$B$5)</f>
        <v>-13.908473837957629</v>
      </c>
      <c r="Y3" s="2">
        <f>('[1]Qc, Summer, S3'!Y3*Main!$B$5)</f>
        <v>-13.908473837957629</v>
      </c>
    </row>
    <row r="4" spans="1:25" x14ac:dyDescent="0.3">
      <c r="A4">
        <v>3</v>
      </c>
      <c r="B4" s="2">
        <f>('[1]Qc, Summer, S3'!B4*Main!$B$5)</f>
        <v>11.117188562542202</v>
      </c>
      <c r="C4" s="2">
        <f>('[1]Qc, Summer, S3'!C4*Main!$B$5)</f>
        <v>8.5179206911608283</v>
      </c>
      <c r="D4" s="2">
        <f>('[1]Qc, Summer, S3'!D4*Main!$B$5)</f>
        <v>8.0720057391209767</v>
      </c>
      <c r="E4" s="2">
        <f>('[1]Qc, Summer, S3'!E4*Main!$B$5)</f>
        <v>7.0498792629725839</v>
      </c>
      <c r="F4" s="2">
        <f>('[1]Qc, Summer, S3'!F4*Main!$B$5)</f>
        <v>8.1158063124501147</v>
      </c>
      <c r="G4" s="2">
        <f>('[1]Qc, Summer, S3'!G4*Main!$B$5)</f>
        <v>3.766671497740667</v>
      </c>
      <c r="H4" s="2">
        <f>('[1]Qc, Summer, S3'!H4*Main!$B$5)</f>
        <v>6.5719620804184968</v>
      </c>
      <c r="I4" s="2">
        <f>('[1]Qc, Summer, S3'!I4*Main!$B$5)</f>
        <v>12.628801630571893</v>
      </c>
      <c r="J4" s="2">
        <f>('[1]Qc, Summer, S3'!J4*Main!$B$5)</f>
        <v>18.371051219004531</v>
      </c>
      <c r="K4" s="2">
        <f>('[1]Qc, Summer, S3'!K4*Main!$B$5)</f>
        <v>21.82991848749602</v>
      </c>
      <c r="L4" s="2">
        <f>('[1]Qc, Summer, S3'!L4*Main!$B$5)</f>
        <v>23.831551495038713</v>
      </c>
      <c r="M4" s="2">
        <f>('[1]Qc, Summer, S3'!M4*Main!$B$5)</f>
        <v>24.701615192588953</v>
      </c>
      <c r="N4" s="2">
        <f>('[1]Qc, Summer, S3'!N4*Main!$B$5)</f>
        <v>25.811952196631658</v>
      </c>
      <c r="O4" s="2">
        <f>('[1]Qc, Summer, S3'!O4*Main!$B$5)</f>
        <v>26.007243689724504</v>
      </c>
      <c r="P4" s="2">
        <f>('[1]Qc, Summer, S3'!P4*Main!$B$5)</f>
        <v>25.822644799548208</v>
      </c>
      <c r="Q4" s="2">
        <f>('[1]Qc, Summer, S3'!Q4*Main!$B$5)</f>
        <v>24.963045909849203</v>
      </c>
      <c r="R4" s="2">
        <f>('[1]Qc, Summer, S3'!R4*Main!$B$5)</f>
        <v>23.756320530513975</v>
      </c>
      <c r="S4" s="2">
        <f>('[1]Qc, Summer, S3'!S4*Main!$B$5)</f>
        <v>21.08105957612025</v>
      </c>
      <c r="T4" s="2">
        <f>('[1]Qc, Summer, S3'!T4*Main!$B$5)</f>
        <v>20.983527509179911</v>
      </c>
      <c r="U4" s="2">
        <f>('[1]Qc, Summer, S3'!U4*Main!$B$5)</f>
        <v>19.961668770459145</v>
      </c>
      <c r="V4" s="2">
        <f>('[1]Qc, Summer, S3'!V4*Main!$B$5)</f>
        <v>17.993410065618171</v>
      </c>
      <c r="W4" s="2">
        <f>('[1]Qc, Summer, S3'!W4*Main!$B$5)</f>
        <v>21.570584724741192</v>
      </c>
      <c r="X4" s="2">
        <f>('[1]Qc, Summer, S3'!X4*Main!$B$5)</f>
        <v>19.328029061086593</v>
      </c>
      <c r="Y4" s="2">
        <f>('[1]Qc, Summer, S3'!Y4*Main!$B$5)</f>
        <v>15.554419633560242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DF70F-3329-4929-BF5C-6E86340FED71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2.2332448093209263</v>
      </c>
      <c r="C2" s="2">
        <f>('FL Characterization'!C$4-'FL Characterization'!C$2)*VLOOKUP($A2,'FL Ratio'!$A$2:$B$21,2,FALSE)</f>
        <v>2.4585191214535076</v>
      </c>
      <c r="D2" s="2">
        <f>('FL Characterization'!D$4-'FL Characterization'!D$2)*VLOOKUP($A2,'FL Ratio'!$A$2:$B$21,2,FALSE)</f>
        <v>3.1999961679010114</v>
      </c>
      <c r="E2" s="2">
        <f>('FL Characterization'!E$4-'FL Characterization'!E$2)*VLOOKUP($A2,'FL Ratio'!$A$2:$B$21,2,FALSE)</f>
        <v>3.668666934648114</v>
      </c>
      <c r="F2" s="2">
        <f>('FL Characterization'!F$4-'FL Characterization'!F$2)*VLOOKUP($A2,'FL Ratio'!$A$2:$B$21,2,FALSE)</f>
        <v>4.3135183254901186</v>
      </c>
      <c r="G2" s="2">
        <f>('FL Characterization'!G$4-'FL Characterization'!G$2)*VLOOKUP($A2,'FL Ratio'!$A$2:$B$21,2,FALSE)</f>
        <v>5.0421923566005518</v>
      </c>
      <c r="H2" s="2">
        <f>('FL Characterization'!H$4-'FL Characterization'!H$2)*VLOOKUP($A2,'FL Ratio'!$A$2:$B$21,2,FALSE)</f>
        <v>4.4946624374149717</v>
      </c>
      <c r="I2" s="2">
        <f>('FL Characterization'!I$4-'FL Characterization'!I$2)*VLOOKUP($A2,'FL Ratio'!$A$2:$B$21,2,FALSE)</f>
        <v>6.4256138290550719</v>
      </c>
      <c r="J2" s="2">
        <f>('FL Characterization'!J$4-'FL Characterization'!J$2)*VLOOKUP($A2,'FL Ratio'!$A$2:$B$21,2,FALSE)</f>
        <v>5.8947834950917581</v>
      </c>
      <c r="K2" s="2">
        <f>('FL Characterization'!K$4-'FL Characterization'!K$2)*VLOOKUP($A2,'FL Ratio'!$A$2:$B$21,2,FALSE)</f>
        <v>6.6578153765391122</v>
      </c>
      <c r="L2" s="2">
        <f>('FL Characterization'!L$4-'FL Characterization'!L$2)*VLOOKUP($A2,'FL Ratio'!$A$2:$B$21,2,FALSE)</f>
        <v>6.8424540312975139</v>
      </c>
      <c r="M2" s="2">
        <f>('FL Characterization'!M$4-'FL Characterization'!M$2)*VLOOKUP($A2,'FL Ratio'!$A$2:$B$21,2,FALSE)</f>
        <v>6.3469402275635094</v>
      </c>
      <c r="N2" s="2">
        <f>('FL Characterization'!N$4-'FL Characterization'!N$2)*VLOOKUP($A2,'FL Ratio'!$A$2:$B$21,2,FALSE)</f>
        <v>5.9874198053386047</v>
      </c>
      <c r="O2" s="2">
        <f>('FL Characterization'!O$4-'FL Characterization'!O$2)*VLOOKUP($A2,'FL Ratio'!$A$2:$B$21,2,FALSE)</f>
        <v>5.512285680607329</v>
      </c>
      <c r="P2" s="2">
        <f>('FL Characterization'!P$4-'FL Characterization'!P$2)*VLOOKUP($A2,'FL Ratio'!$A$2:$B$21,2,FALSE)</f>
        <v>5.0774161113564045</v>
      </c>
      <c r="Q2" s="2">
        <f>('FL Characterization'!Q$4-'FL Characterization'!Q$2)*VLOOKUP($A2,'FL Ratio'!$A$2:$B$21,2,FALSE)</f>
        <v>4.5696095573893443</v>
      </c>
      <c r="R2" s="2">
        <f>('FL Characterization'!R$4-'FL Characterization'!R$2)*VLOOKUP($A2,'FL Ratio'!$A$2:$B$21,2,FALSE)</f>
        <v>4.522046664663705</v>
      </c>
      <c r="S2" s="2">
        <f>('FL Characterization'!S$4-'FL Characterization'!S$2)*VLOOKUP($A2,'FL Ratio'!$A$2:$B$21,2,FALSE)</f>
        <v>3.5828650842792689</v>
      </c>
      <c r="T2" s="2">
        <f>('FL Characterization'!T$4-'FL Characterization'!T$2)*VLOOKUP($A2,'FL Ratio'!$A$2:$B$21,2,FALSE)</f>
        <v>2.9643928530568804</v>
      </c>
      <c r="U2" s="2">
        <f>('FL Characterization'!U$4-'FL Characterization'!U$2)*VLOOKUP($A2,'FL Ratio'!$A$2:$B$21,2,FALSE)</f>
        <v>3.5176439264389772</v>
      </c>
      <c r="V2" s="2">
        <f>('FL Characterization'!V$4-'FL Characterization'!V$2)*VLOOKUP($A2,'FL Ratio'!$A$2:$B$21,2,FALSE)</f>
        <v>3.584133015749849</v>
      </c>
      <c r="W2" s="2">
        <f>('FL Characterization'!W$4-'FL Characterization'!W$2)*VLOOKUP($A2,'FL Ratio'!$A$2:$B$21,2,FALSE)</f>
        <v>4.0959443776544706</v>
      </c>
      <c r="X2" s="2">
        <f>('FL Characterization'!X$4-'FL Characterization'!X$2)*VLOOKUP($A2,'FL Ratio'!$A$2:$B$21,2,FALSE)</f>
        <v>1.9887968993405585</v>
      </c>
      <c r="Y2" s="2">
        <f>('FL Characterization'!Y$4-'FL Characterization'!Y$2)*VLOOKUP($A2,'FL Ratio'!$A$2:$B$21,2,FALSE)</f>
        <v>1.9094738695347975</v>
      </c>
    </row>
    <row r="3" spans="1:25" x14ac:dyDescent="0.3">
      <c r="A3">
        <v>2</v>
      </c>
      <c r="B3" s="2">
        <f>('FL Characterization'!B$4-'FL Characterization'!B$2)*VLOOKUP($A3,'FL Ratio'!$A$2:$B$21,2,FALSE)</f>
        <v>2.2332448093209263</v>
      </c>
      <c r="C3" s="2">
        <f>('FL Characterization'!C$4-'FL Characterization'!C$2)*VLOOKUP($A3,'FL Ratio'!$A$2:$B$21,2,FALSE)</f>
        <v>2.4585191214535076</v>
      </c>
      <c r="D3" s="2">
        <f>('FL Characterization'!D$4-'FL Characterization'!D$2)*VLOOKUP($A3,'FL Ratio'!$A$2:$B$21,2,FALSE)</f>
        <v>3.1999961679010114</v>
      </c>
      <c r="E3" s="2">
        <f>('FL Characterization'!E$4-'FL Characterization'!E$2)*VLOOKUP($A3,'FL Ratio'!$A$2:$B$21,2,FALSE)</f>
        <v>3.668666934648114</v>
      </c>
      <c r="F3" s="2">
        <f>('FL Characterization'!F$4-'FL Characterization'!F$2)*VLOOKUP($A3,'FL Ratio'!$A$2:$B$21,2,FALSE)</f>
        <v>4.3135183254901186</v>
      </c>
      <c r="G3" s="2">
        <f>('FL Characterization'!G$4-'FL Characterization'!G$2)*VLOOKUP($A3,'FL Ratio'!$A$2:$B$21,2,FALSE)</f>
        <v>5.0421923566005518</v>
      </c>
      <c r="H3" s="2">
        <f>('FL Characterization'!H$4-'FL Characterization'!H$2)*VLOOKUP($A3,'FL Ratio'!$A$2:$B$21,2,FALSE)</f>
        <v>4.4946624374149717</v>
      </c>
      <c r="I3" s="2">
        <f>('FL Characterization'!I$4-'FL Characterization'!I$2)*VLOOKUP($A3,'FL Ratio'!$A$2:$B$21,2,FALSE)</f>
        <v>6.4256138290550719</v>
      </c>
      <c r="J3" s="2">
        <f>('FL Characterization'!J$4-'FL Characterization'!J$2)*VLOOKUP($A3,'FL Ratio'!$A$2:$B$21,2,FALSE)</f>
        <v>5.8947834950917581</v>
      </c>
      <c r="K3" s="2">
        <f>('FL Characterization'!K$4-'FL Characterization'!K$2)*VLOOKUP($A3,'FL Ratio'!$A$2:$B$21,2,FALSE)</f>
        <v>6.6578153765391122</v>
      </c>
      <c r="L3" s="2">
        <f>('FL Characterization'!L$4-'FL Characterization'!L$2)*VLOOKUP($A3,'FL Ratio'!$A$2:$B$21,2,FALSE)</f>
        <v>6.8424540312975139</v>
      </c>
      <c r="M3" s="2">
        <f>('FL Characterization'!M$4-'FL Characterization'!M$2)*VLOOKUP($A3,'FL Ratio'!$A$2:$B$21,2,FALSE)</f>
        <v>6.3469402275635094</v>
      </c>
      <c r="N3" s="2">
        <f>('FL Characterization'!N$4-'FL Characterization'!N$2)*VLOOKUP($A3,'FL Ratio'!$A$2:$B$21,2,FALSE)</f>
        <v>5.9874198053386047</v>
      </c>
      <c r="O3" s="2">
        <f>('FL Characterization'!O$4-'FL Characterization'!O$2)*VLOOKUP($A3,'FL Ratio'!$A$2:$B$21,2,FALSE)</f>
        <v>5.512285680607329</v>
      </c>
      <c r="P3" s="2">
        <f>('FL Characterization'!P$4-'FL Characterization'!P$2)*VLOOKUP($A3,'FL Ratio'!$A$2:$B$21,2,FALSE)</f>
        <v>5.0774161113564045</v>
      </c>
      <c r="Q3" s="2">
        <f>('FL Characterization'!Q$4-'FL Characterization'!Q$2)*VLOOKUP($A3,'FL Ratio'!$A$2:$B$21,2,FALSE)</f>
        <v>4.5696095573893443</v>
      </c>
      <c r="R3" s="2">
        <f>('FL Characterization'!R$4-'FL Characterization'!R$2)*VLOOKUP($A3,'FL Ratio'!$A$2:$B$21,2,FALSE)</f>
        <v>4.522046664663705</v>
      </c>
      <c r="S3" s="2">
        <f>('FL Characterization'!S$4-'FL Characterization'!S$2)*VLOOKUP($A3,'FL Ratio'!$A$2:$B$21,2,FALSE)</f>
        <v>3.5828650842792689</v>
      </c>
      <c r="T3" s="2">
        <f>('FL Characterization'!T$4-'FL Characterization'!T$2)*VLOOKUP($A3,'FL Ratio'!$A$2:$B$21,2,FALSE)</f>
        <v>2.9643928530568804</v>
      </c>
      <c r="U3" s="2">
        <f>('FL Characterization'!U$4-'FL Characterization'!U$2)*VLOOKUP($A3,'FL Ratio'!$A$2:$B$21,2,FALSE)</f>
        <v>3.5176439264389772</v>
      </c>
      <c r="V3" s="2">
        <f>('FL Characterization'!V$4-'FL Characterization'!V$2)*VLOOKUP($A3,'FL Ratio'!$A$2:$B$21,2,FALSE)</f>
        <v>3.584133015749849</v>
      </c>
      <c r="W3" s="2">
        <f>('FL Characterization'!W$4-'FL Characterization'!W$2)*VLOOKUP($A3,'FL Ratio'!$A$2:$B$21,2,FALSE)</f>
        <v>4.0959443776544706</v>
      </c>
      <c r="X3" s="2">
        <f>('FL Characterization'!X$4-'FL Characterization'!X$2)*VLOOKUP($A3,'FL Ratio'!$A$2:$B$21,2,FALSE)</f>
        <v>1.9887968993405585</v>
      </c>
      <c r="Y3" s="2">
        <f>('FL Characterization'!Y$4-'FL Characterization'!Y$2)*VLOOKUP($A3,'FL Ratio'!$A$2:$B$21,2,FALSE)</f>
        <v>1.9094738695347975</v>
      </c>
    </row>
    <row r="4" spans="1:25" x14ac:dyDescent="0.3">
      <c r="A4">
        <v>3</v>
      </c>
      <c r="B4" s="2">
        <f>('FL Characterization'!B$4-'FL Characterization'!B$2)*VLOOKUP($A4,'FL Ratio'!$A$2:$B$21,2,FALSE)</f>
        <v>2.2332448093209263</v>
      </c>
      <c r="C4" s="2">
        <f>('FL Characterization'!C$4-'FL Characterization'!C$2)*VLOOKUP($A4,'FL Ratio'!$A$2:$B$21,2,FALSE)</f>
        <v>2.4585191214535076</v>
      </c>
      <c r="D4" s="2">
        <f>('FL Characterization'!D$4-'FL Characterization'!D$2)*VLOOKUP($A4,'FL Ratio'!$A$2:$B$21,2,FALSE)</f>
        <v>3.1999961679010114</v>
      </c>
      <c r="E4" s="2">
        <f>('FL Characterization'!E$4-'FL Characterization'!E$2)*VLOOKUP($A4,'FL Ratio'!$A$2:$B$21,2,FALSE)</f>
        <v>3.668666934648114</v>
      </c>
      <c r="F4" s="2">
        <f>('FL Characterization'!F$4-'FL Characterization'!F$2)*VLOOKUP($A4,'FL Ratio'!$A$2:$B$21,2,FALSE)</f>
        <v>4.3135183254901186</v>
      </c>
      <c r="G4" s="2">
        <f>('FL Characterization'!G$4-'FL Characterization'!G$2)*VLOOKUP($A4,'FL Ratio'!$A$2:$B$21,2,FALSE)</f>
        <v>5.0421923566005518</v>
      </c>
      <c r="H4" s="2">
        <f>('FL Characterization'!H$4-'FL Characterization'!H$2)*VLOOKUP($A4,'FL Ratio'!$A$2:$B$21,2,FALSE)</f>
        <v>4.4946624374149717</v>
      </c>
      <c r="I4" s="2">
        <f>('FL Characterization'!I$4-'FL Characterization'!I$2)*VLOOKUP($A4,'FL Ratio'!$A$2:$B$21,2,FALSE)</f>
        <v>6.4256138290550719</v>
      </c>
      <c r="J4" s="2">
        <f>('FL Characterization'!J$4-'FL Characterization'!J$2)*VLOOKUP($A4,'FL Ratio'!$A$2:$B$21,2,FALSE)</f>
        <v>5.8947834950917581</v>
      </c>
      <c r="K4" s="2">
        <f>('FL Characterization'!K$4-'FL Characterization'!K$2)*VLOOKUP($A4,'FL Ratio'!$A$2:$B$21,2,FALSE)</f>
        <v>6.6578153765391122</v>
      </c>
      <c r="L4" s="2">
        <f>('FL Characterization'!L$4-'FL Characterization'!L$2)*VLOOKUP($A4,'FL Ratio'!$A$2:$B$21,2,FALSE)</f>
        <v>6.8424540312975139</v>
      </c>
      <c r="M4" s="2">
        <f>('FL Characterization'!M$4-'FL Characterization'!M$2)*VLOOKUP($A4,'FL Ratio'!$A$2:$B$21,2,FALSE)</f>
        <v>6.3469402275635094</v>
      </c>
      <c r="N4" s="2">
        <f>('FL Characterization'!N$4-'FL Characterization'!N$2)*VLOOKUP($A4,'FL Ratio'!$A$2:$B$21,2,FALSE)</f>
        <v>5.9874198053386047</v>
      </c>
      <c r="O4" s="2">
        <f>('FL Characterization'!O$4-'FL Characterization'!O$2)*VLOOKUP($A4,'FL Ratio'!$A$2:$B$21,2,FALSE)</f>
        <v>5.512285680607329</v>
      </c>
      <c r="P4" s="2">
        <f>('FL Characterization'!P$4-'FL Characterization'!P$2)*VLOOKUP($A4,'FL Ratio'!$A$2:$B$21,2,FALSE)</f>
        <v>5.0774161113564045</v>
      </c>
      <c r="Q4" s="2">
        <f>('FL Characterization'!Q$4-'FL Characterization'!Q$2)*VLOOKUP($A4,'FL Ratio'!$A$2:$B$21,2,FALSE)</f>
        <v>4.5696095573893443</v>
      </c>
      <c r="R4" s="2">
        <f>('FL Characterization'!R$4-'FL Characterization'!R$2)*VLOOKUP($A4,'FL Ratio'!$A$2:$B$21,2,FALSE)</f>
        <v>4.522046664663705</v>
      </c>
      <c r="S4" s="2">
        <f>('FL Characterization'!S$4-'FL Characterization'!S$2)*VLOOKUP($A4,'FL Ratio'!$A$2:$B$21,2,FALSE)</f>
        <v>3.5828650842792689</v>
      </c>
      <c r="T4" s="2">
        <f>('FL Characterization'!T$4-'FL Characterization'!T$2)*VLOOKUP($A4,'FL Ratio'!$A$2:$B$21,2,FALSE)</f>
        <v>2.9643928530568804</v>
      </c>
      <c r="U4" s="2">
        <f>('FL Characterization'!U$4-'FL Characterization'!U$2)*VLOOKUP($A4,'FL Ratio'!$A$2:$B$21,2,FALSE)</f>
        <v>3.5176439264389772</v>
      </c>
      <c r="V4" s="2">
        <f>('FL Characterization'!V$4-'FL Characterization'!V$2)*VLOOKUP($A4,'FL Ratio'!$A$2:$B$21,2,FALSE)</f>
        <v>3.584133015749849</v>
      </c>
      <c r="W4" s="2">
        <f>('FL Characterization'!W$4-'FL Characterization'!W$2)*VLOOKUP($A4,'FL Ratio'!$A$2:$B$21,2,FALSE)</f>
        <v>4.0959443776544706</v>
      </c>
      <c r="X4" s="2">
        <f>('FL Characterization'!X$4-'FL Characterization'!X$2)*VLOOKUP($A4,'FL Ratio'!$A$2:$B$21,2,FALSE)</f>
        <v>1.9887968993405585</v>
      </c>
      <c r="Y4" s="2">
        <f>('FL Characterization'!Y$4-'FL Characterization'!Y$2)*VLOOKUP($A4,'FL Ratio'!$A$2:$B$21,2,FALSE)</f>
        <v>1.9094738695347975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6F068-EA6B-4E04-A0B4-69DFD4212DC7}">
  <dimension ref="A1:Y4"/>
  <sheetViews>
    <sheetView workbookViewId="0">
      <selection activeCell="Y4" sqref="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6.1913712211549781</v>
      </c>
      <c r="C2" s="2">
        <f>('FL Characterization'!C$2-'FL Characterization'!C$3)*VLOOKUP($A2,'FL Ratio'!$A$2:$B$21,2,FALSE)</f>
        <v>6.55226781290283</v>
      </c>
      <c r="D2" s="2">
        <f>('FL Characterization'!D$2-'FL Characterization'!D$3)*VLOOKUP($A2,'FL Ratio'!$A$2:$B$21,2,FALSE)</f>
        <v>6.9190401846362928</v>
      </c>
      <c r="E2" s="2">
        <f>('FL Characterization'!E$2-'FL Characterization'!E$3)*VLOOKUP($A2,'FL Ratio'!$A$2:$B$21,2,FALSE)</f>
        <v>7.2335490396556281</v>
      </c>
      <c r="F2" s="2">
        <f>('FL Characterization'!F$2-'FL Characterization'!F$3)*VLOOKUP($A2,'FL Ratio'!$A$2:$B$21,2,FALSE)</f>
        <v>7.3156553336651005</v>
      </c>
      <c r="G2" s="2">
        <f>('FL Characterization'!G$2-'FL Characterization'!G$3)*VLOOKUP($A2,'FL Ratio'!$A$2:$B$21,2,FALSE)</f>
        <v>7.6525849281032183</v>
      </c>
      <c r="H2" s="2">
        <f>('FL Characterization'!H$2-'FL Characterization'!H$3)*VLOOKUP($A2,'FL Ratio'!$A$2:$B$21,2,FALSE)</f>
        <v>7.6134646034621714</v>
      </c>
      <c r="I2" s="2">
        <f>('FL Characterization'!I$2-'FL Characterization'!I$3)*VLOOKUP($A2,'FL Ratio'!$A$2:$B$21,2,FALSE)</f>
        <v>7.1965007005884534</v>
      </c>
      <c r="J2" s="2">
        <f>('FL Characterization'!J$2-'FL Characterization'!J$3)*VLOOKUP($A2,'FL Ratio'!$A$2:$B$21,2,FALSE)</f>
        <v>6.5203221248757917</v>
      </c>
      <c r="K2" s="2">
        <f>('FL Characterization'!K$2-'FL Characterization'!K$3)*VLOOKUP($A2,'FL Ratio'!$A$2:$B$21,2,FALSE)</f>
        <v>9.574908200711814</v>
      </c>
      <c r="L2" s="2">
        <f>('FL Characterization'!L$2-'FL Characterization'!L$3)*VLOOKUP($A2,'FL Ratio'!$A$2:$B$21,2,FALSE)</f>
        <v>9.3502833168934334</v>
      </c>
      <c r="M2" s="2">
        <f>('FL Characterization'!M$2-'FL Characterization'!M$3)*VLOOKUP($A2,'FL Ratio'!$A$2:$B$21,2,FALSE)</f>
        <v>8.6099350387063254</v>
      </c>
      <c r="N2" s="2">
        <f>('FL Characterization'!N$2-'FL Characterization'!N$3)*VLOOKUP($A2,'FL Ratio'!$A$2:$B$21,2,FALSE)</f>
        <v>8.4007263460607184</v>
      </c>
      <c r="O2" s="2">
        <f>('FL Characterization'!O$2-'FL Characterization'!O$3)*VLOOKUP($A2,'FL Ratio'!$A$2:$B$21,2,FALSE)</f>
        <v>8.4352542847656444</v>
      </c>
      <c r="P2" s="2">
        <f>('FL Characterization'!P$2-'FL Characterization'!P$3)*VLOOKUP($A2,'FL Ratio'!$A$2:$B$21,2,FALSE)</f>
        <v>8.0356239328494823</v>
      </c>
      <c r="Q2" s="2">
        <f>('FL Characterization'!Q$2-'FL Characterization'!Q$3)*VLOOKUP($A2,'FL Ratio'!$A$2:$B$21,2,FALSE)</f>
        <v>7.3658468648053557</v>
      </c>
      <c r="R2" s="2">
        <f>('FL Characterization'!R$2-'FL Characterization'!R$3)*VLOOKUP($A2,'FL Ratio'!$A$2:$B$21,2,FALSE)</f>
        <v>6.6199011330530055</v>
      </c>
      <c r="S2" s="2">
        <f>('FL Characterization'!S$2-'FL Characterization'!S$3)*VLOOKUP($A2,'FL Ratio'!$A$2:$B$21,2,FALSE)</f>
        <v>6.3824268461608238</v>
      </c>
      <c r="T2" s="2">
        <f>('FL Characterization'!T$2-'FL Characterization'!T$3)*VLOOKUP($A2,'FL Ratio'!$A$2:$B$21,2,FALSE)</f>
        <v>4.011967111596948</v>
      </c>
      <c r="U2" s="2">
        <f>('FL Characterization'!U$2-'FL Characterization'!U$3)*VLOOKUP($A2,'FL Ratio'!$A$2:$B$21,2,FALSE)</f>
        <v>4.290432695178227</v>
      </c>
      <c r="V2" s="2">
        <f>('FL Characterization'!V$2-'FL Characterization'!V$3)*VLOOKUP($A2,'FL Ratio'!$A$2:$B$21,2,FALSE)</f>
        <v>4.6908207134609547</v>
      </c>
      <c r="W2" s="2">
        <f>('FL Characterization'!W$2-'FL Characterization'!W$3)*VLOOKUP($A2,'FL Ratio'!$A$2:$B$21,2,FALSE)</f>
        <v>4.8027543221868632</v>
      </c>
      <c r="X2" s="2">
        <f>('FL Characterization'!X$2-'FL Characterization'!X$3)*VLOOKUP($A2,'FL Ratio'!$A$2:$B$21,2,FALSE)</f>
        <v>5.0089478119451147</v>
      </c>
      <c r="Y2" s="2">
        <f>('FL Characterization'!Y$2-'FL Characterization'!Y$3)*VLOOKUP($A2,'FL Ratio'!$A$2:$B$21,2,FALSE)</f>
        <v>5.5289543406717749</v>
      </c>
    </row>
    <row r="3" spans="1:25" x14ac:dyDescent="0.3">
      <c r="A3">
        <v>2</v>
      </c>
      <c r="B3" s="2">
        <f>('FL Characterization'!B$2-'FL Characterization'!B$3)*VLOOKUP($A3,'FL Ratio'!$A$2:$B$21,2,FALSE)</f>
        <v>6.1913712211549781</v>
      </c>
      <c r="C3" s="2">
        <f>('FL Characterization'!C$2-'FL Characterization'!C$3)*VLOOKUP($A3,'FL Ratio'!$A$2:$B$21,2,FALSE)</f>
        <v>6.55226781290283</v>
      </c>
      <c r="D3" s="2">
        <f>('FL Characterization'!D$2-'FL Characterization'!D$3)*VLOOKUP($A3,'FL Ratio'!$A$2:$B$21,2,FALSE)</f>
        <v>6.9190401846362928</v>
      </c>
      <c r="E3" s="2">
        <f>('FL Characterization'!E$2-'FL Characterization'!E$3)*VLOOKUP($A3,'FL Ratio'!$A$2:$B$21,2,FALSE)</f>
        <v>7.2335490396556281</v>
      </c>
      <c r="F3" s="2">
        <f>('FL Characterization'!F$2-'FL Characterization'!F$3)*VLOOKUP($A3,'FL Ratio'!$A$2:$B$21,2,FALSE)</f>
        <v>7.3156553336651005</v>
      </c>
      <c r="G3" s="2">
        <f>('FL Characterization'!G$2-'FL Characterization'!G$3)*VLOOKUP($A3,'FL Ratio'!$A$2:$B$21,2,FALSE)</f>
        <v>7.6525849281032183</v>
      </c>
      <c r="H3" s="2">
        <f>('FL Characterization'!H$2-'FL Characterization'!H$3)*VLOOKUP($A3,'FL Ratio'!$A$2:$B$21,2,FALSE)</f>
        <v>7.6134646034621714</v>
      </c>
      <c r="I3" s="2">
        <f>('FL Characterization'!I$2-'FL Characterization'!I$3)*VLOOKUP($A3,'FL Ratio'!$A$2:$B$21,2,FALSE)</f>
        <v>7.1965007005884534</v>
      </c>
      <c r="J3" s="2">
        <f>('FL Characterization'!J$2-'FL Characterization'!J$3)*VLOOKUP($A3,'FL Ratio'!$A$2:$B$21,2,FALSE)</f>
        <v>6.5203221248757917</v>
      </c>
      <c r="K3" s="2">
        <f>('FL Characterization'!K$2-'FL Characterization'!K$3)*VLOOKUP($A3,'FL Ratio'!$A$2:$B$21,2,FALSE)</f>
        <v>9.574908200711814</v>
      </c>
      <c r="L3" s="2">
        <f>('FL Characterization'!L$2-'FL Characterization'!L$3)*VLOOKUP($A3,'FL Ratio'!$A$2:$B$21,2,FALSE)</f>
        <v>9.3502833168934334</v>
      </c>
      <c r="M3" s="2">
        <f>('FL Characterization'!M$2-'FL Characterization'!M$3)*VLOOKUP($A3,'FL Ratio'!$A$2:$B$21,2,FALSE)</f>
        <v>8.6099350387063254</v>
      </c>
      <c r="N3" s="2">
        <f>('FL Characterization'!N$2-'FL Characterization'!N$3)*VLOOKUP($A3,'FL Ratio'!$A$2:$B$21,2,FALSE)</f>
        <v>8.4007263460607184</v>
      </c>
      <c r="O3" s="2">
        <f>('FL Characterization'!O$2-'FL Characterization'!O$3)*VLOOKUP($A3,'FL Ratio'!$A$2:$B$21,2,FALSE)</f>
        <v>8.4352542847656444</v>
      </c>
      <c r="P3" s="2">
        <f>('FL Characterization'!P$2-'FL Characterization'!P$3)*VLOOKUP($A3,'FL Ratio'!$A$2:$B$21,2,FALSE)</f>
        <v>8.0356239328494823</v>
      </c>
      <c r="Q3" s="2">
        <f>('FL Characterization'!Q$2-'FL Characterization'!Q$3)*VLOOKUP($A3,'FL Ratio'!$A$2:$B$21,2,FALSE)</f>
        <v>7.3658468648053557</v>
      </c>
      <c r="R3" s="2">
        <f>('FL Characterization'!R$2-'FL Characterization'!R$3)*VLOOKUP($A3,'FL Ratio'!$A$2:$B$21,2,FALSE)</f>
        <v>6.6199011330530055</v>
      </c>
      <c r="S3" s="2">
        <f>('FL Characterization'!S$2-'FL Characterization'!S$3)*VLOOKUP($A3,'FL Ratio'!$A$2:$B$21,2,FALSE)</f>
        <v>6.3824268461608238</v>
      </c>
      <c r="T3" s="2">
        <f>('FL Characterization'!T$2-'FL Characterization'!T$3)*VLOOKUP($A3,'FL Ratio'!$A$2:$B$21,2,FALSE)</f>
        <v>4.011967111596948</v>
      </c>
      <c r="U3" s="2">
        <f>('FL Characterization'!U$2-'FL Characterization'!U$3)*VLOOKUP($A3,'FL Ratio'!$A$2:$B$21,2,FALSE)</f>
        <v>4.290432695178227</v>
      </c>
      <c r="V3" s="2">
        <f>('FL Characterization'!V$2-'FL Characterization'!V$3)*VLOOKUP($A3,'FL Ratio'!$A$2:$B$21,2,FALSE)</f>
        <v>4.6908207134609547</v>
      </c>
      <c r="W3" s="2">
        <f>('FL Characterization'!W$2-'FL Characterization'!W$3)*VLOOKUP($A3,'FL Ratio'!$A$2:$B$21,2,FALSE)</f>
        <v>4.8027543221868632</v>
      </c>
      <c r="X3" s="2">
        <f>('FL Characterization'!X$2-'FL Characterization'!X$3)*VLOOKUP($A3,'FL Ratio'!$A$2:$B$21,2,FALSE)</f>
        <v>5.0089478119451147</v>
      </c>
      <c r="Y3" s="2">
        <f>('FL Characterization'!Y$2-'FL Characterization'!Y$3)*VLOOKUP($A3,'FL Ratio'!$A$2:$B$21,2,FALSE)</f>
        <v>5.5289543406717749</v>
      </c>
    </row>
    <row r="4" spans="1:25" x14ac:dyDescent="0.3">
      <c r="A4">
        <v>3</v>
      </c>
      <c r="B4" s="2">
        <f>('FL Characterization'!B$2-'FL Characterization'!B$3)*VLOOKUP($A4,'FL Ratio'!$A$2:$B$21,2,FALSE)</f>
        <v>6.1913712211549781</v>
      </c>
      <c r="C4" s="2">
        <f>('FL Characterization'!C$2-'FL Characterization'!C$3)*VLOOKUP($A4,'FL Ratio'!$A$2:$B$21,2,FALSE)</f>
        <v>6.55226781290283</v>
      </c>
      <c r="D4" s="2">
        <f>('FL Characterization'!D$2-'FL Characterization'!D$3)*VLOOKUP($A4,'FL Ratio'!$A$2:$B$21,2,FALSE)</f>
        <v>6.9190401846362928</v>
      </c>
      <c r="E4" s="2">
        <f>('FL Characterization'!E$2-'FL Characterization'!E$3)*VLOOKUP($A4,'FL Ratio'!$A$2:$B$21,2,FALSE)</f>
        <v>7.2335490396556281</v>
      </c>
      <c r="F4" s="2">
        <f>('FL Characterization'!F$2-'FL Characterization'!F$3)*VLOOKUP($A4,'FL Ratio'!$A$2:$B$21,2,FALSE)</f>
        <v>7.3156553336651005</v>
      </c>
      <c r="G4" s="2">
        <f>('FL Characterization'!G$2-'FL Characterization'!G$3)*VLOOKUP($A4,'FL Ratio'!$A$2:$B$21,2,FALSE)</f>
        <v>7.6525849281032183</v>
      </c>
      <c r="H4" s="2">
        <f>('FL Characterization'!H$2-'FL Characterization'!H$3)*VLOOKUP($A4,'FL Ratio'!$A$2:$B$21,2,FALSE)</f>
        <v>7.6134646034621714</v>
      </c>
      <c r="I4" s="2">
        <f>('FL Characterization'!I$2-'FL Characterization'!I$3)*VLOOKUP($A4,'FL Ratio'!$A$2:$B$21,2,FALSE)</f>
        <v>7.1965007005884534</v>
      </c>
      <c r="J4" s="2">
        <f>('FL Characterization'!J$2-'FL Characterization'!J$3)*VLOOKUP($A4,'FL Ratio'!$A$2:$B$21,2,FALSE)</f>
        <v>6.5203221248757917</v>
      </c>
      <c r="K4" s="2">
        <f>('FL Characterization'!K$2-'FL Characterization'!K$3)*VLOOKUP($A4,'FL Ratio'!$A$2:$B$21,2,FALSE)</f>
        <v>9.574908200711814</v>
      </c>
      <c r="L4" s="2">
        <f>('FL Characterization'!L$2-'FL Characterization'!L$3)*VLOOKUP($A4,'FL Ratio'!$A$2:$B$21,2,FALSE)</f>
        <v>9.3502833168934334</v>
      </c>
      <c r="M4" s="2">
        <f>('FL Characterization'!M$2-'FL Characterization'!M$3)*VLOOKUP($A4,'FL Ratio'!$A$2:$B$21,2,FALSE)</f>
        <v>8.6099350387063254</v>
      </c>
      <c r="N4" s="2">
        <f>('FL Characterization'!N$2-'FL Characterization'!N$3)*VLOOKUP($A4,'FL Ratio'!$A$2:$B$21,2,FALSE)</f>
        <v>8.4007263460607184</v>
      </c>
      <c r="O4" s="2">
        <f>('FL Characterization'!O$2-'FL Characterization'!O$3)*VLOOKUP($A4,'FL Ratio'!$A$2:$B$21,2,FALSE)</f>
        <v>8.4352542847656444</v>
      </c>
      <c r="P4" s="2">
        <f>('FL Characterization'!P$2-'FL Characterization'!P$3)*VLOOKUP($A4,'FL Ratio'!$A$2:$B$21,2,FALSE)</f>
        <v>8.0356239328494823</v>
      </c>
      <c r="Q4" s="2">
        <f>('FL Characterization'!Q$2-'FL Characterization'!Q$3)*VLOOKUP($A4,'FL Ratio'!$A$2:$B$21,2,FALSE)</f>
        <v>7.3658468648053557</v>
      </c>
      <c r="R4" s="2">
        <f>('FL Characterization'!R$2-'FL Characterization'!R$3)*VLOOKUP($A4,'FL Ratio'!$A$2:$B$21,2,FALSE)</f>
        <v>6.6199011330530055</v>
      </c>
      <c r="S4" s="2">
        <f>('FL Characterization'!S$2-'FL Characterization'!S$3)*VLOOKUP($A4,'FL Ratio'!$A$2:$B$21,2,FALSE)</f>
        <v>6.3824268461608238</v>
      </c>
      <c r="T4" s="2">
        <f>('FL Characterization'!T$2-'FL Characterization'!T$3)*VLOOKUP($A4,'FL Ratio'!$A$2:$B$21,2,FALSE)</f>
        <v>4.011967111596948</v>
      </c>
      <c r="U4" s="2">
        <f>('FL Characterization'!U$2-'FL Characterization'!U$3)*VLOOKUP($A4,'FL Ratio'!$A$2:$B$21,2,FALSE)</f>
        <v>4.290432695178227</v>
      </c>
      <c r="V4" s="2">
        <f>('FL Characterization'!V$2-'FL Characterization'!V$3)*VLOOKUP($A4,'FL Ratio'!$A$2:$B$21,2,FALSE)</f>
        <v>4.6908207134609547</v>
      </c>
      <c r="W4" s="2">
        <f>('FL Characterization'!W$2-'FL Characterization'!W$3)*VLOOKUP($A4,'FL Ratio'!$A$2:$B$21,2,FALSE)</f>
        <v>4.8027543221868632</v>
      </c>
      <c r="X4" s="2">
        <f>('FL Characterization'!X$2-'FL Characterization'!X$3)*VLOOKUP($A4,'FL Ratio'!$A$2:$B$21,2,FALSE)</f>
        <v>5.0089478119451147</v>
      </c>
      <c r="Y4" s="2">
        <f>('FL Characterization'!Y$2-'FL Characterization'!Y$3)*VLOOKUP($A4,'FL Ratio'!$A$2:$B$21,2,FALSE)</f>
        <v>5.5289543406717749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49E0F-6E82-40ED-BD4B-A154F29D17F6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8.1051786431152131</v>
      </c>
      <c r="C5" s="9">
        <f>VLOOKUP($A5,'RES installed'!$A$2:$C$7,3,FALSE)*'[1]Profiles, RES, Summer'!C$5</f>
        <v>7.4126856684062625</v>
      </c>
      <c r="D5" s="9">
        <f>VLOOKUP($A5,'RES installed'!$A$2:$C$7,3,FALSE)*'[1]Profiles, RES, Summer'!D$5</f>
        <v>6.4853472501003608</v>
      </c>
      <c r="E5" s="9">
        <f>VLOOKUP($A5,'RES installed'!$A$2:$C$7,3,FALSE)*'[1]Profiles, RES, Summer'!E$5</f>
        <v>6.461260537936572</v>
      </c>
      <c r="F5" s="9">
        <f>VLOOKUP($A5,'RES installed'!$A$2:$C$7,3,FALSE)*'[1]Profiles, RES, Summer'!F$5</f>
        <v>6.1180248896025695</v>
      </c>
      <c r="G5" s="9">
        <f>VLOOKUP($A5,'RES installed'!$A$2:$C$7,3,FALSE)*'[1]Profiles, RES, Summer'!G$5</f>
        <v>5.6362906463267768</v>
      </c>
      <c r="H5" s="9">
        <f>VLOOKUP($A5,'RES installed'!$A$2:$C$7,3,FALSE)*'[1]Profiles, RES, Summer'!H$5</f>
        <v>4.9558410276997193</v>
      </c>
      <c r="I5" s="9">
        <f>VLOOKUP($A5,'RES installed'!$A$2:$C$7,3,FALSE)*'[1]Profiles, RES, Summer'!I$5</f>
        <v>3.8960256924929744</v>
      </c>
      <c r="J5" s="9">
        <f>VLOOKUP($A5,'RES installed'!$A$2:$C$7,3,FALSE)*'[1]Profiles, RES, Summer'!J$5</f>
        <v>3.2396627860297067</v>
      </c>
      <c r="K5" s="9">
        <f>VLOOKUP($A5,'RES installed'!$A$2:$C$7,3,FALSE)*'[1]Profiles, RES, Summer'!K$5</f>
        <v>3.0289040545965475</v>
      </c>
      <c r="L5" s="9">
        <f>VLOOKUP($A5,'RES installed'!$A$2:$C$7,3,FALSE)*'[1]Profiles, RES, Summer'!L$5</f>
        <v>2.7880369329586512</v>
      </c>
      <c r="M5" s="9">
        <f>VLOOKUP($A5,'RES installed'!$A$2:$C$7,3,FALSE)*'[1]Profiles, RES, Summer'!M$5</f>
        <v>3.1372942593336011</v>
      </c>
      <c r="N5" s="9">
        <f>VLOOKUP($A5,'RES installed'!$A$2:$C$7,3,FALSE)*'[1]Profiles, RES, Summer'!N$5</f>
        <v>3.9441991168205535</v>
      </c>
      <c r="O5" s="9">
        <f>VLOOKUP($A5,'RES installed'!$A$2:$C$7,3,FALSE)*'[1]Profiles, RES, Summer'!O$5</f>
        <v>4.8956242472902449</v>
      </c>
      <c r="P5" s="9">
        <f>VLOOKUP($A5,'RES installed'!$A$2:$C$7,3,FALSE)*'[1]Profiles, RES, Summer'!P$5</f>
        <v>6.5335206744279404</v>
      </c>
      <c r="Q5" s="9">
        <f>VLOOKUP($A5,'RES installed'!$A$2:$C$7,3,FALSE)*'[1]Profiles, RES, Summer'!Q$5</f>
        <v>8.3400240867121642</v>
      </c>
      <c r="R5" s="9">
        <f>VLOOKUP($A5,'RES installed'!$A$2:$C$7,3,FALSE)*'[1]Profiles, RES, Summer'!R$5</f>
        <v>9.8574869530309108</v>
      </c>
      <c r="S5" s="9">
        <f>VLOOKUP($A5,'RES installed'!$A$2:$C$7,3,FALSE)*'[1]Profiles, RES, Summer'!S$5</f>
        <v>10.519871537535126</v>
      </c>
      <c r="T5" s="9">
        <f>VLOOKUP($A5,'RES installed'!$A$2:$C$7,3,FALSE)*'[1]Profiles, RES, Summer'!T$5</f>
        <v>11.320754716981133</v>
      </c>
      <c r="U5" s="9">
        <f>VLOOKUP($A5,'RES installed'!$A$2:$C$7,3,FALSE)*'[1]Profiles, RES, Summer'!U$5</f>
        <v>12.609393817743877</v>
      </c>
      <c r="V5" s="9">
        <f>VLOOKUP($A5,'RES installed'!$A$2:$C$7,3,FALSE)*'[1]Profiles, RES, Summer'!V$5</f>
        <v>13.904054596547573</v>
      </c>
      <c r="W5" s="9">
        <f>VLOOKUP($A5,'RES installed'!$A$2:$C$7,3,FALSE)*'[1]Profiles, RES, Summer'!W$5</f>
        <v>14.482135688478524</v>
      </c>
      <c r="X5" s="9">
        <f>VLOOKUP($A5,'RES installed'!$A$2:$C$7,3,FALSE)*'[1]Profiles, RES, Summer'!X$5</f>
        <v>14.548374146928943</v>
      </c>
      <c r="Y5" s="9">
        <f>VLOOKUP($A5,'RES installed'!$A$2:$C$7,3,FALSE)*'[1]Profiles, RES, Summer'!Y$5</f>
        <v>14.030509835407466</v>
      </c>
    </row>
    <row r="6" spans="1:25" x14ac:dyDescent="0.3">
      <c r="A6" s="8">
        <v>5</v>
      </c>
      <c r="B6" s="9">
        <f>VLOOKUP($A6,'RES installed'!$A$2:$C$7,3,FALSE)*'[1]Profiles, RES, Summer'!B$5</f>
        <v>5.403452428743476</v>
      </c>
      <c r="C6" s="9">
        <f>VLOOKUP($A6,'RES installed'!$A$2:$C$7,3,FALSE)*'[1]Profiles, RES, Summer'!C$5</f>
        <v>4.941790445604175</v>
      </c>
      <c r="D6" s="9">
        <f>VLOOKUP($A6,'RES installed'!$A$2:$C$7,3,FALSE)*'[1]Profiles, RES, Summer'!D$5</f>
        <v>4.3235648334002406</v>
      </c>
      <c r="E6" s="9">
        <f>VLOOKUP($A6,'RES installed'!$A$2:$C$7,3,FALSE)*'[1]Profiles, RES, Summer'!E$5</f>
        <v>4.3075070252910477</v>
      </c>
      <c r="F6" s="9">
        <f>VLOOKUP($A6,'RES installed'!$A$2:$C$7,3,FALSE)*'[1]Profiles, RES, Summer'!F$5</f>
        <v>4.0786832597350466</v>
      </c>
      <c r="G6" s="9">
        <f>VLOOKUP($A6,'RES installed'!$A$2:$C$7,3,FALSE)*'[1]Profiles, RES, Summer'!G$5</f>
        <v>3.7575270975511845</v>
      </c>
      <c r="H6" s="9">
        <f>VLOOKUP($A6,'RES installed'!$A$2:$C$7,3,FALSE)*'[1]Profiles, RES, Summer'!H$5</f>
        <v>3.3038940184664796</v>
      </c>
      <c r="I6" s="9">
        <f>VLOOKUP($A6,'RES installed'!$A$2:$C$7,3,FALSE)*'[1]Profiles, RES, Summer'!I$5</f>
        <v>2.5973504616619829</v>
      </c>
      <c r="J6" s="9">
        <f>VLOOKUP($A6,'RES installed'!$A$2:$C$7,3,FALSE)*'[1]Profiles, RES, Summer'!J$5</f>
        <v>2.1597751906864713</v>
      </c>
      <c r="K6" s="9">
        <f>VLOOKUP($A6,'RES installed'!$A$2:$C$7,3,FALSE)*'[1]Profiles, RES, Summer'!K$5</f>
        <v>2.019269369731032</v>
      </c>
      <c r="L6" s="9">
        <f>VLOOKUP($A6,'RES installed'!$A$2:$C$7,3,FALSE)*'[1]Profiles, RES, Summer'!L$5</f>
        <v>1.8586912886391007</v>
      </c>
      <c r="M6" s="9">
        <f>VLOOKUP($A6,'RES installed'!$A$2:$C$7,3,FALSE)*'[1]Profiles, RES, Summer'!M$5</f>
        <v>2.0915295062224009</v>
      </c>
      <c r="N6" s="9">
        <f>VLOOKUP($A6,'RES installed'!$A$2:$C$7,3,FALSE)*'[1]Profiles, RES, Summer'!N$5</f>
        <v>2.6294660778803691</v>
      </c>
      <c r="O6" s="9">
        <f>VLOOKUP($A6,'RES installed'!$A$2:$C$7,3,FALSE)*'[1]Profiles, RES, Summer'!O$5</f>
        <v>3.2637494981934969</v>
      </c>
      <c r="P6" s="9">
        <f>VLOOKUP($A6,'RES installed'!$A$2:$C$7,3,FALSE)*'[1]Profiles, RES, Summer'!P$5</f>
        <v>4.3556804496186272</v>
      </c>
      <c r="Q6" s="9">
        <f>VLOOKUP($A6,'RES installed'!$A$2:$C$7,3,FALSE)*'[1]Profiles, RES, Summer'!Q$5</f>
        <v>5.5600160578081095</v>
      </c>
      <c r="R6" s="9">
        <f>VLOOKUP($A6,'RES installed'!$A$2:$C$7,3,FALSE)*'[1]Profiles, RES, Summer'!R$5</f>
        <v>6.5716579686872745</v>
      </c>
      <c r="S6" s="9">
        <f>VLOOKUP($A6,'RES installed'!$A$2:$C$7,3,FALSE)*'[1]Profiles, RES, Summer'!S$5</f>
        <v>7.0132476916900846</v>
      </c>
      <c r="T6" s="9">
        <f>VLOOKUP($A6,'RES installed'!$A$2:$C$7,3,FALSE)*'[1]Profiles, RES, Summer'!T$5</f>
        <v>7.5471698113207548</v>
      </c>
      <c r="U6" s="9">
        <f>VLOOKUP($A6,'RES installed'!$A$2:$C$7,3,FALSE)*'[1]Profiles, RES, Summer'!U$5</f>
        <v>8.4062625451625852</v>
      </c>
      <c r="V6" s="9">
        <f>VLOOKUP($A6,'RES installed'!$A$2:$C$7,3,FALSE)*'[1]Profiles, RES, Summer'!V$5</f>
        <v>9.2693697310317145</v>
      </c>
      <c r="W6" s="9">
        <f>VLOOKUP($A6,'RES installed'!$A$2:$C$7,3,FALSE)*'[1]Profiles, RES, Summer'!W$5</f>
        <v>9.654757125652349</v>
      </c>
      <c r="X6" s="9">
        <f>VLOOKUP($A6,'RES installed'!$A$2:$C$7,3,FALSE)*'[1]Profiles, RES, Summer'!X$5</f>
        <v>9.6989160979526297</v>
      </c>
      <c r="Y6" s="9">
        <f>VLOOKUP($A6,'RES installed'!$A$2:$C$7,3,FALSE)*'[1]Profiles, RES, Summer'!Y$5</f>
        <v>9.3536732236049787</v>
      </c>
    </row>
    <row r="7" spans="1:25" x14ac:dyDescent="0.3">
      <c r="A7" s="8">
        <v>6</v>
      </c>
      <c r="B7" s="9">
        <f>VLOOKUP($A7,'RES installed'!$A$2:$C$7,3,FALSE)*'[1]Profiles, RES, Summer'!B$5</f>
        <v>8.1051786431152131</v>
      </c>
      <c r="C7" s="9">
        <f>VLOOKUP($A7,'RES installed'!$A$2:$C$7,3,FALSE)*'[1]Profiles, RES, Summer'!C$5</f>
        <v>7.4126856684062625</v>
      </c>
      <c r="D7" s="9">
        <f>VLOOKUP($A7,'RES installed'!$A$2:$C$7,3,FALSE)*'[1]Profiles, RES, Summer'!D$5</f>
        <v>6.4853472501003608</v>
      </c>
      <c r="E7" s="9">
        <f>VLOOKUP($A7,'RES installed'!$A$2:$C$7,3,FALSE)*'[1]Profiles, RES, Summer'!E$5</f>
        <v>6.461260537936572</v>
      </c>
      <c r="F7" s="9">
        <f>VLOOKUP($A7,'RES installed'!$A$2:$C$7,3,FALSE)*'[1]Profiles, RES, Summer'!F$5</f>
        <v>6.1180248896025695</v>
      </c>
      <c r="G7" s="9">
        <f>VLOOKUP($A7,'RES installed'!$A$2:$C$7,3,FALSE)*'[1]Profiles, RES, Summer'!G$5</f>
        <v>5.6362906463267768</v>
      </c>
      <c r="H7" s="9">
        <f>VLOOKUP($A7,'RES installed'!$A$2:$C$7,3,FALSE)*'[1]Profiles, RES, Summer'!H$5</f>
        <v>4.9558410276997193</v>
      </c>
      <c r="I7" s="9">
        <f>VLOOKUP($A7,'RES installed'!$A$2:$C$7,3,FALSE)*'[1]Profiles, RES, Summer'!I$5</f>
        <v>3.8960256924929744</v>
      </c>
      <c r="J7" s="9">
        <f>VLOOKUP($A7,'RES installed'!$A$2:$C$7,3,FALSE)*'[1]Profiles, RES, Summer'!J$5</f>
        <v>3.2396627860297067</v>
      </c>
      <c r="K7" s="9">
        <f>VLOOKUP($A7,'RES installed'!$A$2:$C$7,3,FALSE)*'[1]Profiles, RES, Summer'!K$5</f>
        <v>3.0289040545965475</v>
      </c>
      <c r="L7" s="9">
        <f>VLOOKUP($A7,'RES installed'!$A$2:$C$7,3,FALSE)*'[1]Profiles, RES, Summer'!L$5</f>
        <v>2.7880369329586512</v>
      </c>
      <c r="M7" s="9">
        <f>VLOOKUP($A7,'RES installed'!$A$2:$C$7,3,FALSE)*'[1]Profiles, RES, Summer'!M$5</f>
        <v>3.1372942593336011</v>
      </c>
      <c r="N7" s="9">
        <f>VLOOKUP($A7,'RES installed'!$A$2:$C$7,3,FALSE)*'[1]Profiles, RES, Summer'!N$5</f>
        <v>3.9441991168205535</v>
      </c>
      <c r="O7" s="9">
        <f>VLOOKUP($A7,'RES installed'!$A$2:$C$7,3,FALSE)*'[1]Profiles, RES, Summer'!O$5</f>
        <v>4.8956242472902449</v>
      </c>
      <c r="P7" s="9">
        <f>VLOOKUP($A7,'RES installed'!$A$2:$C$7,3,FALSE)*'[1]Profiles, RES, Summer'!P$5</f>
        <v>6.5335206744279404</v>
      </c>
      <c r="Q7" s="9">
        <f>VLOOKUP($A7,'RES installed'!$A$2:$C$7,3,FALSE)*'[1]Profiles, RES, Summer'!Q$5</f>
        <v>8.3400240867121642</v>
      </c>
      <c r="R7" s="9">
        <f>VLOOKUP($A7,'RES installed'!$A$2:$C$7,3,FALSE)*'[1]Profiles, RES, Summer'!R$5</f>
        <v>9.8574869530309108</v>
      </c>
      <c r="S7" s="9">
        <f>VLOOKUP($A7,'RES installed'!$A$2:$C$7,3,FALSE)*'[1]Profiles, RES, Summer'!S$5</f>
        <v>10.519871537535126</v>
      </c>
      <c r="T7" s="9">
        <f>VLOOKUP($A7,'RES installed'!$A$2:$C$7,3,FALSE)*'[1]Profiles, RES, Summer'!T$5</f>
        <v>11.320754716981133</v>
      </c>
      <c r="U7" s="9">
        <f>VLOOKUP($A7,'RES installed'!$A$2:$C$7,3,FALSE)*'[1]Profiles, RES, Summer'!U$5</f>
        <v>12.609393817743877</v>
      </c>
      <c r="V7" s="9">
        <f>VLOOKUP($A7,'RES installed'!$A$2:$C$7,3,FALSE)*'[1]Profiles, RES, Summer'!V$5</f>
        <v>13.904054596547573</v>
      </c>
      <c r="W7" s="9">
        <f>VLOOKUP($A7,'RES installed'!$A$2:$C$7,3,FALSE)*'[1]Profiles, RES, Summer'!W$5</f>
        <v>14.482135688478524</v>
      </c>
      <c r="X7" s="9">
        <f>VLOOKUP($A7,'RES installed'!$A$2:$C$7,3,FALSE)*'[1]Profiles, RES, Summer'!X$5</f>
        <v>14.548374146928943</v>
      </c>
      <c r="Y7" s="9">
        <f>VLOOKUP($A7,'RES installed'!$A$2:$C$7,3,FALSE)*'[1]Profiles, RES, Summer'!Y$5</f>
        <v>14.030509835407466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6.8233510235026537E-2</v>
      </c>
      <c r="H8" s="6">
        <f>VLOOKUP($A8,'RES installed'!$A$2:$C$7,3,FALSE)*'[1]Profiles, RES, Summer'!H$2</f>
        <v>2.0015163002274452</v>
      </c>
      <c r="I8" s="6">
        <f>VLOOKUP($A8,'RES installed'!$A$2:$C$7,3,FALSE)*'[1]Profiles, RES, Summer'!I$2</f>
        <v>8.3244882486732372</v>
      </c>
      <c r="J8" s="6">
        <f>VLOOKUP($A8,'RES installed'!$A$2:$C$7,3,FALSE)*'[1]Profiles, RES, Summer'!J$2</f>
        <v>17.240333586050038</v>
      </c>
      <c r="K8" s="6">
        <f>VLOOKUP($A8,'RES installed'!$A$2:$C$7,3,FALSE)*'[1]Profiles, RES, Summer'!K$2</f>
        <v>22.687642153146324</v>
      </c>
      <c r="L8" s="6">
        <f>VLOOKUP($A8,'RES installed'!$A$2:$C$7,3,FALSE)*'[1]Profiles, RES, Summer'!L$2</f>
        <v>26.065200909780135</v>
      </c>
      <c r="M8" s="6">
        <f>VLOOKUP($A8,'RES installed'!$A$2:$C$7,3,FALSE)*'[1]Profiles, RES, Summer'!M$2</f>
        <v>27.589082638362395</v>
      </c>
      <c r="N8" s="6">
        <f>VLOOKUP($A8,'RES installed'!$A$2:$C$7,3,FALSE)*'[1]Profiles, RES, Summer'!N$2</f>
        <v>28.203184230477635</v>
      </c>
      <c r="O8" s="6">
        <f>VLOOKUP($A8,'RES installed'!$A$2:$C$7,3,FALSE)*'[1]Profiles, RES, Summer'!O$2</f>
        <v>28.214556482183475</v>
      </c>
      <c r="P8" s="6">
        <f>VLOOKUP($A8,'RES installed'!$A$2:$C$7,3,FALSE)*'[1]Profiles, RES, Summer'!P$2</f>
        <v>27.247915087187263</v>
      </c>
      <c r="Q8" s="6">
        <f>VLOOKUP($A8,'RES installed'!$A$2:$C$7,3,FALSE)*'[1]Profiles, RES, Summer'!Q$2</f>
        <v>24.234268385140258</v>
      </c>
      <c r="R8" s="6">
        <f>VLOOKUP($A8,'RES installed'!$A$2:$C$7,3,FALSE)*'[1]Profiles, RES, Summer'!R$2</f>
        <v>19.423805913570888</v>
      </c>
      <c r="S8" s="6">
        <f>VLOOKUP($A8,'RES installed'!$A$2:$C$7,3,FALSE)*'[1]Profiles, RES, Summer'!S$2</f>
        <v>12.566338134950721</v>
      </c>
      <c r="T8" s="6">
        <f>VLOOKUP($A8,'RES installed'!$A$2:$C$7,3,FALSE)*'[1]Profiles, RES, Summer'!T$2</f>
        <v>4.3783169067475365</v>
      </c>
      <c r="U8" s="6">
        <f>VLOOKUP($A8,'RES installed'!$A$2:$C$7,3,FALSE)*'[1]Profiles, RES, Summer'!U$2</f>
        <v>0.3639120545868082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2.2744503411675512E-2</v>
      </c>
      <c r="H9" s="6">
        <f>VLOOKUP($A9,'RES installed'!$A$2:$C$7,3,FALSE)*'[1]Profiles, RES, Summer'!H$2</f>
        <v>0.66717210007581507</v>
      </c>
      <c r="I9" s="6">
        <f>VLOOKUP($A9,'RES installed'!$A$2:$C$7,3,FALSE)*'[1]Profiles, RES, Summer'!I$2</f>
        <v>2.7748294162244127</v>
      </c>
      <c r="J9" s="6">
        <f>VLOOKUP($A9,'RES installed'!$A$2:$C$7,3,FALSE)*'[1]Profiles, RES, Summer'!J$2</f>
        <v>5.7467778620166801</v>
      </c>
      <c r="K9" s="6">
        <f>VLOOKUP($A9,'RES installed'!$A$2:$C$7,3,FALSE)*'[1]Profiles, RES, Summer'!K$2</f>
        <v>7.5625473843821078</v>
      </c>
      <c r="L9" s="6">
        <f>VLOOKUP($A9,'RES installed'!$A$2:$C$7,3,FALSE)*'[1]Profiles, RES, Summer'!L$2</f>
        <v>8.6884003032600461</v>
      </c>
      <c r="M9" s="6">
        <f>VLOOKUP($A9,'RES installed'!$A$2:$C$7,3,FALSE)*'[1]Profiles, RES, Summer'!M$2</f>
        <v>9.1963608794541312</v>
      </c>
      <c r="N9" s="6">
        <f>VLOOKUP($A9,'RES installed'!$A$2:$C$7,3,FALSE)*'[1]Profiles, RES, Summer'!N$2</f>
        <v>9.4010614101592118</v>
      </c>
      <c r="O9" s="6">
        <f>VLOOKUP($A9,'RES installed'!$A$2:$C$7,3,FALSE)*'[1]Profiles, RES, Summer'!O$2</f>
        <v>9.4048521607278239</v>
      </c>
      <c r="P9" s="6">
        <f>VLOOKUP($A9,'RES installed'!$A$2:$C$7,3,FALSE)*'[1]Profiles, RES, Summer'!P$2</f>
        <v>9.0826383623957536</v>
      </c>
      <c r="Q9" s="6">
        <f>VLOOKUP($A9,'RES installed'!$A$2:$C$7,3,FALSE)*'[1]Profiles, RES, Summer'!Q$2</f>
        <v>8.0780894617134198</v>
      </c>
      <c r="R9" s="6">
        <f>VLOOKUP($A9,'RES installed'!$A$2:$C$7,3,FALSE)*'[1]Profiles, RES, Summer'!R$2</f>
        <v>6.474601971190296</v>
      </c>
      <c r="S9" s="6">
        <f>VLOOKUP($A9,'RES installed'!$A$2:$C$7,3,FALSE)*'[1]Profiles, RES, Summer'!S$2</f>
        <v>4.1887793783169069</v>
      </c>
      <c r="T9" s="6">
        <f>VLOOKUP($A9,'RES installed'!$A$2:$C$7,3,FALSE)*'[1]Profiles, RES, Summer'!T$2</f>
        <v>1.4594389689158453</v>
      </c>
      <c r="U9" s="6">
        <f>VLOOKUP($A9,'RES installed'!$A$2:$C$7,3,FALSE)*'[1]Profiles, RES, Summer'!U$2</f>
        <v>0.12130401819560273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4.5489006823351025E-2</v>
      </c>
      <c r="H10" s="6">
        <f>VLOOKUP($A10,'RES installed'!$A$2:$C$7,3,FALSE)*'[1]Profiles, RES, Summer'!H$2</f>
        <v>1.3343442001516301</v>
      </c>
      <c r="I10" s="6">
        <f>VLOOKUP($A10,'RES installed'!$A$2:$C$7,3,FALSE)*'[1]Profiles, RES, Summer'!I$2</f>
        <v>5.5496588324488254</v>
      </c>
      <c r="J10" s="6">
        <f>VLOOKUP($A10,'RES installed'!$A$2:$C$7,3,FALSE)*'[1]Profiles, RES, Summer'!J$2</f>
        <v>11.49355572403336</v>
      </c>
      <c r="K10" s="6">
        <f>VLOOKUP($A10,'RES installed'!$A$2:$C$7,3,FALSE)*'[1]Profiles, RES, Summer'!K$2</f>
        <v>15.125094768764216</v>
      </c>
      <c r="L10" s="6">
        <f>VLOOKUP($A10,'RES installed'!$A$2:$C$7,3,FALSE)*'[1]Profiles, RES, Summer'!L$2</f>
        <v>17.376800606520092</v>
      </c>
      <c r="M10" s="6">
        <f>VLOOKUP($A10,'RES installed'!$A$2:$C$7,3,FALSE)*'[1]Profiles, RES, Summer'!M$2</f>
        <v>18.392721758908262</v>
      </c>
      <c r="N10" s="6">
        <f>VLOOKUP($A10,'RES installed'!$A$2:$C$7,3,FALSE)*'[1]Profiles, RES, Summer'!N$2</f>
        <v>18.802122820318424</v>
      </c>
      <c r="O10" s="6">
        <f>VLOOKUP($A10,'RES installed'!$A$2:$C$7,3,FALSE)*'[1]Profiles, RES, Summer'!O$2</f>
        <v>18.809704321455648</v>
      </c>
      <c r="P10" s="6">
        <f>VLOOKUP($A10,'RES installed'!$A$2:$C$7,3,FALSE)*'[1]Profiles, RES, Summer'!P$2</f>
        <v>18.165276724791507</v>
      </c>
      <c r="Q10" s="6">
        <f>VLOOKUP($A10,'RES installed'!$A$2:$C$7,3,FALSE)*'[1]Profiles, RES, Summer'!Q$2</f>
        <v>16.15617892342684</v>
      </c>
      <c r="R10" s="6">
        <f>VLOOKUP($A10,'RES installed'!$A$2:$C$7,3,FALSE)*'[1]Profiles, RES, Summer'!R$2</f>
        <v>12.949203942380592</v>
      </c>
      <c r="S10" s="6">
        <f>VLOOKUP($A10,'RES installed'!$A$2:$C$7,3,FALSE)*'[1]Profiles, RES, Summer'!S$2</f>
        <v>8.3775587566338139</v>
      </c>
      <c r="T10" s="6">
        <f>VLOOKUP($A10,'RES installed'!$A$2:$C$7,3,FALSE)*'[1]Profiles, RES, Summer'!T$2</f>
        <v>2.9188779378316907</v>
      </c>
      <c r="U10" s="6">
        <f>VLOOKUP($A10,'RES installed'!$A$2:$C$7,3,FALSE)*'[1]Profiles, RES, Summer'!U$2</f>
        <v>0.24260803639120546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0B206-735C-4169-9573-F70381DB2C7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8.5507828181453238</v>
      </c>
      <c r="C5" s="9">
        <f>VLOOKUP($A5,'RES installed'!$A$2:$C$7,3,FALSE)*'[1]Profiles, RES, Summer'!C$6</f>
        <v>7.9425933360096339</v>
      </c>
      <c r="D5" s="9">
        <f>VLOOKUP($A5,'RES installed'!$A$2:$C$7,3,FALSE)*'[1]Profiles, RES, Summer'!D$6</f>
        <v>8.0750702529104768</v>
      </c>
      <c r="E5" s="9">
        <f>VLOOKUP($A5,'RES installed'!$A$2:$C$7,3,FALSE)*'[1]Profiles, RES, Summer'!E$6</f>
        <v>7.298273785628262</v>
      </c>
      <c r="F5" s="9">
        <f>VLOOKUP($A5,'RES installed'!$A$2:$C$7,3,FALSE)*'[1]Profiles, RES, Summer'!F$6</f>
        <v>6.8285828984343633</v>
      </c>
      <c r="G5" s="9">
        <f>VLOOKUP($A5,'RES installed'!$A$2:$C$7,3,FALSE)*'[1]Profiles, RES, Summer'!G$6</f>
        <v>7.2501003613006825</v>
      </c>
      <c r="H5" s="9">
        <f>VLOOKUP($A5,'RES installed'!$A$2:$C$7,3,FALSE)*'[1]Profiles, RES, Summer'!H$6</f>
        <v>7.1718185467683657</v>
      </c>
      <c r="I5" s="9">
        <f>VLOOKUP($A5,'RES installed'!$A$2:$C$7,3,FALSE)*'[1]Profiles, RES, Summer'!I$6</f>
        <v>5.2870333199518269</v>
      </c>
      <c r="J5" s="9">
        <f>VLOOKUP($A5,'RES installed'!$A$2:$C$7,3,FALSE)*'[1]Profiles, RES, Summer'!J$6</f>
        <v>3.3841830590124449</v>
      </c>
      <c r="K5" s="9">
        <f>VLOOKUP($A5,'RES installed'!$A$2:$C$7,3,FALSE)*'[1]Profiles, RES, Summer'!K$6</f>
        <v>2.4628663187474906</v>
      </c>
      <c r="L5" s="9">
        <f>VLOOKUP($A5,'RES installed'!$A$2:$C$7,3,FALSE)*'[1]Profiles, RES, Summer'!L$6</f>
        <v>1.8606985146527497</v>
      </c>
      <c r="M5" s="9">
        <f>VLOOKUP($A5,'RES installed'!$A$2:$C$7,3,FALSE)*'[1]Profiles, RES, Summer'!M$6</f>
        <v>1.746286631874749</v>
      </c>
      <c r="N5" s="9">
        <f>VLOOKUP($A5,'RES installed'!$A$2:$C$7,3,FALSE)*'[1]Profiles, RES, Summer'!N$6</f>
        <v>2.18586912886391</v>
      </c>
      <c r="O5" s="9">
        <f>VLOOKUP($A5,'RES installed'!$A$2:$C$7,3,FALSE)*'[1]Profiles, RES, Summer'!O$6</f>
        <v>2.8362103572862303</v>
      </c>
      <c r="P5" s="9">
        <f>VLOOKUP($A5,'RES installed'!$A$2:$C$7,3,FALSE)*'[1]Profiles, RES, Summer'!P$6</f>
        <v>4.0405459654757125</v>
      </c>
      <c r="Q5" s="9">
        <f>VLOOKUP($A5,'RES installed'!$A$2:$C$7,3,FALSE)*'[1]Profiles, RES, Summer'!Q$6</f>
        <v>5.1003613006824562</v>
      </c>
      <c r="R5" s="9">
        <f>VLOOKUP($A5,'RES installed'!$A$2:$C$7,3,FALSE)*'[1]Profiles, RES, Summer'!R$6</f>
        <v>6.1059815335206746</v>
      </c>
      <c r="S5" s="9">
        <f>VLOOKUP($A5,'RES installed'!$A$2:$C$7,3,FALSE)*'[1]Profiles, RES, Summer'!S$6</f>
        <v>6.5214773183460464</v>
      </c>
      <c r="T5" s="9">
        <f>VLOOKUP($A5,'RES installed'!$A$2:$C$7,3,FALSE)*'[1]Profiles, RES, Summer'!T$6</f>
        <v>6.2023283821758328</v>
      </c>
      <c r="U5" s="9">
        <f>VLOOKUP($A5,'RES installed'!$A$2:$C$7,3,FALSE)*'[1]Profiles, RES, Summer'!U$6</f>
        <v>6.015656362906463</v>
      </c>
      <c r="V5" s="9">
        <f>VLOOKUP($A5,'RES installed'!$A$2:$C$7,3,FALSE)*'[1]Profiles, RES, Summer'!V$6</f>
        <v>6.0337213970293053</v>
      </c>
      <c r="W5" s="9">
        <f>VLOOKUP($A5,'RES installed'!$A$2:$C$7,3,FALSE)*'[1]Profiles, RES, Summer'!W$6</f>
        <v>5.5459654757125652</v>
      </c>
      <c r="X5" s="9">
        <f>VLOOKUP($A5,'RES installed'!$A$2:$C$7,3,FALSE)*'[1]Profiles, RES, Summer'!X$6</f>
        <v>5.1425130469690892</v>
      </c>
      <c r="Y5" s="9">
        <f>VLOOKUP($A5,'RES installed'!$A$2:$C$7,3,FALSE)*'[1]Profiles, RES, Summer'!Y$6</f>
        <v>5.2328382175832999</v>
      </c>
    </row>
    <row r="6" spans="1:25" x14ac:dyDescent="0.3">
      <c r="A6" s="8">
        <v>5</v>
      </c>
      <c r="B6" s="9">
        <f>VLOOKUP($A6,'RES installed'!$A$2:$C$7,3,FALSE)*'[1]Profiles, RES, Summer'!B$6</f>
        <v>5.7005218787635492</v>
      </c>
      <c r="C6" s="9">
        <f>VLOOKUP($A6,'RES installed'!$A$2:$C$7,3,FALSE)*'[1]Profiles, RES, Summer'!C$6</f>
        <v>5.2950622240064229</v>
      </c>
      <c r="D6" s="9">
        <f>VLOOKUP($A6,'RES installed'!$A$2:$C$7,3,FALSE)*'[1]Profiles, RES, Summer'!D$6</f>
        <v>5.3833801686069851</v>
      </c>
      <c r="E6" s="9">
        <f>VLOOKUP($A6,'RES installed'!$A$2:$C$7,3,FALSE)*'[1]Profiles, RES, Summer'!E$6</f>
        <v>4.8655158570855077</v>
      </c>
      <c r="F6" s="9">
        <f>VLOOKUP($A6,'RES installed'!$A$2:$C$7,3,FALSE)*'[1]Profiles, RES, Summer'!F$6</f>
        <v>4.5523885989562425</v>
      </c>
      <c r="G6" s="9">
        <f>VLOOKUP($A6,'RES installed'!$A$2:$C$7,3,FALSE)*'[1]Profiles, RES, Summer'!G$6</f>
        <v>4.8334002408671219</v>
      </c>
      <c r="H6" s="9">
        <f>VLOOKUP($A6,'RES installed'!$A$2:$C$7,3,FALSE)*'[1]Profiles, RES, Summer'!H$6</f>
        <v>4.7812123645122444</v>
      </c>
      <c r="I6" s="9">
        <f>VLOOKUP($A6,'RES installed'!$A$2:$C$7,3,FALSE)*'[1]Profiles, RES, Summer'!I$6</f>
        <v>3.5246888799678846</v>
      </c>
      <c r="J6" s="9">
        <f>VLOOKUP($A6,'RES installed'!$A$2:$C$7,3,FALSE)*'[1]Profiles, RES, Summer'!J$6</f>
        <v>2.2561220393416299</v>
      </c>
      <c r="K6" s="9">
        <f>VLOOKUP($A6,'RES installed'!$A$2:$C$7,3,FALSE)*'[1]Profiles, RES, Summer'!K$6</f>
        <v>1.6419108791649939</v>
      </c>
      <c r="L6" s="9">
        <f>VLOOKUP($A6,'RES installed'!$A$2:$C$7,3,FALSE)*'[1]Profiles, RES, Summer'!L$6</f>
        <v>1.2404656764351665</v>
      </c>
      <c r="M6" s="9">
        <f>VLOOKUP($A6,'RES installed'!$A$2:$C$7,3,FALSE)*'[1]Profiles, RES, Summer'!M$6</f>
        <v>1.1641910879164994</v>
      </c>
      <c r="N6" s="9">
        <f>VLOOKUP($A6,'RES installed'!$A$2:$C$7,3,FALSE)*'[1]Profiles, RES, Summer'!N$6</f>
        <v>1.4572460859092735</v>
      </c>
      <c r="O6" s="9">
        <f>VLOOKUP($A6,'RES installed'!$A$2:$C$7,3,FALSE)*'[1]Profiles, RES, Summer'!O$6</f>
        <v>1.8908069048574869</v>
      </c>
      <c r="P6" s="9">
        <f>VLOOKUP($A6,'RES installed'!$A$2:$C$7,3,FALSE)*'[1]Profiles, RES, Summer'!P$6</f>
        <v>2.693697310317142</v>
      </c>
      <c r="Q6" s="9">
        <f>VLOOKUP($A6,'RES installed'!$A$2:$C$7,3,FALSE)*'[1]Profiles, RES, Summer'!Q$6</f>
        <v>3.4002408671216378</v>
      </c>
      <c r="R6" s="9">
        <f>VLOOKUP($A6,'RES installed'!$A$2:$C$7,3,FALSE)*'[1]Profiles, RES, Summer'!R$6</f>
        <v>4.0706543556804498</v>
      </c>
      <c r="S6" s="9">
        <f>VLOOKUP($A6,'RES installed'!$A$2:$C$7,3,FALSE)*'[1]Profiles, RES, Summer'!S$6</f>
        <v>4.3476515455640303</v>
      </c>
      <c r="T6" s="9">
        <f>VLOOKUP($A6,'RES installed'!$A$2:$C$7,3,FALSE)*'[1]Profiles, RES, Summer'!T$6</f>
        <v>4.1348855881172222</v>
      </c>
      <c r="U6" s="9">
        <f>VLOOKUP($A6,'RES installed'!$A$2:$C$7,3,FALSE)*'[1]Profiles, RES, Summer'!U$6</f>
        <v>4.0104375752709753</v>
      </c>
      <c r="V6" s="9">
        <f>VLOOKUP($A6,'RES installed'!$A$2:$C$7,3,FALSE)*'[1]Profiles, RES, Summer'!V$6</f>
        <v>4.0224809313528702</v>
      </c>
      <c r="W6" s="9">
        <f>VLOOKUP($A6,'RES installed'!$A$2:$C$7,3,FALSE)*'[1]Profiles, RES, Summer'!W$6</f>
        <v>3.6973103171417101</v>
      </c>
      <c r="X6" s="9">
        <f>VLOOKUP($A6,'RES installed'!$A$2:$C$7,3,FALSE)*'[1]Profiles, RES, Summer'!X$6</f>
        <v>3.428342031312726</v>
      </c>
      <c r="Y6" s="9">
        <f>VLOOKUP($A6,'RES installed'!$A$2:$C$7,3,FALSE)*'[1]Profiles, RES, Summer'!Y$6</f>
        <v>3.4885588117221999</v>
      </c>
    </row>
    <row r="7" spans="1:25" x14ac:dyDescent="0.3">
      <c r="A7" s="8">
        <v>6</v>
      </c>
      <c r="B7" s="9">
        <f>VLOOKUP($A7,'RES installed'!$A$2:$C$7,3,FALSE)*'[1]Profiles, RES, Summer'!B$6</f>
        <v>8.5507828181453238</v>
      </c>
      <c r="C7" s="9">
        <f>VLOOKUP($A7,'RES installed'!$A$2:$C$7,3,FALSE)*'[1]Profiles, RES, Summer'!C$6</f>
        <v>7.9425933360096339</v>
      </c>
      <c r="D7" s="9">
        <f>VLOOKUP($A7,'RES installed'!$A$2:$C$7,3,FALSE)*'[1]Profiles, RES, Summer'!D$6</f>
        <v>8.0750702529104768</v>
      </c>
      <c r="E7" s="9">
        <f>VLOOKUP($A7,'RES installed'!$A$2:$C$7,3,FALSE)*'[1]Profiles, RES, Summer'!E$6</f>
        <v>7.298273785628262</v>
      </c>
      <c r="F7" s="9">
        <f>VLOOKUP($A7,'RES installed'!$A$2:$C$7,3,FALSE)*'[1]Profiles, RES, Summer'!F$6</f>
        <v>6.8285828984343633</v>
      </c>
      <c r="G7" s="9">
        <f>VLOOKUP($A7,'RES installed'!$A$2:$C$7,3,FALSE)*'[1]Profiles, RES, Summer'!G$6</f>
        <v>7.2501003613006825</v>
      </c>
      <c r="H7" s="9">
        <f>VLOOKUP($A7,'RES installed'!$A$2:$C$7,3,FALSE)*'[1]Profiles, RES, Summer'!H$6</f>
        <v>7.1718185467683657</v>
      </c>
      <c r="I7" s="9">
        <f>VLOOKUP($A7,'RES installed'!$A$2:$C$7,3,FALSE)*'[1]Profiles, RES, Summer'!I$6</f>
        <v>5.2870333199518269</v>
      </c>
      <c r="J7" s="9">
        <f>VLOOKUP($A7,'RES installed'!$A$2:$C$7,3,FALSE)*'[1]Profiles, RES, Summer'!J$6</f>
        <v>3.3841830590124449</v>
      </c>
      <c r="K7" s="9">
        <f>VLOOKUP($A7,'RES installed'!$A$2:$C$7,3,FALSE)*'[1]Profiles, RES, Summer'!K$6</f>
        <v>2.4628663187474906</v>
      </c>
      <c r="L7" s="9">
        <f>VLOOKUP($A7,'RES installed'!$A$2:$C$7,3,FALSE)*'[1]Profiles, RES, Summer'!L$6</f>
        <v>1.8606985146527497</v>
      </c>
      <c r="M7" s="9">
        <f>VLOOKUP($A7,'RES installed'!$A$2:$C$7,3,FALSE)*'[1]Profiles, RES, Summer'!M$6</f>
        <v>1.746286631874749</v>
      </c>
      <c r="N7" s="9">
        <f>VLOOKUP($A7,'RES installed'!$A$2:$C$7,3,FALSE)*'[1]Profiles, RES, Summer'!N$6</f>
        <v>2.18586912886391</v>
      </c>
      <c r="O7" s="9">
        <f>VLOOKUP($A7,'RES installed'!$A$2:$C$7,3,FALSE)*'[1]Profiles, RES, Summer'!O$6</f>
        <v>2.8362103572862303</v>
      </c>
      <c r="P7" s="9">
        <f>VLOOKUP($A7,'RES installed'!$A$2:$C$7,3,FALSE)*'[1]Profiles, RES, Summer'!P$6</f>
        <v>4.0405459654757125</v>
      </c>
      <c r="Q7" s="9">
        <f>VLOOKUP($A7,'RES installed'!$A$2:$C$7,3,FALSE)*'[1]Profiles, RES, Summer'!Q$6</f>
        <v>5.1003613006824562</v>
      </c>
      <c r="R7" s="9">
        <f>VLOOKUP($A7,'RES installed'!$A$2:$C$7,3,FALSE)*'[1]Profiles, RES, Summer'!R$6</f>
        <v>6.1059815335206746</v>
      </c>
      <c r="S7" s="9">
        <f>VLOOKUP($A7,'RES installed'!$A$2:$C$7,3,FALSE)*'[1]Profiles, RES, Summer'!S$6</f>
        <v>6.5214773183460464</v>
      </c>
      <c r="T7" s="9">
        <f>VLOOKUP($A7,'RES installed'!$A$2:$C$7,3,FALSE)*'[1]Profiles, RES, Summer'!T$6</f>
        <v>6.2023283821758328</v>
      </c>
      <c r="U7" s="9">
        <f>VLOOKUP($A7,'RES installed'!$A$2:$C$7,3,FALSE)*'[1]Profiles, RES, Summer'!U$6</f>
        <v>6.015656362906463</v>
      </c>
      <c r="V7" s="9">
        <f>VLOOKUP($A7,'RES installed'!$A$2:$C$7,3,FALSE)*'[1]Profiles, RES, Summer'!V$6</f>
        <v>6.0337213970293053</v>
      </c>
      <c r="W7" s="9">
        <f>VLOOKUP($A7,'RES installed'!$A$2:$C$7,3,FALSE)*'[1]Profiles, RES, Summer'!W$6</f>
        <v>5.5459654757125652</v>
      </c>
      <c r="X7" s="9">
        <f>VLOOKUP($A7,'RES installed'!$A$2:$C$7,3,FALSE)*'[1]Profiles, RES, Summer'!X$6</f>
        <v>5.1425130469690892</v>
      </c>
      <c r="Y7" s="9">
        <f>VLOOKUP($A7,'RES installed'!$A$2:$C$7,3,FALSE)*'[1]Profiles, RES, Summer'!Y$6</f>
        <v>5.2328382175832999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5.6861258529188781E-2</v>
      </c>
      <c r="H8" s="6">
        <f>VLOOKUP($A8,'RES installed'!$A$2:$C$7,3,FALSE)*'[1]Profiles, RES, Summer'!H$3</f>
        <v>2.3995451099317662</v>
      </c>
      <c r="I8" s="6">
        <f>VLOOKUP($A8,'RES installed'!$A$2:$C$7,3,FALSE)*'[1]Profiles, RES, Summer'!I$3</f>
        <v>9.6550416982562552</v>
      </c>
      <c r="J8" s="6">
        <f>VLOOKUP($A8,'RES installed'!$A$2:$C$7,3,FALSE)*'[1]Profiles, RES, Summer'!J$3</f>
        <v>17.649734647460196</v>
      </c>
      <c r="K8" s="6">
        <f>VLOOKUP($A8,'RES installed'!$A$2:$C$7,3,FALSE)*'[1]Profiles, RES, Summer'!K$3</f>
        <v>23.21076573161486</v>
      </c>
      <c r="L8" s="6">
        <f>VLOOKUP($A8,'RES installed'!$A$2:$C$7,3,FALSE)*'[1]Profiles, RES, Summer'!L$3</f>
        <v>26.997725549658831</v>
      </c>
      <c r="M8" s="6">
        <f>VLOOKUP($A8,'RES installed'!$A$2:$C$7,3,FALSE)*'[1]Profiles, RES, Summer'!M$3</f>
        <v>28.396512509476878</v>
      </c>
      <c r="N8" s="6">
        <f>VLOOKUP($A8,'RES installed'!$A$2:$C$7,3,FALSE)*'[1]Profiles, RES, Summer'!N$3</f>
        <v>28.476118271417739</v>
      </c>
      <c r="O8" s="6">
        <f>VLOOKUP($A8,'RES installed'!$A$2:$C$7,3,FALSE)*'[1]Profiles, RES, Summer'!O$3</f>
        <v>27.873388931008339</v>
      </c>
      <c r="P8" s="6">
        <f>VLOOKUP($A8,'RES installed'!$A$2:$C$7,3,FALSE)*'[1]Profiles, RES, Summer'!P$3</f>
        <v>26.986353297952995</v>
      </c>
      <c r="Q8" s="6">
        <f>VLOOKUP($A8,'RES installed'!$A$2:$C$7,3,FALSE)*'[1]Profiles, RES, Summer'!Q$3</f>
        <v>24.075056861258528</v>
      </c>
      <c r="R8" s="6">
        <f>VLOOKUP($A8,'RES installed'!$A$2:$C$7,3,FALSE)*'[1]Profiles, RES, Summer'!R$3</f>
        <v>19.332827899924187</v>
      </c>
      <c r="S8" s="6">
        <f>VLOOKUP($A8,'RES installed'!$A$2:$C$7,3,FALSE)*'[1]Profiles, RES, Summer'!S$3</f>
        <v>12.122820318423049</v>
      </c>
      <c r="T8" s="6">
        <f>VLOOKUP($A8,'RES installed'!$A$2:$C$7,3,FALSE)*'[1]Profiles, RES, Summer'!T$3</f>
        <v>3.9461713419257012</v>
      </c>
      <c r="U8" s="6">
        <f>VLOOKUP($A8,'RES installed'!$A$2:$C$7,3,FALSE)*'[1]Profiles, RES, Summer'!U$3</f>
        <v>0.26156178923426837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1.8953752843062926E-2</v>
      </c>
      <c r="H9" s="6">
        <f>VLOOKUP($A9,'RES installed'!$A$2:$C$7,3,FALSE)*'[1]Profiles, RES, Summer'!H$3</f>
        <v>0.79984836997725539</v>
      </c>
      <c r="I9" s="6">
        <f>VLOOKUP($A9,'RES installed'!$A$2:$C$7,3,FALSE)*'[1]Profiles, RES, Summer'!I$3</f>
        <v>3.2183472327520852</v>
      </c>
      <c r="J9" s="6">
        <f>VLOOKUP($A9,'RES installed'!$A$2:$C$7,3,FALSE)*'[1]Profiles, RES, Summer'!J$3</f>
        <v>5.8832448824867321</v>
      </c>
      <c r="K9" s="6">
        <f>VLOOKUP($A9,'RES installed'!$A$2:$C$7,3,FALSE)*'[1]Profiles, RES, Summer'!K$3</f>
        <v>7.7369219105382872</v>
      </c>
      <c r="L9" s="6">
        <f>VLOOKUP($A9,'RES installed'!$A$2:$C$7,3,FALSE)*'[1]Profiles, RES, Summer'!L$3</f>
        <v>8.9992418498862765</v>
      </c>
      <c r="M9" s="6">
        <f>VLOOKUP($A9,'RES installed'!$A$2:$C$7,3,FALSE)*'[1]Profiles, RES, Summer'!M$3</f>
        <v>9.4655041698256266</v>
      </c>
      <c r="N9" s="6">
        <f>VLOOKUP($A9,'RES installed'!$A$2:$C$7,3,FALSE)*'[1]Profiles, RES, Summer'!N$3</f>
        <v>9.4920394238059131</v>
      </c>
      <c r="O9" s="6">
        <f>VLOOKUP($A9,'RES installed'!$A$2:$C$7,3,FALSE)*'[1]Profiles, RES, Summer'!O$3</f>
        <v>9.2911296436694464</v>
      </c>
      <c r="P9" s="6">
        <f>VLOOKUP($A9,'RES installed'!$A$2:$C$7,3,FALSE)*'[1]Profiles, RES, Summer'!P$3</f>
        <v>8.9954510993176644</v>
      </c>
      <c r="Q9" s="6">
        <f>VLOOKUP($A9,'RES installed'!$A$2:$C$7,3,FALSE)*'[1]Profiles, RES, Summer'!Q$3</f>
        <v>8.0250189537528431</v>
      </c>
      <c r="R9" s="6">
        <f>VLOOKUP($A9,'RES installed'!$A$2:$C$7,3,FALSE)*'[1]Profiles, RES, Summer'!R$3</f>
        <v>6.4442759666413956</v>
      </c>
      <c r="S9" s="6">
        <f>VLOOKUP($A9,'RES installed'!$A$2:$C$7,3,FALSE)*'[1]Profiles, RES, Summer'!S$3</f>
        <v>4.040940106141016</v>
      </c>
      <c r="T9" s="6">
        <f>VLOOKUP($A9,'RES installed'!$A$2:$C$7,3,FALSE)*'[1]Profiles, RES, Summer'!T$3</f>
        <v>1.3153904473085669</v>
      </c>
      <c r="U9" s="6">
        <f>VLOOKUP($A9,'RES installed'!$A$2:$C$7,3,FALSE)*'[1]Profiles, RES, Summer'!U$3</f>
        <v>8.7187263078089466E-2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3.7907505686125852E-2</v>
      </c>
      <c r="H10" s="6">
        <f>VLOOKUP($A10,'RES installed'!$A$2:$C$7,3,FALSE)*'[1]Profiles, RES, Summer'!H$3</f>
        <v>1.5996967399545108</v>
      </c>
      <c r="I10" s="6">
        <f>VLOOKUP($A10,'RES installed'!$A$2:$C$7,3,FALSE)*'[1]Profiles, RES, Summer'!I$3</f>
        <v>6.4366944655041705</v>
      </c>
      <c r="J10" s="6">
        <f>VLOOKUP($A10,'RES installed'!$A$2:$C$7,3,FALSE)*'[1]Profiles, RES, Summer'!J$3</f>
        <v>11.766489764973464</v>
      </c>
      <c r="K10" s="6">
        <f>VLOOKUP($A10,'RES installed'!$A$2:$C$7,3,FALSE)*'[1]Profiles, RES, Summer'!K$3</f>
        <v>15.473843821076574</v>
      </c>
      <c r="L10" s="6">
        <f>VLOOKUP($A10,'RES installed'!$A$2:$C$7,3,FALSE)*'[1]Profiles, RES, Summer'!L$3</f>
        <v>17.998483699772553</v>
      </c>
      <c r="M10" s="6">
        <f>VLOOKUP($A10,'RES installed'!$A$2:$C$7,3,FALSE)*'[1]Profiles, RES, Summer'!M$3</f>
        <v>18.931008339651253</v>
      </c>
      <c r="N10" s="6">
        <f>VLOOKUP($A10,'RES installed'!$A$2:$C$7,3,FALSE)*'[1]Profiles, RES, Summer'!N$3</f>
        <v>18.984078847611826</v>
      </c>
      <c r="O10" s="6">
        <f>VLOOKUP($A10,'RES installed'!$A$2:$C$7,3,FALSE)*'[1]Profiles, RES, Summer'!O$3</f>
        <v>18.582259287338893</v>
      </c>
      <c r="P10" s="6">
        <f>VLOOKUP($A10,'RES installed'!$A$2:$C$7,3,FALSE)*'[1]Profiles, RES, Summer'!P$3</f>
        <v>17.990902198635329</v>
      </c>
      <c r="Q10" s="6">
        <f>VLOOKUP($A10,'RES installed'!$A$2:$C$7,3,FALSE)*'[1]Profiles, RES, Summer'!Q$3</f>
        <v>16.050037907505686</v>
      </c>
      <c r="R10" s="6">
        <f>VLOOKUP($A10,'RES installed'!$A$2:$C$7,3,FALSE)*'[1]Profiles, RES, Summer'!R$3</f>
        <v>12.888551933282791</v>
      </c>
      <c r="S10" s="6">
        <f>VLOOKUP($A10,'RES installed'!$A$2:$C$7,3,FALSE)*'[1]Profiles, RES, Summer'!S$3</f>
        <v>8.0818802122820319</v>
      </c>
      <c r="T10" s="6">
        <f>VLOOKUP($A10,'RES installed'!$A$2:$C$7,3,FALSE)*'[1]Profiles, RES, Summer'!T$3</f>
        <v>2.6307808946171338</v>
      </c>
      <c r="U10" s="6">
        <f>VLOOKUP($A10,'RES installed'!$A$2:$C$7,3,FALSE)*'[1]Profiles, RES, Summer'!U$3</f>
        <v>0.17437452615617893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9ED32-E37A-4C7F-9A3A-6C171EDA3DE5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8.93014853472501</v>
      </c>
      <c r="C5" s="9">
        <f>VLOOKUP($A5,'RES installed'!$A$2:$C$7,3,FALSE)*'[1]Profiles, RES, Summer'!C$7</f>
        <v>8.0329185066238455</v>
      </c>
      <c r="D5" s="9">
        <f>VLOOKUP($A5,'RES installed'!$A$2:$C$7,3,FALSE)*'[1]Profiles, RES, Summer'!D$7</f>
        <v>6.7081493376154153</v>
      </c>
      <c r="E5" s="9">
        <f>VLOOKUP($A5,'RES installed'!$A$2:$C$7,3,FALSE)*'[1]Profiles, RES, Summer'!E$7</f>
        <v>6.340826977117624</v>
      </c>
      <c r="F5" s="9">
        <f>VLOOKUP($A5,'RES installed'!$A$2:$C$7,3,FALSE)*'[1]Profiles, RES, Summer'!F$7</f>
        <v>6.2384584504215175</v>
      </c>
      <c r="G5" s="9">
        <f>VLOOKUP($A5,'RES installed'!$A$2:$C$7,3,FALSE)*'[1]Profiles, RES, Summer'!G$7</f>
        <v>6.9971898835808908</v>
      </c>
      <c r="H5" s="9">
        <f>VLOOKUP($A5,'RES installed'!$A$2:$C$7,3,FALSE)*'[1]Profiles, RES, Summer'!H$7</f>
        <v>7.713769570453632</v>
      </c>
      <c r="I5" s="9">
        <f>VLOOKUP($A5,'RES installed'!$A$2:$C$7,3,FALSE)*'[1]Profiles, RES, Summer'!I$7</f>
        <v>7.9787234042553195</v>
      </c>
      <c r="J5" s="9">
        <f>VLOOKUP($A5,'RES installed'!$A$2:$C$7,3,FALSE)*'[1]Profiles, RES, Summer'!J$7</f>
        <v>6.4853472501003608</v>
      </c>
      <c r="K5" s="9">
        <f>VLOOKUP($A5,'RES installed'!$A$2:$C$7,3,FALSE)*'[1]Profiles, RES, Summer'!K$7</f>
        <v>5.0461661983139301</v>
      </c>
      <c r="L5" s="9">
        <f>VLOOKUP($A5,'RES installed'!$A$2:$C$7,3,FALSE)*'[1]Profiles, RES, Summer'!L$7</f>
        <v>4.5403452428743476</v>
      </c>
      <c r="M5" s="9">
        <f>VLOOKUP($A5,'RES installed'!$A$2:$C$7,3,FALSE)*'[1]Profiles, RES, Summer'!M$7</f>
        <v>4.0525893215576065</v>
      </c>
      <c r="N5" s="9">
        <f>VLOOKUP($A5,'RES installed'!$A$2:$C$7,3,FALSE)*'[1]Profiles, RES, Summer'!N$7</f>
        <v>4.3898032918506624</v>
      </c>
      <c r="O5" s="9">
        <f>VLOOKUP($A5,'RES installed'!$A$2:$C$7,3,FALSE)*'[1]Profiles, RES, Summer'!O$7</f>
        <v>5.8410276997189881</v>
      </c>
      <c r="P5" s="9">
        <f>VLOOKUP($A5,'RES installed'!$A$2:$C$7,3,FALSE)*'[1]Profiles, RES, Summer'!P$7</f>
        <v>7.3464472099558407</v>
      </c>
      <c r="Q5" s="9">
        <f>VLOOKUP($A5,'RES installed'!$A$2:$C$7,3,FALSE)*'[1]Profiles, RES, Summer'!Q$7</f>
        <v>7.7077478924126854</v>
      </c>
      <c r="R5" s="9">
        <f>VLOOKUP($A5,'RES installed'!$A$2:$C$7,3,FALSE)*'[1]Profiles, RES, Summer'!R$7</f>
        <v>8.3219590525893228</v>
      </c>
      <c r="S5" s="9">
        <f>VLOOKUP($A5,'RES installed'!$A$2:$C$7,3,FALSE)*'[1]Profiles, RES, Summer'!S$7</f>
        <v>8.6591730228823778</v>
      </c>
      <c r="T5" s="9">
        <f>VLOOKUP($A5,'RES installed'!$A$2:$C$7,3,FALSE)*'[1]Profiles, RES, Summer'!T$7</f>
        <v>8.8759534323564839</v>
      </c>
      <c r="U5" s="9">
        <f>VLOOKUP($A5,'RES installed'!$A$2:$C$7,3,FALSE)*'[1]Profiles, RES, Summer'!U$7</f>
        <v>10.170614211160176</v>
      </c>
      <c r="V5" s="9">
        <f>VLOOKUP($A5,'RES installed'!$A$2:$C$7,3,FALSE)*'[1]Profiles, RES, Summer'!V$7</f>
        <v>11.44118827780008</v>
      </c>
      <c r="W5" s="9">
        <f>VLOOKUP($A5,'RES installed'!$A$2:$C$7,3,FALSE)*'[1]Profiles, RES, Summer'!W$7</f>
        <v>11.049779205138497</v>
      </c>
      <c r="X5" s="9">
        <f>VLOOKUP($A5,'RES installed'!$A$2:$C$7,3,FALSE)*'[1]Profiles, RES, Summer'!X$7</f>
        <v>10.4656764351666</v>
      </c>
      <c r="Y5" s="9">
        <f>VLOOKUP($A5,'RES installed'!$A$2:$C$7,3,FALSE)*'[1]Profiles, RES, Summer'!Y$7</f>
        <v>10.27900441589723</v>
      </c>
    </row>
    <row r="6" spans="1:25" x14ac:dyDescent="0.3">
      <c r="A6" s="8">
        <v>5</v>
      </c>
      <c r="B6" s="9">
        <f>VLOOKUP($A6,'RES installed'!$A$2:$C$7,3,FALSE)*'[1]Profiles, RES, Summer'!B$7</f>
        <v>5.95343235648334</v>
      </c>
      <c r="C6" s="9">
        <f>VLOOKUP($A6,'RES installed'!$A$2:$C$7,3,FALSE)*'[1]Profiles, RES, Summer'!C$7</f>
        <v>5.3552790044158973</v>
      </c>
      <c r="D6" s="9">
        <f>VLOOKUP($A6,'RES installed'!$A$2:$C$7,3,FALSE)*'[1]Profiles, RES, Summer'!D$7</f>
        <v>4.4720995584102772</v>
      </c>
      <c r="E6" s="9">
        <f>VLOOKUP($A6,'RES installed'!$A$2:$C$7,3,FALSE)*'[1]Profiles, RES, Summer'!E$7</f>
        <v>4.2272179847450824</v>
      </c>
      <c r="F6" s="9">
        <f>VLOOKUP($A6,'RES installed'!$A$2:$C$7,3,FALSE)*'[1]Profiles, RES, Summer'!F$7</f>
        <v>4.1589723002810111</v>
      </c>
      <c r="G6" s="9">
        <f>VLOOKUP($A6,'RES installed'!$A$2:$C$7,3,FALSE)*'[1]Profiles, RES, Summer'!G$7</f>
        <v>4.6647932557205944</v>
      </c>
      <c r="H6" s="9">
        <f>VLOOKUP($A6,'RES installed'!$A$2:$C$7,3,FALSE)*'[1]Profiles, RES, Summer'!H$7</f>
        <v>5.1425130469690883</v>
      </c>
      <c r="I6" s="9">
        <f>VLOOKUP($A6,'RES installed'!$A$2:$C$7,3,FALSE)*'[1]Profiles, RES, Summer'!I$7</f>
        <v>5.3191489361702127</v>
      </c>
      <c r="J6" s="9">
        <f>VLOOKUP($A6,'RES installed'!$A$2:$C$7,3,FALSE)*'[1]Profiles, RES, Summer'!J$7</f>
        <v>4.3235648334002406</v>
      </c>
      <c r="K6" s="9">
        <f>VLOOKUP($A6,'RES installed'!$A$2:$C$7,3,FALSE)*'[1]Profiles, RES, Summer'!K$7</f>
        <v>3.3641107988759531</v>
      </c>
      <c r="L6" s="9">
        <f>VLOOKUP($A6,'RES installed'!$A$2:$C$7,3,FALSE)*'[1]Profiles, RES, Summer'!L$7</f>
        <v>3.0268968285828985</v>
      </c>
      <c r="M6" s="9">
        <f>VLOOKUP($A6,'RES installed'!$A$2:$C$7,3,FALSE)*'[1]Profiles, RES, Summer'!M$7</f>
        <v>2.701726214371738</v>
      </c>
      <c r="N6" s="9">
        <f>VLOOKUP($A6,'RES installed'!$A$2:$C$7,3,FALSE)*'[1]Profiles, RES, Summer'!N$7</f>
        <v>2.9265355279004419</v>
      </c>
      <c r="O6" s="9">
        <f>VLOOKUP($A6,'RES installed'!$A$2:$C$7,3,FALSE)*'[1]Profiles, RES, Summer'!O$7</f>
        <v>3.8940184664793254</v>
      </c>
      <c r="P6" s="9">
        <f>VLOOKUP($A6,'RES installed'!$A$2:$C$7,3,FALSE)*'[1]Profiles, RES, Summer'!P$7</f>
        <v>4.8976314733038944</v>
      </c>
      <c r="Q6" s="9">
        <f>VLOOKUP($A6,'RES installed'!$A$2:$C$7,3,FALSE)*'[1]Profiles, RES, Summer'!Q$7</f>
        <v>5.1384985949417903</v>
      </c>
      <c r="R6" s="9">
        <f>VLOOKUP($A6,'RES installed'!$A$2:$C$7,3,FALSE)*'[1]Profiles, RES, Summer'!R$7</f>
        <v>5.5479727017262146</v>
      </c>
      <c r="S6" s="9">
        <f>VLOOKUP($A6,'RES installed'!$A$2:$C$7,3,FALSE)*'[1]Profiles, RES, Summer'!S$7</f>
        <v>5.7727820152549185</v>
      </c>
      <c r="T6" s="9">
        <f>VLOOKUP($A6,'RES installed'!$A$2:$C$7,3,FALSE)*'[1]Profiles, RES, Summer'!T$7</f>
        <v>5.9173022882376554</v>
      </c>
      <c r="U6" s="9">
        <f>VLOOKUP($A6,'RES installed'!$A$2:$C$7,3,FALSE)*'[1]Profiles, RES, Summer'!U$7</f>
        <v>6.7804094741067846</v>
      </c>
      <c r="V6" s="9">
        <f>VLOOKUP($A6,'RES installed'!$A$2:$C$7,3,FALSE)*'[1]Profiles, RES, Summer'!V$7</f>
        <v>7.6274588518667201</v>
      </c>
      <c r="W6" s="9">
        <f>VLOOKUP($A6,'RES installed'!$A$2:$C$7,3,FALSE)*'[1]Profiles, RES, Summer'!W$7</f>
        <v>7.3665194700923315</v>
      </c>
      <c r="X6" s="9">
        <f>VLOOKUP($A6,'RES installed'!$A$2:$C$7,3,FALSE)*'[1]Profiles, RES, Summer'!X$7</f>
        <v>6.9771176234443999</v>
      </c>
      <c r="Y6" s="9">
        <f>VLOOKUP($A6,'RES installed'!$A$2:$C$7,3,FALSE)*'[1]Profiles, RES, Summer'!Y$7</f>
        <v>6.852669610598153</v>
      </c>
    </row>
    <row r="7" spans="1:25" x14ac:dyDescent="0.3">
      <c r="A7" s="8">
        <v>6</v>
      </c>
      <c r="B7" s="9">
        <f>VLOOKUP($A7,'RES installed'!$A$2:$C$7,3,FALSE)*'[1]Profiles, RES, Summer'!B$7</f>
        <v>8.93014853472501</v>
      </c>
      <c r="C7" s="9">
        <f>VLOOKUP($A7,'RES installed'!$A$2:$C$7,3,FALSE)*'[1]Profiles, RES, Summer'!C$7</f>
        <v>8.0329185066238455</v>
      </c>
      <c r="D7" s="9">
        <f>VLOOKUP($A7,'RES installed'!$A$2:$C$7,3,FALSE)*'[1]Profiles, RES, Summer'!D$7</f>
        <v>6.7081493376154153</v>
      </c>
      <c r="E7" s="9">
        <f>VLOOKUP($A7,'RES installed'!$A$2:$C$7,3,FALSE)*'[1]Profiles, RES, Summer'!E$7</f>
        <v>6.340826977117624</v>
      </c>
      <c r="F7" s="9">
        <f>VLOOKUP($A7,'RES installed'!$A$2:$C$7,3,FALSE)*'[1]Profiles, RES, Summer'!F$7</f>
        <v>6.2384584504215175</v>
      </c>
      <c r="G7" s="9">
        <f>VLOOKUP($A7,'RES installed'!$A$2:$C$7,3,FALSE)*'[1]Profiles, RES, Summer'!G$7</f>
        <v>6.9971898835808908</v>
      </c>
      <c r="H7" s="9">
        <f>VLOOKUP($A7,'RES installed'!$A$2:$C$7,3,FALSE)*'[1]Profiles, RES, Summer'!H$7</f>
        <v>7.713769570453632</v>
      </c>
      <c r="I7" s="9">
        <f>VLOOKUP($A7,'RES installed'!$A$2:$C$7,3,FALSE)*'[1]Profiles, RES, Summer'!I$7</f>
        <v>7.9787234042553195</v>
      </c>
      <c r="J7" s="9">
        <f>VLOOKUP($A7,'RES installed'!$A$2:$C$7,3,FALSE)*'[1]Profiles, RES, Summer'!J$7</f>
        <v>6.4853472501003608</v>
      </c>
      <c r="K7" s="9">
        <f>VLOOKUP($A7,'RES installed'!$A$2:$C$7,3,FALSE)*'[1]Profiles, RES, Summer'!K$7</f>
        <v>5.0461661983139301</v>
      </c>
      <c r="L7" s="9">
        <f>VLOOKUP($A7,'RES installed'!$A$2:$C$7,3,FALSE)*'[1]Profiles, RES, Summer'!L$7</f>
        <v>4.5403452428743476</v>
      </c>
      <c r="M7" s="9">
        <f>VLOOKUP($A7,'RES installed'!$A$2:$C$7,3,FALSE)*'[1]Profiles, RES, Summer'!M$7</f>
        <v>4.0525893215576065</v>
      </c>
      <c r="N7" s="9">
        <f>VLOOKUP($A7,'RES installed'!$A$2:$C$7,3,FALSE)*'[1]Profiles, RES, Summer'!N$7</f>
        <v>4.3898032918506624</v>
      </c>
      <c r="O7" s="9">
        <f>VLOOKUP($A7,'RES installed'!$A$2:$C$7,3,FALSE)*'[1]Profiles, RES, Summer'!O$7</f>
        <v>5.8410276997189881</v>
      </c>
      <c r="P7" s="9">
        <f>VLOOKUP($A7,'RES installed'!$A$2:$C$7,3,FALSE)*'[1]Profiles, RES, Summer'!P$7</f>
        <v>7.3464472099558407</v>
      </c>
      <c r="Q7" s="9">
        <f>VLOOKUP($A7,'RES installed'!$A$2:$C$7,3,FALSE)*'[1]Profiles, RES, Summer'!Q$7</f>
        <v>7.7077478924126854</v>
      </c>
      <c r="R7" s="9">
        <f>VLOOKUP($A7,'RES installed'!$A$2:$C$7,3,FALSE)*'[1]Profiles, RES, Summer'!R$7</f>
        <v>8.3219590525893228</v>
      </c>
      <c r="S7" s="9">
        <f>VLOOKUP($A7,'RES installed'!$A$2:$C$7,3,FALSE)*'[1]Profiles, RES, Summer'!S$7</f>
        <v>8.6591730228823778</v>
      </c>
      <c r="T7" s="9">
        <f>VLOOKUP($A7,'RES installed'!$A$2:$C$7,3,FALSE)*'[1]Profiles, RES, Summer'!T$7</f>
        <v>8.8759534323564839</v>
      </c>
      <c r="U7" s="9">
        <f>VLOOKUP($A7,'RES installed'!$A$2:$C$7,3,FALSE)*'[1]Profiles, RES, Summer'!U$7</f>
        <v>10.170614211160176</v>
      </c>
      <c r="V7" s="9">
        <f>VLOOKUP($A7,'RES installed'!$A$2:$C$7,3,FALSE)*'[1]Profiles, RES, Summer'!V$7</f>
        <v>11.44118827780008</v>
      </c>
      <c r="W7" s="9">
        <f>VLOOKUP($A7,'RES installed'!$A$2:$C$7,3,FALSE)*'[1]Profiles, RES, Summer'!W$7</f>
        <v>11.049779205138497</v>
      </c>
      <c r="X7" s="9">
        <f>VLOOKUP($A7,'RES installed'!$A$2:$C$7,3,FALSE)*'[1]Profiles, RES, Summer'!X$7</f>
        <v>10.4656764351666</v>
      </c>
      <c r="Y7" s="9">
        <f>VLOOKUP($A7,'RES installed'!$A$2:$C$7,3,FALSE)*'[1]Profiles, RES, Summer'!Y$7</f>
        <v>10.27900441589723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1.1372251705837756E-2</v>
      </c>
      <c r="H8" s="6">
        <f>VLOOKUP($A8,'RES installed'!$A$2:$C$7,3,FALSE)*'[1]Profiles, RES, Summer'!H$4</f>
        <v>1.398786959818044</v>
      </c>
      <c r="I8" s="6">
        <f>VLOOKUP($A8,'RES installed'!$A$2:$C$7,3,FALSE)*'[1]Profiles, RES, Summer'!I$4</f>
        <v>6.618650492797574</v>
      </c>
      <c r="J8" s="6">
        <f>VLOOKUP($A8,'RES installed'!$A$2:$C$7,3,FALSE)*'[1]Profiles, RES, Summer'!J$4</f>
        <v>14.408642911296438</v>
      </c>
      <c r="K8" s="6">
        <f>VLOOKUP($A8,'RES installed'!$A$2:$C$7,3,FALSE)*'[1]Profiles, RES, Summer'!K$4</f>
        <v>22.244124336618651</v>
      </c>
      <c r="L8" s="6">
        <f>VLOOKUP($A8,'RES installed'!$A$2:$C$7,3,FALSE)*'[1]Profiles, RES, Summer'!L$4</f>
        <v>27.304776345716451</v>
      </c>
      <c r="M8" s="6">
        <f>VLOOKUP($A8,'RES installed'!$A$2:$C$7,3,FALSE)*'[1]Profiles, RES, Summer'!M$4</f>
        <v>29.203942380591357</v>
      </c>
      <c r="N8" s="6">
        <f>VLOOKUP($A8,'RES installed'!$A$2:$C$7,3,FALSE)*'[1]Profiles, RES, Summer'!N$4</f>
        <v>30</v>
      </c>
      <c r="O8" s="6">
        <f>VLOOKUP($A8,'RES installed'!$A$2:$C$7,3,FALSE)*'[1]Profiles, RES, Summer'!O$4</f>
        <v>29.476876421531461</v>
      </c>
      <c r="P8" s="6">
        <f>VLOOKUP($A8,'RES installed'!$A$2:$C$7,3,FALSE)*'[1]Profiles, RES, Summer'!P$4</f>
        <v>27.987111448066717</v>
      </c>
      <c r="Q8" s="6">
        <f>VLOOKUP($A8,'RES installed'!$A$2:$C$7,3,FALSE)*'[1]Profiles, RES, Summer'!Q$4</f>
        <v>24.768764215314633</v>
      </c>
      <c r="R8" s="6">
        <f>VLOOKUP($A8,'RES installed'!$A$2:$C$7,3,FALSE)*'[1]Profiles, RES, Summer'!R$4</f>
        <v>19.457922668688401</v>
      </c>
      <c r="S8" s="6">
        <f>VLOOKUP($A8,'RES installed'!$A$2:$C$7,3,FALSE)*'[1]Profiles, RES, Summer'!S$4</f>
        <v>11.576952236542835</v>
      </c>
      <c r="T8" s="6">
        <f>VLOOKUP($A8,'RES installed'!$A$2:$C$7,3,FALSE)*'[1]Profiles, RES, Summer'!T$4</f>
        <v>3.5367702805155421</v>
      </c>
      <c r="U8" s="6">
        <f>VLOOKUP($A8,'RES installed'!$A$2:$C$7,3,FALSE)*'[1]Profiles, RES, Summer'!U$4</f>
        <v>0.1592115238817286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3.7907505686125853E-3</v>
      </c>
      <c r="H9" s="6">
        <f>VLOOKUP($A9,'RES installed'!$A$2:$C$7,3,FALSE)*'[1]Profiles, RES, Summer'!H$4</f>
        <v>0.46626231993934797</v>
      </c>
      <c r="I9" s="6">
        <f>VLOOKUP($A9,'RES installed'!$A$2:$C$7,3,FALSE)*'[1]Profiles, RES, Summer'!I$4</f>
        <v>2.206216830932525</v>
      </c>
      <c r="J9" s="6">
        <f>VLOOKUP($A9,'RES installed'!$A$2:$C$7,3,FALSE)*'[1]Profiles, RES, Summer'!J$4</f>
        <v>4.8028809704321453</v>
      </c>
      <c r="K9" s="6">
        <f>VLOOKUP($A9,'RES installed'!$A$2:$C$7,3,FALSE)*'[1]Profiles, RES, Summer'!K$4</f>
        <v>7.4147081122062168</v>
      </c>
      <c r="L9" s="6">
        <f>VLOOKUP($A9,'RES installed'!$A$2:$C$7,3,FALSE)*'[1]Profiles, RES, Summer'!L$4</f>
        <v>9.1015921152388159</v>
      </c>
      <c r="M9" s="6">
        <f>VLOOKUP($A9,'RES installed'!$A$2:$C$7,3,FALSE)*'[1]Profiles, RES, Summer'!M$4</f>
        <v>9.7346474601971185</v>
      </c>
      <c r="N9" s="6">
        <f>VLOOKUP($A9,'RES installed'!$A$2:$C$7,3,FALSE)*'[1]Profiles, RES, Summer'!N$4</f>
        <v>10</v>
      </c>
      <c r="O9" s="6">
        <f>VLOOKUP($A9,'RES installed'!$A$2:$C$7,3,FALSE)*'[1]Profiles, RES, Summer'!O$4</f>
        <v>9.8256254738438216</v>
      </c>
      <c r="P9" s="6">
        <f>VLOOKUP($A9,'RES installed'!$A$2:$C$7,3,FALSE)*'[1]Profiles, RES, Summer'!P$4</f>
        <v>9.3290371493555728</v>
      </c>
      <c r="Q9" s="6">
        <f>VLOOKUP($A9,'RES installed'!$A$2:$C$7,3,FALSE)*'[1]Profiles, RES, Summer'!Q$4</f>
        <v>8.2562547384382121</v>
      </c>
      <c r="R9" s="6">
        <f>VLOOKUP($A9,'RES installed'!$A$2:$C$7,3,FALSE)*'[1]Profiles, RES, Summer'!R$4</f>
        <v>6.4859742228961341</v>
      </c>
      <c r="S9" s="6">
        <f>VLOOKUP($A9,'RES installed'!$A$2:$C$7,3,FALSE)*'[1]Profiles, RES, Summer'!S$4</f>
        <v>3.858984078847612</v>
      </c>
      <c r="T9" s="6">
        <f>VLOOKUP($A9,'RES installed'!$A$2:$C$7,3,FALSE)*'[1]Profiles, RES, Summer'!T$4</f>
        <v>1.178923426838514</v>
      </c>
      <c r="U9" s="6">
        <f>VLOOKUP($A9,'RES installed'!$A$2:$C$7,3,FALSE)*'[1]Profiles, RES, Summer'!U$4</f>
        <v>5.3070507960576198E-2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7.5815011372251705E-3</v>
      </c>
      <c r="H10" s="6">
        <f>VLOOKUP($A10,'RES installed'!$A$2:$C$7,3,FALSE)*'[1]Profiles, RES, Summer'!H$4</f>
        <v>0.93252463987869594</v>
      </c>
      <c r="I10" s="6">
        <f>VLOOKUP($A10,'RES installed'!$A$2:$C$7,3,FALSE)*'[1]Profiles, RES, Summer'!I$4</f>
        <v>4.4124336618650499</v>
      </c>
      <c r="J10" s="6">
        <f>VLOOKUP($A10,'RES installed'!$A$2:$C$7,3,FALSE)*'[1]Profiles, RES, Summer'!J$4</f>
        <v>9.6057619408642907</v>
      </c>
      <c r="K10" s="6">
        <f>VLOOKUP($A10,'RES installed'!$A$2:$C$7,3,FALSE)*'[1]Profiles, RES, Summer'!K$4</f>
        <v>14.829416224412434</v>
      </c>
      <c r="L10" s="6">
        <f>VLOOKUP($A10,'RES installed'!$A$2:$C$7,3,FALSE)*'[1]Profiles, RES, Summer'!L$4</f>
        <v>18.203184230477632</v>
      </c>
      <c r="M10" s="6">
        <f>VLOOKUP($A10,'RES installed'!$A$2:$C$7,3,FALSE)*'[1]Profiles, RES, Summer'!M$4</f>
        <v>19.469294920394237</v>
      </c>
      <c r="N10" s="6">
        <f>VLOOKUP($A10,'RES installed'!$A$2:$C$7,3,FALSE)*'[1]Profiles, RES, Summer'!N$4</f>
        <v>20</v>
      </c>
      <c r="O10" s="6">
        <f>VLOOKUP($A10,'RES installed'!$A$2:$C$7,3,FALSE)*'[1]Profiles, RES, Summer'!O$4</f>
        <v>19.651250947687643</v>
      </c>
      <c r="P10" s="6">
        <f>VLOOKUP($A10,'RES installed'!$A$2:$C$7,3,FALSE)*'[1]Profiles, RES, Summer'!P$4</f>
        <v>18.658074298711146</v>
      </c>
      <c r="Q10" s="6">
        <f>VLOOKUP($A10,'RES installed'!$A$2:$C$7,3,FALSE)*'[1]Profiles, RES, Summer'!Q$4</f>
        <v>16.512509476876424</v>
      </c>
      <c r="R10" s="6">
        <f>VLOOKUP($A10,'RES installed'!$A$2:$C$7,3,FALSE)*'[1]Profiles, RES, Summer'!R$4</f>
        <v>12.971948445792268</v>
      </c>
      <c r="S10" s="6">
        <f>VLOOKUP($A10,'RES installed'!$A$2:$C$7,3,FALSE)*'[1]Profiles, RES, Summer'!S$4</f>
        <v>7.7179681576952239</v>
      </c>
      <c r="T10" s="6">
        <f>VLOOKUP($A10,'RES installed'!$A$2:$C$7,3,FALSE)*'[1]Profiles, RES, Summer'!T$4</f>
        <v>2.3578468536770281</v>
      </c>
      <c r="U10" s="6">
        <f>VLOOKUP($A10,'RES installed'!$A$2:$C$7,3,FALSE)*'[1]Profiles, RES, Summer'!U$4</f>
        <v>0.1061410159211524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AA333-26E9-417B-A58C-EE721377156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8.1051786431152131</v>
      </c>
      <c r="C5" s="9">
        <f>VLOOKUP($A5,'RES installed'!$A$2:$C$7,3,FALSE)*'[1]Profiles, RES, Summer'!C$5</f>
        <v>7.4126856684062625</v>
      </c>
      <c r="D5" s="9">
        <f>VLOOKUP($A5,'RES installed'!$A$2:$C$7,3,FALSE)*'[1]Profiles, RES, Summer'!D$5</f>
        <v>6.4853472501003608</v>
      </c>
      <c r="E5" s="9">
        <f>VLOOKUP($A5,'RES installed'!$A$2:$C$7,3,FALSE)*'[1]Profiles, RES, Summer'!E$5</f>
        <v>6.461260537936572</v>
      </c>
      <c r="F5" s="9">
        <f>VLOOKUP($A5,'RES installed'!$A$2:$C$7,3,FALSE)*'[1]Profiles, RES, Summer'!F$5</f>
        <v>6.1180248896025695</v>
      </c>
      <c r="G5" s="9">
        <f>VLOOKUP($A5,'RES installed'!$A$2:$C$7,3,FALSE)*'[1]Profiles, RES, Summer'!G$5</f>
        <v>5.6362906463267768</v>
      </c>
      <c r="H5" s="9">
        <f>VLOOKUP($A5,'RES installed'!$A$2:$C$7,3,FALSE)*'[1]Profiles, RES, Summer'!H$5</f>
        <v>4.9558410276997193</v>
      </c>
      <c r="I5" s="9">
        <f>VLOOKUP($A5,'RES installed'!$A$2:$C$7,3,FALSE)*'[1]Profiles, RES, Summer'!I$5</f>
        <v>3.8960256924929744</v>
      </c>
      <c r="J5" s="9">
        <f>VLOOKUP($A5,'RES installed'!$A$2:$C$7,3,FALSE)*'[1]Profiles, RES, Summer'!J$5</f>
        <v>3.2396627860297067</v>
      </c>
      <c r="K5" s="9">
        <f>VLOOKUP($A5,'RES installed'!$A$2:$C$7,3,FALSE)*'[1]Profiles, RES, Summer'!K$5</f>
        <v>3.0289040545965475</v>
      </c>
      <c r="L5" s="9">
        <f>VLOOKUP($A5,'RES installed'!$A$2:$C$7,3,FALSE)*'[1]Profiles, RES, Summer'!L$5</f>
        <v>2.7880369329586512</v>
      </c>
      <c r="M5" s="9">
        <f>VLOOKUP($A5,'RES installed'!$A$2:$C$7,3,FALSE)*'[1]Profiles, RES, Summer'!M$5</f>
        <v>3.1372942593336011</v>
      </c>
      <c r="N5" s="9">
        <f>VLOOKUP($A5,'RES installed'!$A$2:$C$7,3,FALSE)*'[1]Profiles, RES, Summer'!N$5</f>
        <v>3.9441991168205535</v>
      </c>
      <c r="O5" s="9">
        <f>VLOOKUP($A5,'RES installed'!$A$2:$C$7,3,FALSE)*'[1]Profiles, RES, Summer'!O$5</f>
        <v>4.8956242472902449</v>
      </c>
      <c r="P5" s="9">
        <f>VLOOKUP($A5,'RES installed'!$A$2:$C$7,3,FALSE)*'[1]Profiles, RES, Summer'!P$5</f>
        <v>6.5335206744279404</v>
      </c>
      <c r="Q5" s="9">
        <f>VLOOKUP($A5,'RES installed'!$A$2:$C$7,3,FALSE)*'[1]Profiles, RES, Summer'!Q$5</f>
        <v>8.3400240867121642</v>
      </c>
      <c r="R5" s="9">
        <f>VLOOKUP($A5,'RES installed'!$A$2:$C$7,3,FALSE)*'[1]Profiles, RES, Summer'!R$5</f>
        <v>9.8574869530309108</v>
      </c>
      <c r="S5" s="9">
        <f>VLOOKUP($A5,'RES installed'!$A$2:$C$7,3,FALSE)*'[1]Profiles, RES, Summer'!S$5</f>
        <v>10.519871537535126</v>
      </c>
      <c r="T5" s="9">
        <f>VLOOKUP($A5,'RES installed'!$A$2:$C$7,3,FALSE)*'[1]Profiles, RES, Summer'!T$5</f>
        <v>11.320754716981133</v>
      </c>
      <c r="U5" s="9">
        <f>VLOOKUP($A5,'RES installed'!$A$2:$C$7,3,FALSE)*'[1]Profiles, RES, Summer'!U$5</f>
        <v>12.609393817743877</v>
      </c>
      <c r="V5" s="9">
        <f>VLOOKUP($A5,'RES installed'!$A$2:$C$7,3,FALSE)*'[1]Profiles, RES, Summer'!V$5</f>
        <v>13.904054596547573</v>
      </c>
      <c r="W5" s="9">
        <f>VLOOKUP($A5,'RES installed'!$A$2:$C$7,3,FALSE)*'[1]Profiles, RES, Summer'!W$5</f>
        <v>14.482135688478524</v>
      </c>
      <c r="X5" s="9">
        <f>VLOOKUP($A5,'RES installed'!$A$2:$C$7,3,FALSE)*'[1]Profiles, RES, Summer'!X$5</f>
        <v>14.548374146928943</v>
      </c>
      <c r="Y5" s="9">
        <f>VLOOKUP($A5,'RES installed'!$A$2:$C$7,3,FALSE)*'[1]Profiles, RES, Summer'!Y$5</f>
        <v>14.030509835407466</v>
      </c>
    </row>
    <row r="6" spans="1:25" x14ac:dyDescent="0.3">
      <c r="A6" s="8">
        <v>5</v>
      </c>
      <c r="B6" s="9">
        <f>VLOOKUP($A6,'RES installed'!$A$2:$C$7,3,FALSE)*'[1]Profiles, RES, Summer'!B$5</f>
        <v>5.403452428743476</v>
      </c>
      <c r="C6" s="9">
        <f>VLOOKUP($A6,'RES installed'!$A$2:$C$7,3,FALSE)*'[1]Profiles, RES, Summer'!C$5</f>
        <v>4.941790445604175</v>
      </c>
      <c r="D6" s="9">
        <f>VLOOKUP($A6,'RES installed'!$A$2:$C$7,3,FALSE)*'[1]Profiles, RES, Summer'!D$5</f>
        <v>4.3235648334002406</v>
      </c>
      <c r="E6" s="9">
        <f>VLOOKUP($A6,'RES installed'!$A$2:$C$7,3,FALSE)*'[1]Profiles, RES, Summer'!E$5</f>
        <v>4.3075070252910477</v>
      </c>
      <c r="F6" s="9">
        <f>VLOOKUP($A6,'RES installed'!$A$2:$C$7,3,FALSE)*'[1]Profiles, RES, Summer'!F$5</f>
        <v>4.0786832597350466</v>
      </c>
      <c r="G6" s="9">
        <f>VLOOKUP($A6,'RES installed'!$A$2:$C$7,3,FALSE)*'[1]Profiles, RES, Summer'!G$5</f>
        <v>3.7575270975511845</v>
      </c>
      <c r="H6" s="9">
        <f>VLOOKUP($A6,'RES installed'!$A$2:$C$7,3,FALSE)*'[1]Profiles, RES, Summer'!H$5</f>
        <v>3.3038940184664796</v>
      </c>
      <c r="I6" s="9">
        <f>VLOOKUP($A6,'RES installed'!$A$2:$C$7,3,FALSE)*'[1]Profiles, RES, Summer'!I$5</f>
        <v>2.5973504616619829</v>
      </c>
      <c r="J6" s="9">
        <f>VLOOKUP($A6,'RES installed'!$A$2:$C$7,3,FALSE)*'[1]Profiles, RES, Summer'!J$5</f>
        <v>2.1597751906864713</v>
      </c>
      <c r="K6" s="9">
        <f>VLOOKUP($A6,'RES installed'!$A$2:$C$7,3,FALSE)*'[1]Profiles, RES, Summer'!K$5</f>
        <v>2.019269369731032</v>
      </c>
      <c r="L6" s="9">
        <f>VLOOKUP($A6,'RES installed'!$A$2:$C$7,3,FALSE)*'[1]Profiles, RES, Summer'!L$5</f>
        <v>1.8586912886391007</v>
      </c>
      <c r="M6" s="9">
        <f>VLOOKUP($A6,'RES installed'!$A$2:$C$7,3,FALSE)*'[1]Profiles, RES, Summer'!M$5</f>
        <v>2.0915295062224009</v>
      </c>
      <c r="N6" s="9">
        <f>VLOOKUP($A6,'RES installed'!$A$2:$C$7,3,FALSE)*'[1]Profiles, RES, Summer'!N$5</f>
        <v>2.6294660778803691</v>
      </c>
      <c r="O6" s="9">
        <f>VLOOKUP($A6,'RES installed'!$A$2:$C$7,3,FALSE)*'[1]Profiles, RES, Summer'!O$5</f>
        <v>3.2637494981934969</v>
      </c>
      <c r="P6" s="9">
        <f>VLOOKUP($A6,'RES installed'!$A$2:$C$7,3,FALSE)*'[1]Profiles, RES, Summer'!P$5</f>
        <v>4.3556804496186272</v>
      </c>
      <c r="Q6" s="9">
        <f>VLOOKUP($A6,'RES installed'!$A$2:$C$7,3,FALSE)*'[1]Profiles, RES, Summer'!Q$5</f>
        <v>5.5600160578081095</v>
      </c>
      <c r="R6" s="9">
        <f>VLOOKUP($A6,'RES installed'!$A$2:$C$7,3,FALSE)*'[1]Profiles, RES, Summer'!R$5</f>
        <v>6.5716579686872745</v>
      </c>
      <c r="S6" s="9">
        <f>VLOOKUP($A6,'RES installed'!$A$2:$C$7,3,FALSE)*'[1]Profiles, RES, Summer'!S$5</f>
        <v>7.0132476916900846</v>
      </c>
      <c r="T6" s="9">
        <f>VLOOKUP($A6,'RES installed'!$A$2:$C$7,3,FALSE)*'[1]Profiles, RES, Summer'!T$5</f>
        <v>7.5471698113207548</v>
      </c>
      <c r="U6" s="9">
        <f>VLOOKUP($A6,'RES installed'!$A$2:$C$7,3,FALSE)*'[1]Profiles, RES, Summer'!U$5</f>
        <v>8.4062625451625852</v>
      </c>
      <c r="V6" s="9">
        <f>VLOOKUP($A6,'RES installed'!$A$2:$C$7,3,FALSE)*'[1]Profiles, RES, Summer'!V$5</f>
        <v>9.2693697310317145</v>
      </c>
      <c r="W6" s="9">
        <f>VLOOKUP($A6,'RES installed'!$A$2:$C$7,3,FALSE)*'[1]Profiles, RES, Summer'!W$5</f>
        <v>9.654757125652349</v>
      </c>
      <c r="X6" s="9">
        <f>VLOOKUP($A6,'RES installed'!$A$2:$C$7,3,FALSE)*'[1]Profiles, RES, Summer'!X$5</f>
        <v>9.6989160979526297</v>
      </c>
      <c r="Y6" s="9">
        <f>VLOOKUP($A6,'RES installed'!$A$2:$C$7,3,FALSE)*'[1]Profiles, RES, Summer'!Y$5</f>
        <v>9.3536732236049787</v>
      </c>
    </row>
    <row r="7" spans="1:25" x14ac:dyDescent="0.3">
      <c r="A7" s="8">
        <v>6</v>
      </c>
      <c r="B7" s="9">
        <f>VLOOKUP($A7,'RES installed'!$A$2:$C$7,3,FALSE)*'[1]Profiles, RES, Summer'!B$5</f>
        <v>8.1051786431152131</v>
      </c>
      <c r="C7" s="9">
        <f>VLOOKUP($A7,'RES installed'!$A$2:$C$7,3,FALSE)*'[1]Profiles, RES, Summer'!C$5</f>
        <v>7.4126856684062625</v>
      </c>
      <c r="D7" s="9">
        <f>VLOOKUP($A7,'RES installed'!$A$2:$C$7,3,FALSE)*'[1]Profiles, RES, Summer'!D$5</f>
        <v>6.4853472501003608</v>
      </c>
      <c r="E7" s="9">
        <f>VLOOKUP($A7,'RES installed'!$A$2:$C$7,3,FALSE)*'[1]Profiles, RES, Summer'!E$5</f>
        <v>6.461260537936572</v>
      </c>
      <c r="F7" s="9">
        <f>VLOOKUP($A7,'RES installed'!$A$2:$C$7,3,FALSE)*'[1]Profiles, RES, Summer'!F$5</f>
        <v>6.1180248896025695</v>
      </c>
      <c r="G7" s="9">
        <f>VLOOKUP($A7,'RES installed'!$A$2:$C$7,3,FALSE)*'[1]Profiles, RES, Summer'!G$5</f>
        <v>5.6362906463267768</v>
      </c>
      <c r="H7" s="9">
        <f>VLOOKUP($A7,'RES installed'!$A$2:$C$7,3,FALSE)*'[1]Profiles, RES, Summer'!H$5</f>
        <v>4.9558410276997193</v>
      </c>
      <c r="I7" s="9">
        <f>VLOOKUP($A7,'RES installed'!$A$2:$C$7,3,FALSE)*'[1]Profiles, RES, Summer'!I$5</f>
        <v>3.8960256924929744</v>
      </c>
      <c r="J7" s="9">
        <f>VLOOKUP($A7,'RES installed'!$A$2:$C$7,3,FALSE)*'[1]Profiles, RES, Summer'!J$5</f>
        <v>3.2396627860297067</v>
      </c>
      <c r="K7" s="9">
        <f>VLOOKUP($A7,'RES installed'!$A$2:$C$7,3,FALSE)*'[1]Profiles, RES, Summer'!K$5</f>
        <v>3.0289040545965475</v>
      </c>
      <c r="L7" s="9">
        <f>VLOOKUP($A7,'RES installed'!$A$2:$C$7,3,FALSE)*'[1]Profiles, RES, Summer'!L$5</f>
        <v>2.7880369329586512</v>
      </c>
      <c r="M7" s="9">
        <f>VLOOKUP($A7,'RES installed'!$A$2:$C$7,3,FALSE)*'[1]Profiles, RES, Summer'!M$5</f>
        <v>3.1372942593336011</v>
      </c>
      <c r="N7" s="9">
        <f>VLOOKUP($A7,'RES installed'!$A$2:$C$7,3,FALSE)*'[1]Profiles, RES, Summer'!N$5</f>
        <v>3.9441991168205535</v>
      </c>
      <c r="O7" s="9">
        <f>VLOOKUP($A7,'RES installed'!$A$2:$C$7,3,FALSE)*'[1]Profiles, RES, Summer'!O$5</f>
        <v>4.8956242472902449</v>
      </c>
      <c r="P7" s="9">
        <f>VLOOKUP($A7,'RES installed'!$A$2:$C$7,3,FALSE)*'[1]Profiles, RES, Summer'!P$5</f>
        <v>6.5335206744279404</v>
      </c>
      <c r="Q7" s="9">
        <f>VLOOKUP($A7,'RES installed'!$A$2:$C$7,3,FALSE)*'[1]Profiles, RES, Summer'!Q$5</f>
        <v>8.3400240867121642</v>
      </c>
      <c r="R7" s="9">
        <f>VLOOKUP($A7,'RES installed'!$A$2:$C$7,3,FALSE)*'[1]Profiles, RES, Summer'!R$5</f>
        <v>9.8574869530309108</v>
      </c>
      <c r="S7" s="9">
        <f>VLOOKUP($A7,'RES installed'!$A$2:$C$7,3,FALSE)*'[1]Profiles, RES, Summer'!S$5</f>
        <v>10.519871537535126</v>
      </c>
      <c r="T7" s="9">
        <f>VLOOKUP($A7,'RES installed'!$A$2:$C$7,3,FALSE)*'[1]Profiles, RES, Summer'!T$5</f>
        <v>11.320754716981133</v>
      </c>
      <c r="U7" s="9">
        <f>VLOOKUP($A7,'RES installed'!$A$2:$C$7,3,FALSE)*'[1]Profiles, RES, Summer'!U$5</f>
        <v>12.609393817743877</v>
      </c>
      <c r="V7" s="9">
        <f>VLOOKUP($A7,'RES installed'!$A$2:$C$7,3,FALSE)*'[1]Profiles, RES, Summer'!V$5</f>
        <v>13.904054596547573</v>
      </c>
      <c r="W7" s="9">
        <f>VLOOKUP($A7,'RES installed'!$A$2:$C$7,3,FALSE)*'[1]Profiles, RES, Summer'!W$5</f>
        <v>14.482135688478524</v>
      </c>
      <c r="X7" s="9">
        <f>VLOOKUP($A7,'RES installed'!$A$2:$C$7,3,FALSE)*'[1]Profiles, RES, Summer'!X$5</f>
        <v>14.548374146928943</v>
      </c>
      <c r="Y7" s="9">
        <f>VLOOKUP($A7,'RES installed'!$A$2:$C$7,3,FALSE)*'[1]Profiles, RES, Summer'!Y$5</f>
        <v>14.030509835407466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6.8233510235026537E-2</v>
      </c>
      <c r="H8" s="6">
        <f>VLOOKUP($A8,'RES installed'!$A$2:$C$7,3,FALSE)*'[1]Profiles, RES, Summer'!H$2</f>
        <v>2.0015163002274452</v>
      </c>
      <c r="I8" s="6">
        <f>VLOOKUP($A8,'RES installed'!$A$2:$C$7,3,FALSE)*'[1]Profiles, RES, Summer'!I$2</f>
        <v>8.3244882486732372</v>
      </c>
      <c r="J8" s="6">
        <f>VLOOKUP($A8,'RES installed'!$A$2:$C$7,3,FALSE)*'[1]Profiles, RES, Summer'!J$2</f>
        <v>17.240333586050038</v>
      </c>
      <c r="K8" s="6">
        <f>VLOOKUP($A8,'RES installed'!$A$2:$C$7,3,FALSE)*'[1]Profiles, RES, Summer'!K$2</f>
        <v>22.687642153146324</v>
      </c>
      <c r="L8" s="6">
        <f>VLOOKUP($A8,'RES installed'!$A$2:$C$7,3,FALSE)*'[1]Profiles, RES, Summer'!L$2</f>
        <v>26.065200909780135</v>
      </c>
      <c r="M8" s="6">
        <f>VLOOKUP($A8,'RES installed'!$A$2:$C$7,3,FALSE)*'[1]Profiles, RES, Summer'!M$2</f>
        <v>27.589082638362395</v>
      </c>
      <c r="N8" s="6">
        <f>VLOOKUP($A8,'RES installed'!$A$2:$C$7,3,FALSE)*'[1]Profiles, RES, Summer'!N$2</f>
        <v>28.203184230477635</v>
      </c>
      <c r="O8" s="6">
        <f>VLOOKUP($A8,'RES installed'!$A$2:$C$7,3,FALSE)*'[1]Profiles, RES, Summer'!O$2</f>
        <v>28.214556482183475</v>
      </c>
      <c r="P8" s="6">
        <f>VLOOKUP($A8,'RES installed'!$A$2:$C$7,3,FALSE)*'[1]Profiles, RES, Summer'!P$2</f>
        <v>27.247915087187263</v>
      </c>
      <c r="Q8" s="6">
        <f>VLOOKUP($A8,'RES installed'!$A$2:$C$7,3,FALSE)*'[1]Profiles, RES, Summer'!Q$2</f>
        <v>24.234268385140258</v>
      </c>
      <c r="R8" s="6">
        <f>VLOOKUP($A8,'RES installed'!$A$2:$C$7,3,FALSE)*'[1]Profiles, RES, Summer'!R$2</f>
        <v>19.423805913570888</v>
      </c>
      <c r="S8" s="6">
        <f>VLOOKUP($A8,'RES installed'!$A$2:$C$7,3,FALSE)*'[1]Profiles, RES, Summer'!S$2</f>
        <v>12.566338134950721</v>
      </c>
      <c r="T8" s="6">
        <f>VLOOKUP($A8,'RES installed'!$A$2:$C$7,3,FALSE)*'[1]Profiles, RES, Summer'!T$2</f>
        <v>4.3783169067475365</v>
      </c>
      <c r="U8" s="6">
        <f>VLOOKUP($A8,'RES installed'!$A$2:$C$7,3,FALSE)*'[1]Profiles, RES, Summer'!U$2</f>
        <v>0.3639120545868082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2.2744503411675512E-2</v>
      </c>
      <c r="H9" s="6">
        <f>VLOOKUP($A9,'RES installed'!$A$2:$C$7,3,FALSE)*'[1]Profiles, RES, Summer'!H$2</f>
        <v>0.66717210007581507</v>
      </c>
      <c r="I9" s="6">
        <f>VLOOKUP($A9,'RES installed'!$A$2:$C$7,3,FALSE)*'[1]Profiles, RES, Summer'!I$2</f>
        <v>2.7748294162244127</v>
      </c>
      <c r="J9" s="6">
        <f>VLOOKUP($A9,'RES installed'!$A$2:$C$7,3,FALSE)*'[1]Profiles, RES, Summer'!J$2</f>
        <v>5.7467778620166801</v>
      </c>
      <c r="K9" s="6">
        <f>VLOOKUP($A9,'RES installed'!$A$2:$C$7,3,FALSE)*'[1]Profiles, RES, Summer'!K$2</f>
        <v>7.5625473843821078</v>
      </c>
      <c r="L9" s="6">
        <f>VLOOKUP($A9,'RES installed'!$A$2:$C$7,3,FALSE)*'[1]Profiles, RES, Summer'!L$2</f>
        <v>8.6884003032600461</v>
      </c>
      <c r="M9" s="6">
        <f>VLOOKUP($A9,'RES installed'!$A$2:$C$7,3,FALSE)*'[1]Profiles, RES, Summer'!M$2</f>
        <v>9.1963608794541312</v>
      </c>
      <c r="N9" s="6">
        <f>VLOOKUP($A9,'RES installed'!$A$2:$C$7,3,FALSE)*'[1]Profiles, RES, Summer'!N$2</f>
        <v>9.4010614101592118</v>
      </c>
      <c r="O9" s="6">
        <f>VLOOKUP($A9,'RES installed'!$A$2:$C$7,3,FALSE)*'[1]Profiles, RES, Summer'!O$2</f>
        <v>9.4048521607278239</v>
      </c>
      <c r="P9" s="6">
        <f>VLOOKUP($A9,'RES installed'!$A$2:$C$7,3,FALSE)*'[1]Profiles, RES, Summer'!P$2</f>
        <v>9.0826383623957536</v>
      </c>
      <c r="Q9" s="6">
        <f>VLOOKUP($A9,'RES installed'!$A$2:$C$7,3,FALSE)*'[1]Profiles, RES, Summer'!Q$2</f>
        <v>8.0780894617134198</v>
      </c>
      <c r="R9" s="6">
        <f>VLOOKUP($A9,'RES installed'!$A$2:$C$7,3,FALSE)*'[1]Profiles, RES, Summer'!R$2</f>
        <v>6.474601971190296</v>
      </c>
      <c r="S9" s="6">
        <f>VLOOKUP($A9,'RES installed'!$A$2:$C$7,3,FALSE)*'[1]Profiles, RES, Summer'!S$2</f>
        <v>4.1887793783169069</v>
      </c>
      <c r="T9" s="6">
        <f>VLOOKUP($A9,'RES installed'!$A$2:$C$7,3,FALSE)*'[1]Profiles, RES, Summer'!T$2</f>
        <v>1.4594389689158453</v>
      </c>
      <c r="U9" s="6">
        <f>VLOOKUP($A9,'RES installed'!$A$2:$C$7,3,FALSE)*'[1]Profiles, RES, Summer'!U$2</f>
        <v>0.12130401819560273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4.5489006823351025E-2</v>
      </c>
      <c r="H10" s="6">
        <f>VLOOKUP($A10,'RES installed'!$A$2:$C$7,3,FALSE)*'[1]Profiles, RES, Summer'!H$2</f>
        <v>1.3343442001516301</v>
      </c>
      <c r="I10" s="6">
        <f>VLOOKUP($A10,'RES installed'!$A$2:$C$7,3,FALSE)*'[1]Profiles, RES, Summer'!I$2</f>
        <v>5.5496588324488254</v>
      </c>
      <c r="J10" s="6">
        <f>VLOOKUP($A10,'RES installed'!$A$2:$C$7,3,FALSE)*'[1]Profiles, RES, Summer'!J$2</f>
        <v>11.49355572403336</v>
      </c>
      <c r="K10" s="6">
        <f>VLOOKUP($A10,'RES installed'!$A$2:$C$7,3,FALSE)*'[1]Profiles, RES, Summer'!K$2</f>
        <v>15.125094768764216</v>
      </c>
      <c r="L10" s="6">
        <f>VLOOKUP($A10,'RES installed'!$A$2:$C$7,3,FALSE)*'[1]Profiles, RES, Summer'!L$2</f>
        <v>17.376800606520092</v>
      </c>
      <c r="M10" s="6">
        <f>VLOOKUP($A10,'RES installed'!$A$2:$C$7,3,FALSE)*'[1]Profiles, RES, Summer'!M$2</f>
        <v>18.392721758908262</v>
      </c>
      <c r="N10" s="6">
        <f>VLOOKUP($A10,'RES installed'!$A$2:$C$7,3,FALSE)*'[1]Profiles, RES, Summer'!N$2</f>
        <v>18.802122820318424</v>
      </c>
      <c r="O10" s="6">
        <f>VLOOKUP($A10,'RES installed'!$A$2:$C$7,3,FALSE)*'[1]Profiles, RES, Summer'!O$2</f>
        <v>18.809704321455648</v>
      </c>
      <c r="P10" s="6">
        <f>VLOOKUP($A10,'RES installed'!$A$2:$C$7,3,FALSE)*'[1]Profiles, RES, Summer'!P$2</f>
        <v>18.165276724791507</v>
      </c>
      <c r="Q10" s="6">
        <f>VLOOKUP($A10,'RES installed'!$A$2:$C$7,3,FALSE)*'[1]Profiles, RES, Summer'!Q$2</f>
        <v>16.15617892342684</v>
      </c>
      <c r="R10" s="6">
        <f>VLOOKUP($A10,'RES installed'!$A$2:$C$7,3,FALSE)*'[1]Profiles, RES, Summer'!R$2</f>
        <v>12.949203942380592</v>
      </c>
      <c r="S10" s="6">
        <f>VLOOKUP($A10,'RES installed'!$A$2:$C$7,3,FALSE)*'[1]Profiles, RES, Summer'!S$2</f>
        <v>8.3775587566338139</v>
      </c>
      <c r="T10" s="6">
        <f>VLOOKUP($A10,'RES installed'!$A$2:$C$7,3,FALSE)*'[1]Profiles, RES, Summer'!T$2</f>
        <v>2.9188779378316907</v>
      </c>
      <c r="U10" s="6">
        <f>VLOOKUP($A10,'RES installed'!$A$2:$C$7,3,FALSE)*'[1]Profiles, RES, Summer'!U$2</f>
        <v>0.24260803639120546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70B82-25CF-4E12-83AD-E927C94A30D0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8.5507828181453238</v>
      </c>
      <c r="C5" s="9">
        <f>VLOOKUP($A5,'RES installed'!$A$2:$C$7,3,FALSE)*'[1]Profiles, RES, Summer'!C$6</f>
        <v>7.9425933360096339</v>
      </c>
      <c r="D5" s="9">
        <f>VLOOKUP($A5,'RES installed'!$A$2:$C$7,3,FALSE)*'[1]Profiles, RES, Summer'!D$6</f>
        <v>8.0750702529104768</v>
      </c>
      <c r="E5" s="9">
        <f>VLOOKUP($A5,'RES installed'!$A$2:$C$7,3,FALSE)*'[1]Profiles, RES, Summer'!E$6</f>
        <v>7.298273785628262</v>
      </c>
      <c r="F5" s="9">
        <f>VLOOKUP($A5,'RES installed'!$A$2:$C$7,3,FALSE)*'[1]Profiles, RES, Summer'!F$6</f>
        <v>6.8285828984343633</v>
      </c>
      <c r="G5" s="9">
        <f>VLOOKUP($A5,'RES installed'!$A$2:$C$7,3,FALSE)*'[1]Profiles, RES, Summer'!G$6</f>
        <v>7.2501003613006825</v>
      </c>
      <c r="H5" s="9">
        <f>VLOOKUP($A5,'RES installed'!$A$2:$C$7,3,FALSE)*'[1]Profiles, RES, Summer'!H$6</f>
        <v>7.1718185467683657</v>
      </c>
      <c r="I5" s="9">
        <f>VLOOKUP($A5,'RES installed'!$A$2:$C$7,3,FALSE)*'[1]Profiles, RES, Summer'!I$6</f>
        <v>5.2870333199518269</v>
      </c>
      <c r="J5" s="9">
        <f>VLOOKUP($A5,'RES installed'!$A$2:$C$7,3,FALSE)*'[1]Profiles, RES, Summer'!J$6</f>
        <v>3.3841830590124449</v>
      </c>
      <c r="K5" s="9">
        <f>VLOOKUP($A5,'RES installed'!$A$2:$C$7,3,FALSE)*'[1]Profiles, RES, Summer'!K$6</f>
        <v>2.4628663187474906</v>
      </c>
      <c r="L5" s="9">
        <f>VLOOKUP($A5,'RES installed'!$A$2:$C$7,3,FALSE)*'[1]Profiles, RES, Summer'!L$6</f>
        <v>1.8606985146527497</v>
      </c>
      <c r="M5" s="9">
        <f>VLOOKUP($A5,'RES installed'!$A$2:$C$7,3,FALSE)*'[1]Profiles, RES, Summer'!M$6</f>
        <v>1.746286631874749</v>
      </c>
      <c r="N5" s="9">
        <f>VLOOKUP($A5,'RES installed'!$A$2:$C$7,3,FALSE)*'[1]Profiles, RES, Summer'!N$6</f>
        <v>2.18586912886391</v>
      </c>
      <c r="O5" s="9">
        <f>VLOOKUP($A5,'RES installed'!$A$2:$C$7,3,FALSE)*'[1]Profiles, RES, Summer'!O$6</f>
        <v>2.8362103572862303</v>
      </c>
      <c r="P5" s="9">
        <f>VLOOKUP($A5,'RES installed'!$A$2:$C$7,3,FALSE)*'[1]Profiles, RES, Summer'!P$6</f>
        <v>4.0405459654757125</v>
      </c>
      <c r="Q5" s="9">
        <f>VLOOKUP($A5,'RES installed'!$A$2:$C$7,3,FALSE)*'[1]Profiles, RES, Summer'!Q$6</f>
        <v>5.1003613006824562</v>
      </c>
      <c r="R5" s="9">
        <f>VLOOKUP($A5,'RES installed'!$A$2:$C$7,3,FALSE)*'[1]Profiles, RES, Summer'!R$6</f>
        <v>6.1059815335206746</v>
      </c>
      <c r="S5" s="9">
        <f>VLOOKUP($A5,'RES installed'!$A$2:$C$7,3,FALSE)*'[1]Profiles, RES, Summer'!S$6</f>
        <v>6.5214773183460464</v>
      </c>
      <c r="T5" s="9">
        <f>VLOOKUP($A5,'RES installed'!$A$2:$C$7,3,FALSE)*'[1]Profiles, RES, Summer'!T$6</f>
        <v>6.2023283821758328</v>
      </c>
      <c r="U5" s="9">
        <f>VLOOKUP($A5,'RES installed'!$A$2:$C$7,3,FALSE)*'[1]Profiles, RES, Summer'!U$6</f>
        <v>6.015656362906463</v>
      </c>
      <c r="V5" s="9">
        <f>VLOOKUP($A5,'RES installed'!$A$2:$C$7,3,FALSE)*'[1]Profiles, RES, Summer'!V$6</f>
        <v>6.0337213970293053</v>
      </c>
      <c r="W5" s="9">
        <f>VLOOKUP($A5,'RES installed'!$A$2:$C$7,3,FALSE)*'[1]Profiles, RES, Summer'!W$6</f>
        <v>5.5459654757125652</v>
      </c>
      <c r="X5" s="9">
        <f>VLOOKUP($A5,'RES installed'!$A$2:$C$7,3,FALSE)*'[1]Profiles, RES, Summer'!X$6</f>
        <v>5.1425130469690892</v>
      </c>
      <c r="Y5" s="9">
        <f>VLOOKUP($A5,'RES installed'!$A$2:$C$7,3,FALSE)*'[1]Profiles, RES, Summer'!Y$6</f>
        <v>5.2328382175832999</v>
      </c>
    </row>
    <row r="6" spans="1:25" x14ac:dyDescent="0.3">
      <c r="A6" s="8">
        <v>5</v>
      </c>
      <c r="B6" s="9">
        <f>VLOOKUP($A6,'RES installed'!$A$2:$C$7,3,FALSE)*'[1]Profiles, RES, Summer'!B$6</f>
        <v>5.7005218787635492</v>
      </c>
      <c r="C6" s="9">
        <f>VLOOKUP($A6,'RES installed'!$A$2:$C$7,3,FALSE)*'[1]Profiles, RES, Summer'!C$6</f>
        <v>5.2950622240064229</v>
      </c>
      <c r="D6" s="9">
        <f>VLOOKUP($A6,'RES installed'!$A$2:$C$7,3,FALSE)*'[1]Profiles, RES, Summer'!D$6</f>
        <v>5.3833801686069851</v>
      </c>
      <c r="E6" s="9">
        <f>VLOOKUP($A6,'RES installed'!$A$2:$C$7,3,FALSE)*'[1]Profiles, RES, Summer'!E$6</f>
        <v>4.8655158570855077</v>
      </c>
      <c r="F6" s="9">
        <f>VLOOKUP($A6,'RES installed'!$A$2:$C$7,3,FALSE)*'[1]Profiles, RES, Summer'!F$6</f>
        <v>4.5523885989562425</v>
      </c>
      <c r="G6" s="9">
        <f>VLOOKUP($A6,'RES installed'!$A$2:$C$7,3,FALSE)*'[1]Profiles, RES, Summer'!G$6</f>
        <v>4.8334002408671219</v>
      </c>
      <c r="H6" s="9">
        <f>VLOOKUP($A6,'RES installed'!$A$2:$C$7,3,FALSE)*'[1]Profiles, RES, Summer'!H$6</f>
        <v>4.7812123645122444</v>
      </c>
      <c r="I6" s="9">
        <f>VLOOKUP($A6,'RES installed'!$A$2:$C$7,3,FALSE)*'[1]Profiles, RES, Summer'!I$6</f>
        <v>3.5246888799678846</v>
      </c>
      <c r="J6" s="9">
        <f>VLOOKUP($A6,'RES installed'!$A$2:$C$7,3,FALSE)*'[1]Profiles, RES, Summer'!J$6</f>
        <v>2.2561220393416299</v>
      </c>
      <c r="K6" s="9">
        <f>VLOOKUP($A6,'RES installed'!$A$2:$C$7,3,FALSE)*'[1]Profiles, RES, Summer'!K$6</f>
        <v>1.6419108791649939</v>
      </c>
      <c r="L6" s="9">
        <f>VLOOKUP($A6,'RES installed'!$A$2:$C$7,3,FALSE)*'[1]Profiles, RES, Summer'!L$6</f>
        <v>1.2404656764351665</v>
      </c>
      <c r="M6" s="9">
        <f>VLOOKUP($A6,'RES installed'!$A$2:$C$7,3,FALSE)*'[1]Profiles, RES, Summer'!M$6</f>
        <v>1.1641910879164994</v>
      </c>
      <c r="N6" s="9">
        <f>VLOOKUP($A6,'RES installed'!$A$2:$C$7,3,FALSE)*'[1]Profiles, RES, Summer'!N$6</f>
        <v>1.4572460859092735</v>
      </c>
      <c r="O6" s="9">
        <f>VLOOKUP($A6,'RES installed'!$A$2:$C$7,3,FALSE)*'[1]Profiles, RES, Summer'!O$6</f>
        <v>1.8908069048574869</v>
      </c>
      <c r="P6" s="9">
        <f>VLOOKUP($A6,'RES installed'!$A$2:$C$7,3,FALSE)*'[1]Profiles, RES, Summer'!P$6</f>
        <v>2.693697310317142</v>
      </c>
      <c r="Q6" s="9">
        <f>VLOOKUP($A6,'RES installed'!$A$2:$C$7,3,FALSE)*'[1]Profiles, RES, Summer'!Q$6</f>
        <v>3.4002408671216378</v>
      </c>
      <c r="R6" s="9">
        <f>VLOOKUP($A6,'RES installed'!$A$2:$C$7,3,FALSE)*'[1]Profiles, RES, Summer'!R$6</f>
        <v>4.0706543556804498</v>
      </c>
      <c r="S6" s="9">
        <f>VLOOKUP($A6,'RES installed'!$A$2:$C$7,3,FALSE)*'[1]Profiles, RES, Summer'!S$6</f>
        <v>4.3476515455640303</v>
      </c>
      <c r="T6" s="9">
        <f>VLOOKUP($A6,'RES installed'!$A$2:$C$7,3,FALSE)*'[1]Profiles, RES, Summer'!T$6</f>
        <v>4.1348855881172222</v>
      </c>
      <c r="U6" s="9">
        <f>VLOOKUP($A6,'RES installed'!$A$2:$C$7,3,FALSE)*'[1]Profiles, RES, Summer'!U$6</f>
        <v>4.0104375752709753</v>
      </c>
      <c r="V6" s="9">
        <f>VLOOKUP($A6,'RES installed'!$A$2:$C$7,3,FALSE)*'[1]Profiles, RES, Summer'!V$6</f>
        <v>4.0224809313528702</v>
      </c>
      <c r="W6" s="9">
        <f>VLOOKUP($A6,'RES installed'!$A$2:$C$7,3,FALSE)*'[1]Profiles, RES, Summer'!W$6</f>
        <v>3.6973103171417101</v>
      </c>
      <c r="X6" s="9">
        <f>VLOOKUP($A6,'RES installed'!$A$2:$C$7,3,FALSE)*'[1]Profiles, RES, Summer'!X$6</f>
        <v>3.428342031312726</v>
      </c>
      <c r="Y6" s="9">
        <f>VLOOKUP($A6,'RES installed'!$A$2:$C$7,3,FALSE)*'[1]Profiles, RES, Summer'!Y$6</f>
        <v>3.4885588117221999</v>
      </c>
    </row>
    <row r="7" spans="1:25" x14ac:dyDescent="0.3">
      <c r="A7" s="8">
        <v>6</v>
      </c>
      <c r="B7" s="9">
        <f>VLOOKUP($A7,'RES installed'!$A$2:$C$7,3,FALSE)*'[1]Profiles, RES, Summer'!B$6</f>
        <v>8.5507828181453238</v>
      </c>
      <c r="C7" s="9">
        <f>VLOOKUP($A7,'RES installed'!$A$2:$C$7,3,FALSE)*'[1]Profiles, RES, Summer'!C$6</f>
        <v>7.9425933360096339</v>
      </c>
      <c r="D7" s="9">
        <f>VLOOKUP($A7,'RES installed'!$A$2:$C$7,3,FALSE)*'[1]Profiles, RES, Summer'!D$6</f>
        <v>8.0750702529104768</v>
      </c>
      <c r="E7" s="9">
        <f>VLOOKUP($A7,'RES installed'!$A$2:$C$7,3,FALSE)*'[1]Profiles, RES, Summer'!E$6</f>
        <v>7.298273785628262</v>
      </c>
      <c r="F7" s="9">
        <f>VLOOKUP($A7,'RES installed'!$A$2:$C$7,3,FALSE)*'[1]Profiles, RES, Summer'!F$6</f>
        <v>6.8285828984343633</v>
      </c>
      <c r="G7" s="9">
        <f>VLOOKUP($A7,'RES installed'!$A$2:$C$7,3,FALSE)*'[1]Profiles, RES, Summer'!G$6</f>
        <v>7.2501003613006825</v>
      </c>
      <c r="H7" s="9">
        <f>VLOOKUP($A7,'RES installed'!$A$2:$C$7,3,FALSE)*'[1]Profiles, RES, Summer'!H$6</f>
        <v>7.1718185467683657</v>
      </c>
      <c r="I7" s="9">
        <f>VLOOKUP($A7,'RES installed'!$A$2:$C$7,3,FALSE)*'[1]Profiles, RES, Summer'!I$6</f>
        <v>5.2870333199518269</v>
      </c>
      <c r="J7" s="9">
        <f>VLOOKUP($A7,'RES installed'!$A$2:$C$7,3,FALSE)*'[1]Profiles, RES, Summer'!J$6</f>
        <v>3.3841830590124449</v>
      </c>
      <c r="K7" s="9">
        <f>VLOOKUP($A7,'RES installed'!$A$2:$C$7,3,FALSE)*'[1]Profiles, RES, Summer'!K$6</f>
        <v>2.4628663187474906</v>
      </c>
      <c r="L7" s="9">
        <f>VLOOKUP($A7,'RES installed'!$A$2:$C$7,3,FALSE)*'[1]Profiles, RES, Summer'!L$6</f>
        <v>1.8606985146527497</v>
      </c>
      <c r="M7" s="9">
        <f>VLOOKUP($A7,'RES installed'!$A$2:$C$7,3,FALSE)*'[1]Profiles, RES, Summer'!M$6</f>
        <v>1.746286631874749</v>
      </c>
      <c r="N7" s="9">
        <f>VLOOKUP($A7,'RES installed'!$A$2:$C$7,3,FALSE)*'[1]Profiles, RES, Summer'!N$6</f>
        <v>2.18586912886391</v>
      </c>
      <c r="O7" s="9">
        <f>VLOOKUP($A7,'RES installed'!$A$2:$C$7,3,FALSE)*'[1]Profiles, RES, Summer'!O$6</f>
        <v>2.8362103572862303</v>
      </c>
      <c r="P7" s="9">
        <f>VLOOKUP($A7,'RES installed'!$A$2:$C$7,3,FALSE)*'[1]Profiles, RES, Summer'!P$6</f>
        <v>4.0405459654757125</v>
      </c>
      <c r="Q7" s="9">
        <f>VLOOKUP($A7,'RES installed'!$A$2:$C$7,3,FALSE)*'[1]Profiles, RES, Summer'!Q$6</f>
        <v>5.1003613006824562</v>
      </c>
      <c r="R7" s="9">
        <f>VLOOKUP($A7,'RES installed'!$A$2:$C$7,3,FALSE)*'[1]Profiles, RES, Summer'!R$6</f>
        <v>6.1059815335206746</v>
      </c>
      <c r="S7" s="9">
        <f>VLOOKUP($A7,'RES installed'!$A$2:$C$7,3,FALSE)*'[1]Profiles, RES, Summer'!S$6</f>
        <v>6.5214773183460464</v>
      </c>
      <c r="T7" s="9">
        <f>VLOOKUP($A7,'RES installed'!$A$2:$C$7,3,FALSE)*'[1]Profiles, RES, Summer'!T$6</f>
        <v>6.2023283821758328</v>
      </c>
      <c r="U7" s="9">
        <f>VLOOKUP($A7,'RES installed'!$A$2:$C$7,3,FALSE)*'[1]Profiles, RES, Summer'!U$6</f>
        <v>6.015656362906463</v>
      </c>
      <c r="V7" s="9">
        <f>VLOOKUP($A7,'RES installed'!$A$2:$C$7,3,FALSE)*'[1]Profiles, RES, Summer'!V$6</f>
        <v>6.0337213970293053</v>
      </c>
      <c r="W7" s="9">
        <f>VLOOKUP($A7,'RES installed'!$A$2:$C$7,3,FALSE)*'[1]Profiles, RES, Summer'!W$6</f>
        <v>5.5459654757125652</v>
      </c>
      <c r="X7" s="9">
        <f>VLOOKUP($A7,'RES installed'!$A$2:$C$7,3,FALSE)*'[1]Profiles, RES, Summer'!X$6</f>
        <v>5.1425130469690892</v>
      </c>
      <c r="Y7" s="9">
        <f>VLOOKUP($A7,'RES installed'!$A$2:$C$7,3,FALSE)*'[1]Profiles, RES, Summer'!Y$6</f>
        <v>5.2328382175832999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5.6861258529188781E-2</v>
      </c>
      <c r="H8" s="6">
        <f>VLOOKUP($A8,'RES installed'!$A$2:$C$7,3,FALSE)*'[1]Profiles, RES, Summer'!H$3</f>
        <v>2.3995451099317662</v>
      </c>
      <c r="I8" s="6">
        <f>VLOOKUP($A8,'RES installed'!$A$2:$C$7,3,FALSE)*'[1]Profiles, RES, Summer'!I$3</f>
        <v>9.6550416982562552</v>
      </c>
      <c r="J8" s="6">
        <f>VLOOKUP($A8,'RES installed'!$A$2:$C$7,3,FALSE)*'[1]Profiles, RES, Summer'!J$3</f>
        <v>17.649734647460196</v>
      </c>
      <c r="K8" s="6">
        <f>VLOOKUP($A8,'RES installed'!$A$2:$C$7,3,FALSE)*'[1]Profiles, RES, Summer'!K$3</f>
        <v>23.21076573161486</v>
      </c>
      <c r="L8" s="6">
        <f>VLOOKUP($A8,'RES installed'!$A$2:$C$7,3,FALSE)*'[1]Profiles, RES, Summer'!L$3</f>
        <v>26.997725549658831</v>
      </c>
      <c r="M8" s="6">
        <f>VLOOKUP($A8,'RES installed'!$A$2:$C$7,3,FALSE)*'[1]Profiles, RES, Summer'!M$3</f>
        <v>28.396512509476878</v>
      </c>
      <c r="N8" s="6">
        <f>VLOOKUP($A8,'RES installed'!$A$2:$C$7,3,FALSE)*'[1]Profiles, RES, Summer'!N$3</f>
        <v>28.476118271417739</v>
      </c>
      <c r="O8" s="6">
        <f>VLOOKUP($A8,'RES installed'!$A$2:$C$7,3,FALSE)*'[1]Profiles, RES, Summer'!O$3</f>
        <v>27.873388931008339</v>
      </c>
      <c r="P8" s="6">
        <f>VLOOKUP($A8,'RES installed'!$A$2:$C$7,3,FALSE)*'[1]Profiles, RES, Summer'!P$3</f>
        <v>26.986353297952995</v>
      </c>
      <c r="Q8" s="6">
        <f>VLOOKUP($A8,'RES installed'!$A$2:$C$7,3,FALSE)*'[1]Profiles, RES, Summer'!Q$3</f>
        <v>24.075056861258528</v>
      </c>
      <c r="R8" s="6">
        <f>VLOOKUP($A8,'RES installed'!$A$2:$C$7,3,FALSE)*'[1]Profiles, RES, Summer'!R$3</f>
        <v>19.332827899924187</v>
      </c>
      <c r="S8" s="6">
        <f>VLOOKUP($A8,'RES installed'!$A$2:$C$7,3,FALSE)*'[1]Profiles, RES, Summer'!S$3</f>
        <v>12.122820318423049</v>
      </c>
      <c r="T8" s="6">
        <f>VLOOKUP($A8,'RES installed'!$A$2:$C$7,3,FALSE)*'[1]Profiles, RES, Summer'!T$3</f>
        <v>3.9461713419257012</v>
      </c>
      <c r="U8" s="6">
        <f>VLOOKUP($A8,'RES installed'!$A$2:$C$7,3,FALSE)*'[1]Profiles, RES, Summer'!U$3</f>
        <v>0.26156178923426837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1.8953752843062926E-2</v>
      </c>
      <c r="H9" s="6">
        <f>VLOOKUP($A9,'RES installed'!$A$2:$C$7,3,FALSE)*'[1]Profiles, RES, Summer'!H$3</f>
        <v>0.79984836997725539</v>
      </c>
      <c r="I9" s="6">
        <f>VLOOKUP($A9,'RES installed'!$A$2:$C$7,3,FALSE)*'[1]Profiles, RES, Summer'!I$3</f>
        <v>3.2183472327520852</v>
      </c>
      <c r="J9" s="6">
        <f>VLOOKUP($A9,'RES installed'!$A$2:$C$7,3,FALSE)*'[1]Profiles, RES, Summer'!J$3</f>
        <v>5.8832448824867321</v>
      </c>
      <c r="K9" s="6">
        <f>VLOOKUP($A9,'RES installed'!$A$2:$C$7,3,FALSE)*'[1]Profiles, RES, Summer'!K$3</f>
        <v>7.7369219105382872</v>
      </c>
      <c r="L9" s="6">
        <f>VLOOKUP($A9,'RES installed'!$A$2:$C$7,3,FALSE)*'[1]Profiles, RES, Summer'!L$3</f>
        <v>8.9992418498862765</v>
      </c>
      <c r="M9" s="6">
        <f>VLOOKUP($A9,'RES installed'!$A$2:$C$7,3,FALSE)*'[1]Profiles, RES, Summer'!M$3</f>
        <v>9.4655041698256266</v>
      </c>
      <c r="N9" s="6">
        <f>VLOOKUP($A9,'RES installed'!$A$2:$C$7,3,FALSE)*'[1]Profiles, RES, Summer'!N$3</f>
        <v>9.4920394238059131</v>
      </c>
      <c r="O9" s="6">
        <f>VLOOKUP($A9,'RES installed'!$A$2:$C$7,3,FALSE)*'[1]Profiles, RES, Summer'!O$3</f>
        <v>9.2911296436694464</v>
      </c>
      <c r="P9" s="6">
        <f>VLOOKUP($A9,'RES installed'!$A$2:$C$7,3,FALSE)*'[1]Profiles, RES, Summer'!P$3</f>
        <v>8.9954510993176644</v>
      </c>
      <c r="Q9" s="6">
        <f>VLOOKUP($A9,'RES installed'!$A$2:$C$7,3,FALSE)*'[1]Profiles, RES, Summer'!Q$3</f>
        <v>8.0250189537528431</v>
      </c>
      <c r="R9" s="6">
        <f>VLOOKUP($A9,'RES installed'!$A$2:$C$7,3,FALSE)*'[1]Profiles, RES, Summer'!R$3</f>
        <v>6.4442759666413956</v>
      </c>
      <c r="S9" s="6">
        <f>VLOOKUP($A9,'RES installed'!$A$2:$C$7,3,FALSE)*'[1]Profiles, RES, Summer'!S$3</f>
        <v>4.040940106141016</v>
      </c>
      <c r="T9" s="6">
        <f>VLOOKUP($A9,'RES installed'!$A$2:$C$7,3,FALSE)*'[1]Profiles, RES, Summer'!T$3</f>
        <v>1.3153904473085669</v>
      </c>
      <c r="U9" s="6">
        <f>VLOOKUP($A9,'RES installed'!$A$2:$C$7,3,FALSE)*'[1]Profiles, RES, Summer'!U$3</f>
        <v>8.7187263078089466E-2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3.7907505686125852E-2</v>
      </c>
      <c r="H10" s="6">
        <f>VLOOKUP($A10,'RES installed'!$A$2:$C$7,3,FALSE)*'[1]Profiles, RES, Summer'!H$3</f>
        <v>1.5996967399545108</v>
      </c>
      <c r="I10" s="6">
        <f>VLOOKUP($A10,'RES installed'!$A$2:$C$7,3,FALSE)*'[1]Profiles, RES, Summer'!I$3</f>
        <v>6.4366944655041705</v>
      </c>
      <c r="J10" s="6">
        <f>VLOOKUP($A10,'RES installed'!$A$2:$C$7,3,FALSE)*'[1]Profiles, RES, Summer'!J$3</f>
        <v>11.766489764973464</v>
      </c>
      <c r="K10" s="6">
        <f>VLOOKUP($A10,'RES installed'!$A$2:$C$7,3,FALSE)*'[1]Profiles, RES, Summer'!K$3</f>
        <v>15.473843821076574</v>
      </c>
      <c r="L10" s="6">
        <f>VLOOKUP($A10,'RES installed'!$A$2:$C$7,3,FALSE)*'[1]Profiles, RES, Summer'!L$3</f>
        <v>17.998483699772553</v>
      </c>
      <c r="M10" s="6">
        <f>VLOOKUP($A10,'RES installed'!$A$2:$C$7,3,FALSE)*'[1]Profiles, RES, Summer'!M$3</f>
        <v>18.931008339651253</v>
      </c>
      <c r="N10" s="6">
        <f>VLOOKUP($A10,'RES installed'!$A$2:$C$7,3,FALSE)*'[1]Profiles, RES, Summer'!N$3</f>
        <v>18.984078847611826</v>
      </c>
      <c r="O10" s="6">
        <f>VLOOKUP($A10,'RES installed'!$A$2:$C$7,3,FALSE)*'[1]Profiles, RES, Summer'!O$3</f>
        <v>18.582259287338893</v>
      </c>
      <c r="P10" s="6">
        <f>VLOOKUP($A10,'RES installed'!$A$2:$C$7,3,FALSE)*'[1]Profiles, RES, Summer'!P$3</f>
        <v>17.990902198635329</v>
      </c>
      <c r="Q10" s="6">
        <f>VLOOKUP($A10,'RES installed'!$A$2:$C$7,3,FALSE)*'[1]Profiles, RES, Summer'!Q$3</f>
        <v>16.050037907505686</v>
      </c>
      <c r="R10" s="6">
        <f>VLOOKUP($A10,'RES installed'!$A$2:$C$7,3,FALSE)*'[1]Profiles, RES, Summer'!R$3</f>
        <v>12.888551933282791</v>
      </c>
      <c r="S10" s="6">
        <f>VLOOKUP($A10,'RES installed'!$A$2:$C$7,3,FALSE)*'[1]Profiles, RES, Summer'!S$3</f>
        <v>8.0818802122820319</v>
      </c>
      <c r="T10" s="6">
        <f>VLOOKUP($A10,'RES installed'!$A$2:$C$7,3,FALSE)*'[1]Profiles, RES, Summer'!T$3</f>
        <v>2.6307808946171338</v>
      </c>
      <c r="U10" s="6">
        <f>VLOOKUP($A10,'RES installed'!$A$2:$C$7,3,FALSE)*'[1]Profiles, RES, Summer'!U$3</f>
        <v>0.17437452615617893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F4843-2128-4444-8EC6-765145130A0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8.93014853472501</v>
      </c>
      <c r="C5" s="9">
        <f>VLOOKUP($A5,'RES installed'!$A$2:$C$7,3,FALSE)*'[1]Profiles, RES, Summer'!C$7</f>
        <v>8.0329185066238455</v>
      </c>
      <c r="D5" s="9">
        <f>VLOOKUP($A5,'RES installed'!$A$2:$C$7,3,FALSE)*'[1]Profiles, RES, Summer'!D$7</f>
        <v>6.7081493376154153</v>
      </c>
      <c r="E5" s="9">
        <f>VLOOKUP($A5,'RES installed'!$A$2:$C$7,3,FALSE)*'[1]Profiles, RES, Summer'!E$7</f>
        <v>6.340826977117624</v>
      </c>
      <c r="F5" s="9">
        <f>VLOOKUP($A5,'RES installed'!$A$2:$C$7,3,FALSE)*'[1]Profiles, RES, Summer'!F$7</f>
        <v>6.2384584504215175</v>
      </c>
      <c r="G5" s="9">
        <f>VLOOKUP($A5,'RES installed'!$A$2:$C$7,3,FALSE)*'[1]Profiles, RES, Summer'!G$7</f>
        <v>6.9971898835808908</v>
      </c>
      <c r="H5" s="9">
        <f>VLOOKUP($A5,'RES installed'!$A$2:$C$7,3,FALSE)*'[1]Profiles, RES, Summer'!H$7</f>
        <v>7.713769570453632</v>
      </c>
      <c r="I5" s="9">
        <f>VLOOKUP($A5,'RES installed'!$A$2:$C$7,3,FALSE)*'[1]Profiles, RES, Summer'!I$7</f>
        <v>7.9787234042553195</v>
      </c>
      <c r="J5" s="9">
        <f>VLOOKUP($A5,'RES installed'!$A$2:$C$7,3,FALSE)*'[1]Profiles, RES, Summer'!J$7</f>
        <v>6.4853472501003608</v>
      </c>
      <c r="K5" s="9">
        <f>VLOOKUP($A5,'RES installed'!$A$2:$C$7,3,FALSE)*'[1]Profiles, RES, Summer'!K$7</f>
        <v>5.0461661983139301</v>
      </c>
      <c r="L5" s="9">
        <f>VLOOKUP($A5,'RES installed'!$A$2:$C$7,3,FALSE)*'[1]Profiles, RES, Summer'!L$7</f>
        <v>4.5403452428743476</v>
      </c>
      <c r="M5" s="9">
        <f>VLOOKUP($A5,'RES installed'!$A$2:$C$7,3,FALSE)*'[1]Profiles, RES, Summer'!M$7</f>
        <v>4.0525893215576065</v>
      </c>
      <c r="N5" s="9">
        <f>VLOOKUP($A5,'RES installed'!$A$2:$C$7,3,FALSE)*'[1]Profiles, RES, Summer'!N$7</f>
        <v>4.3898032918506624</v>
      </c>
      <c r="O5" s="9">
        <f>VLOOKUP($A5,'RES installed'!$A$2:$C$7,3,FALSE)*'[1]Profiles, RES, Summer'!O$7</f>
        <v>5.8410276997189881</v>
      </c>
      <c r="P5" s="9">
        <f>VLOOKUP($A5,'RES installed'!$A$2:$C$7,3,FALSE)*'[1]Profiles, RES, Summer'!P$7</f>
        <v>7.3464472099558407</v>
      </c>
      <c r="Q5" s="9">
        <f>VLOOKUP($A5,'RES installed'!$A$2:$C$7,3,FALSE)*'[1]Profiles, RES, Summer'!Q$7</f>
        <v>7.7077478924126854</v>
      </c>
      <c r="R5" s="9">
        <f>VLOOKUP($A5,'RES installed'!$A$2:$C$7,3,FALSE)*'[1]Profiles, RES, Summer'!R$7</f>
        <v>8.3219590525893228</v>
      </c>
      <c r="S5" s="9">
        <f>VLOOKUP($A5,'RES installed'!$A$2:$C$7,3,FALSE)*'[1]Profiles, RES, Summer'!S$7</f>
        <v>8.6591730228823778</v>
      </c>
      <c r="T5" s="9">
        <f>VLOOKUP($A5,'RES installed'!$A$2:$C$7,3,FALSE)*'[1]Profiles, RES, Summer'!T$7</f>
        <v>8.8759534323564839</v>
      </c>
      <c r="U5" s="9">
        <f>VLOOKUP($A5,'RES installed'!$A$2:$C$7,3,FALSE)*'[1]Profiles, RES, Summer'!U$7</f>
        <v>10.170614211160176</v>
      </c>
      <c r="V5" s="9">
        <f>VLOOKUP($A5,'RES installed'!$A$2:$C$7,3,FALSE)*'[1]Profiles, RES, Summer'!V$7</f>
        <v>11.44118827780008</v>
      </c>
      <c r="W5" s="9">
        <f>VLOOKUP($A5,'RES installed'!$A$2:$C$7,3,FALSE)*'[1]Profiles, RES, Summer'!W$7</f>
        <v>11.049779205138497</v>
      </c>
      <c r="X5" s="9">
        <f>VLOOKUP($A5,'RES installed'!$A$2:$C$7,3,FALSE)*'[1]Profiles, RES, Summer'!X$7</f>
        <v>10.4656764351666</v>
      </c>
      <c r="Y5" s="9">
        <f>VLOOKUP($A5,'RES installed'!$A$2:$C$7,3,FALSE)*'[1]Profiles, RES, Summer'!Y$7</f>
        <v>10.27900441589723</v>
      </c>
    </row>
    <row r="6" spans="1:25" x14ac:dyDescent="0.3">
      <c r="A6" s="8">
        <v>5</v>
      </c>
      <c r="B6" s="9">
        <f>VLOOKUP($A6,'RES installed'!$A$2:$C$7,3,FALSE)*'[1]Profiles, RES, Summer'!B$7</f>
        <v>5.95343235648334</v>
      </c>
      <c r="C6" s="9">
        <f>VLOOKUP($A6,'RES installed'!$A$2:$C$7,3,FALSE)*'[1]Profiles, RES, Summer'!C$7</f>
        <v>5.3552790044158973</v>
      </c>
      <c r="D6" s="9">
        <f>VLOOKUP($A6,'RES installed'!$A$2:$C$7,3,FALSE)*'[1]Profiles, RES, Summer'!D$7</f>
        <v>4.4720995584102772</v>
      </c>
      <c r="E6" s="9">
        <f>VLOOKUP($A6,'RES installed'!$A$2:$C$7,3,FALSE)*'[1]Profiles, RES, Summer'!E$7</f>
        <v>4.2272179847450824</v>
      </c>
      <c r="F6" s="9">
        <f>VLOOKUP($A6,'RES installed'!$A$2:$C$7,3,FALSE)*'[1]Profiles, RES, Summer'!F$7</f>
        <v>4.1589723002810111</v>
      </c>
      <c r="G6" s="9">
        <f>VLOOKUP($A6,'RES installed'!$A$2:$C$7,3,FALSE)*'[1]Profiles, RES, Summer'!G$7</f>
        <v>4.6647932557205944</v>
      </c>
      <c r="H6" s="9">
        <f>VLOOKUP($A6,'RES installed'!$A$2:$C$7,3,FALSE)*'[1]Profiles, RES, Summer'!H$7</f>
        <v>5.1425130469690883</v>
      </c>
      <c r="I6" s="9">
        <f>VLOOKUP($A6,'RES installed'!$A$2:$C$7,3,FALSE)*'[1]Profiles, RES, Summer'!I$7</f>
        <v>5.3191489361702127</v>
      </c>
      <c r="J6" s="9">
        <f>VLOOKUP($A6,'RES installed'!$A$2:$C$7,3,FALSE)*'[1]Profiles, RES, Summer'!J$7</f>
        <v>4.3235648334002406</v>
      </c>
      <c r="K6" s="9">
        <f>VLOOKUP($A6,'RES installed'!$A$2:$C$7,3,FALSE)*'[1]Profiles, RES, Summer'!K$7</f>
        <v>3.3641107988759531</v>
      </c>
      <c r="L6" s="9">
        <f>VLOOKUP($A6,'RES installed'!$A$2:$C$7,3,FALSE)*'[1]Profiles, RES, Summer'!L$7</f>
        <v>3.0268968285828985</v>
      </c>
      <c r="M6" s="9">
        <f>VLOOKUP($A6,'RES installed'!$A$2:$C$7,3,FALSE)*'[1]Profiles, RES, Summer'!M$7</f>
        <v>2.701726214371738</v>
      </c>
      <c r="N6" s="9">
        <f>VLOOKUP($A6,'RES installed'!$A$2:$C$7,3,FALSE)*'[1]Profiles, RES, Summer'!N$7</f>
        <v>2.9265355279004419</v>
      </c>
      <c r="O6" s="9">
        <f>VLOOKUP($A6,'RES installed'!$A$2:$C$7,3,FALSE)*'[1]Profiles, RES, Summer'!O$7</f>
        <v>3.8940184664793254</v>
      </c>
      <c r="P6" s="9">
        <f>VLOOKUP($A6,'RES installed'!$A$2:$C$7,3,FALSE)*'[1]Profiles, RES, Summer'!P$7</f>
        <v>4.8976314733038944</v>
      </c>
      <c r="Q6" s="9">
        <f>VLOOKUP($A6,'RES installed'!$A$2:$C$7,3,FALSE)*'[1]Profiles, RES, Summer'!Q$7</f>
        <v>5.1384985949417903</v>
      </c>
      <c r="R6" s="9">
        <f>VLOOKUP($A6,'RES installed'!$A$2:$C$7,3,FALSE)*'[1]Profiles, RES, Summer'!R$7</f>
        <v>5.5479727017262146</v>
      </c>
      <c r="S6" s="9">
        <f>VLOOKUP($A6,'RES installed'!$A$2:$C$7,3,FALSE)*'[1]Profiles, RES, Summer'!S$7</f>
        <v>5.7727820152549185</v>
      </c>
      <c r="T6" s="9">
        <f>VLOOKUP($A6,'RES installed'!$A$2:$C$7,3,FALSE)*'[1]Profiles, RES, Summer'!T$7</f>
        <v>5.9173022882376554</v>
      </c>
      <c r="U6" s="9">
        <f>VLOOKUP($A6,'RES installed'!$A$2:$C$7,3,FALSE)*'[1]Profiles, RES, Summer'!U$7</f>
        <v>6.7804094741067846</v>
      </c>
      <c r="V6" s="9">
        <f>VLOOKUP($A6,'RES installed'!$A$2:$C$7,3,FALSE)*'[1]Profiles, RES, Summer'!V$7</f>
        <v>7.6274588518667201</v>
      </c>
      <c r="W6" s="9">
        <f>VLOOKUP($A6,'RES installed'!$A$2:$C$7,3,FALSE)*'[1]Profiles, RES, Summer'!W$7</f>
        <v>7.3665194700923315</v>
      </c>
      <c r="X6" s="9">
        <f>VLOOKUP($A6,'RES installed'!$A$2:$C$7,3,FALSE)*'[1]Profiles, RES, Summer'!X$7</f>
        <v>6.9771176234443999</v>
      </c>
      <c r="Y6" s="9">
        <f>VLOOKUP($A6,'RES installed'!$A$2:$C$7,3,FALSE)*'[1]Profiles, RES, Summer'!Y$7</f>
        <v>6.852669610598153</v>
      </c>
    </row>
    <row r="7" spans="1:25" x14ac:dyDescent="0.3">
      <c r="A7" s="8">
        <v>6</v>
      </c>
      <c r="B7" s="9">
        <f>VLOOKUP($A7,'RES installed'!$A$2:$C$7,3,FALSE)*'[1]Profiles, RES, Summer'!B$7</f>
        <v>8.93014853472501</v>
      </c>
      <c r="C7" s="9">
        <f>VLOOKUP($A7,'RES installed'!$A$2:$C$7,3,FALSE)*'[1]Profiles, RES, Summer'!C$7</f>
        <v>8.0329185066238455</v>
      </c>
      <c r="D7" s="9">
        <f>VLOOKUP($A7,'RES installed'!$A$2:$C$7,3,FALSE)*'[1]Profiles, RES, Summer'!D$7</f>
        <v>6.7081493376154153</v>
      </c>
      <c r="E7" s="9">
        <f>VLOOKUP($A7,'RES installed'!$A$2:$C$7,3,FALSE)*'[1]Profiles, RES, Summer'!E$7</f>
        <v>6.340826977117624</v>
      </c>
      <c r="F7" s="9">
        <f>VLOOKUP($A7,'RES installed'!$A$2:$C$7,3,FALSE)*'[1]Profiles, RES, Summer'!F$7</f>
        <v>6.2384584504215175</v>
      </c>
      <c r="G7" s="9">
        <f>VLOOKUP($A7,'RES installed'!$A$2:$C$7,3,FALSE)*'[1]Profiles, RES, Summer'!G$7</f>
        <v>6.9971898835808908</v>
      </c>
      <c r="H7" s="9">
        <f>VLOOKUP($A7,'RES installed'!$A$2:$C$7,3,FALSE)*'[1]Profiles, RES, Summer'!H$7</f>
        <v>7.713769570453632</v>
      </c>
      <c r="I7" s="9">
        <f>VLOOKUP($A7,'RES installed'!$A$2:$C$7,3,FALSE)*'[1]Profiles, RES, Summer'!I$7</f>
        <v>7.9787234042553195</v>
      </c>
      <c r="J7" s="9">
        <f>VLOOKUP($A7,'RES installed'!$A$2:$C$7,3,FALSE)*'[1]Profiles, RES, Summer'!J$7</f>
        <v>6.4853472501003608</v>
      </c>
      <c r="K7" s="9">
        <f>VLOOKUP($A7,'RES installed'!$A$2:$C$7,3,FALSE)*'[1]Profiles, RES, Summer'!K$7</f>
        <v>5.0461661983139301</v>
      </c>
      <c r="L7" s="9">
        <f>VLOOKUP($A7,'RES installed'!$A$2:$C$7,3,FALSE)*'[1]Profiles, RES, Summer'!L$7</f>
        <v>4.5403452428743476</v>
      </c>
      <c r="M7" s="9">
        <f>VLOOKUP($A7,'RES installed'!$A$2:$C$7,3,FALSE)*'[1]Profiles, RES, Summer'!M$7</f>
        <v>4.0525893215576065</v>
      </c>
      <c r="N7" s="9">
        <f>VLOOKUP($A7,'RES installed'!$A$2:$C$7,3,FALSE)*'[1]Profiles, RES, Summer'!N$7</f>
        <v>4.3898032918506624</v>
      </c>
      <c r="O7" s="9">
        <f>VLOOKUP($A7,'RES installed'!$A$2:$C$7,3,FALSE)*'[1]Profiles, RES, Summer'!O$7</f>
        <v>5.8410276997189881</v>
      </c>
      <c r="P7" s="9">
        <f>VLOOKUP($A7,'RES installed'!$A$2:$C$7,3,FALSE)*'[1]Profiles, RES, Summer'!P$7</f>
        <v>7.3464472099558407</v>
      </c>
      <c r="Q7" s="9">
        <f>VLOOKUP($A7,'RES installed'!$A$2:$C$7,3,FALSE)*'[1]Profiles, RES, Summer'!Q$7</f>
        <v>7.7077478924126854</v>
      </c>
      <c r="R7" s="9">
        <f>VLOOKUP($A7,'RES installed'!$A$2:$C$7,3,FALSE)*'[1]Profiles, RES, Summer'!R$7</f>
        <v>8.3219590525893228</v>
      </c>
      <c r="S7" s="9">
        <f>VLOOKUP($A7,'RES installed'!$A$2:$C$7,3,FALSE)*'[1]Profiles, RES, Summer'!S$7</f>
        <v>8.6591730228823778</v>
      </c>
      <c r="T7" s="9">
        <f>VLOOKUP($A7,'RES installed'!$A$2:$C$7,3,FALSE)*'[1]Profiles, RES, Summer'!T$7</f>
        <v>8.8759534323564839</v>
      </c>
      <c r="U7" s="9">
        <f>VLOOKUP($A7,'RES installed'!$A$2:$C$7,3,FALSE)*'[1]Profiles, RES, Summer'!U$7</f>
        <v>10.170614211160176</v>
      </c>
      <c r="V7" s="9">
        <f>VLOOKUP($A7,'RES installed'!$A$2:$C$7,3,FALSE)*'[1]Profiles, RES, Summer'!V$7</f>
        <v>11.44118827780008</v>
      </c>
      <c r="W7" s="9">
        <f>VLOOKUP($A7,'RES installed'!$A$2:$C$7,3,FALSE)*'[1]Profiles, RES, Summer'!W$7</f>
        <v>11.049779205138497</v>
      </c>
      <c r="X7" s="9">
        <f>VLOOKUP($A7,'RES installed'!$A$2:$C$7,3,FALSE)*'[1]Profiles, RES, Summer'!X$7</f>
        <v>10.4656764351666</v>
      </c>
      <c r="Y7" s="9">
        <f>VLOOKUP($A7,'RES installed'!$A$2:$C$7,3,FALSE)*'[1]Profiles, RES, Summer'!Y$7</f>
        <v>10.27900441589723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1.1372251705837756E-2</v>
      </c>
      <c r="H8" s="6">
        <f>VLOOKUP($A8,'RES installed'!$A$2:$C$7,3,FALSE)*'[1]Profiles, RES, Summer'!H$4</f>
        <v>1.398786959818044</v>
      </c>
      <c r="I8" s="6">
        <f>VLOOKUP($A8,'RES installed'!$A$2:$C$7,3,FALSE)*'[1]Profiles, RES, Summer'!I$4</f>
        <v>6.618650492797574</v>
      </c>
      <c r="J8" s="6">
        <f>VLOOKUP($A8,'RES installed'!$A$2:$C$7,3,FALSE)*'[1]Profiles, RES, Summer'!J$4</f>
        <v>14.408642911296438</v>
      </c>
      <c r="K8" s="6">
        <f>VLOOKUP($A8,'RES installed'!$A$2:$C$7,3,FALSE)*'[1]Profiles, RES, Summer'!K$4</f>
        <v>22.244124336618651</v>
      </c>
      <c r="L8" s="6">
        <f>VLOOKUP($A8,'RES installed'!$A$2:$C$7,3,FALSE)*'[1]Profiles, RES, Summer'!L$4</f>
        <v>27.304776345716451</v>
      </c>
      <c r="M8" s="6">
        <f>VLOOKUP($A8,'RES installed'!$A$2:$C$7,3,FALSE)*'[1]Profiles, RES, Summer'!M$4</f>
        <v>29.203942380591357</v>
      </c>
      <c r="N8" s="6">
        <f>VLOOKUP($A8,'RES installed'!$A$2:$C$7,3,FALSE)*'[1]Profiles, RES, Summer'!N$4</f>
        <v>30</v>
      </c>
      <c r="O8" s="6">
        <f>VLOOKUP($A8,'RES installed'!$A$2:$C$7,3,FALSE)*'[1]Profiles, RES, Summer'!O$4</f>
        <v>29.476876421531461</v>
      </c>
      <c r="P8" s="6">
        <f>VLOOKUP($A8,'RES installed'!$A$2:$C$7,3,FALSE)*'[1]Profiles, RES, Summer'!P$4</f>
        <v>27.987111448066717</v>
      </c>
      <c r="Q8" s="6">
        <f>VLOOKUP($A8,'RES installed'!$A$2:$C$7,3,FALSE)*'[1]Profiles, RES, Summer'!Q$4</f>
        <v>24.768764215314633</v>
      </c>
      <c r="R8" s="6">
        <f>VLOOKUP($A8,'RES installed'!$A$2:$C$7,3,FALSE)*'[1]Profiles, RES, Summer'!R$4</f>
        <v>19.457922668688401</v>
      </c>
      <c r="S8" s="6">
        <f>VLOOKUP($A8,'RES installed'!$A$2:$C$7,3,FALSE)*'[1]Profiles, RES, Summer'!S$4</f>
        <v>11.576952236542835</v>
      </c>
      <c r="T8" s="6">
        <f>VLOOKUP($A8,'RES installed'!$A$2:$C$7,3,FALSE)*'[1]Profiles, RES, Summer'!T$4</f>
        <v>3.5367702805155421</v>
      </c>
      <c r="U8" s="6">
        <f>VLOOKUP($A8,'RES installed'!$A$2:$C$7,3,FALSE)*'[1]Profiles, RES, Summer'!U$4</f>
        <v>0.1592115238817286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3.7907505686125853E-3</v>
      </c>
      <c r="H9" s="6">
        <f>VLOOKUP($A9,'RES installed'!$A$2:$C$7,3,FALSE)*'[1]Profiles, RES, Summer'!H$4</f>
        <v>0.46626231993934797</v>
      </c>
      <c r="I9" s="6">
        <f>VLOOKUP($A9,'RES installed'!$A$2:$C$7,3,FALSE)*'[1]Profiles, RES, Summer'!I$4</f>
        <v>2.206216830932525</v>
      </c>
      <c r="J9" s="6">
        <f>VLOOKUP($A9,'RES installed'!$A$2:$C$7,3,FALSE)*'[1]Profiles, RES, Summer'!J$4</f>
        <v>4.8028809704321453</v>
      </c>
      <c r="K9" s="6">
        <f>VLOOKUP($A9,'RES installed'!$A$2:$C$7,3,FALSE)*'[1]Profiles, RES, Summer'!K$4</f>
        <v>7.4147081122062168</v>
      </c>
      <c r="L9" s="6">
        <f>VLOOKUP($A9,'RES installed'!$A$2:$C$7,3,FALSE)*'[1]Profiles, RES, Summer'!L$4</f>
        <v>9.1015921152388159</v>
      </c>
      <c r="M9" s="6">
        <f>VLOOKUP($A9,'RES installed'!$A$2:$C$7,3,FALSE)*'[1]Profiles, RES, Summer'!M$4</f>
        <v>9.7346474601971185</v>
      </c>
      <c r="N9" s="6">
        <f>VLOOKUP($A9,'RES installed'!$A$2:$C$7,3,FALSE)*'[1]Profiles, RES, Summer'!N$4</f>
        <v>10</v>
      </c>
      <c r="O9" s="6">
        <f>VLOOKUP($A9,'RES installed'!$A$2:$C$7,3,FALSE)*'[1]Profiles, RES, Summer'!O$4</f>
        <v>9.8256254738438216</v>
      </c>
      <c r="P9" s="6">
        <f>VLOOKUP($A9,'RES installed'!$A$2:$C$7,3,FALSE)*'[1]Profiles, RES, Summer'!P$4</f>
        <v>9.3290371493555728</v>
      </c>
      <c r="Q9" s="6">
        <f>VLOOKUP($A9,'RES installed'!$A$2:$C$7,3,FALSE)*'[1]Profiles, RES, Summer'!Q$4</f>
        <v>8.2562547384382121</v>
      </c>
      <c r="R9" s="6">
        <f>VLOOKUP($A9,'RES installed'!$A$2:$C$7,3,FALSE)*'[1]Profiles, RES, Summer'!R$4</f>
        <v>6.4859742228961341</v>
      </c>
      <c r="S9" s="6">
        <f>VLOOKUP($A9,'RES installed'!$A$2:$C$7,3,FALSE)*'[1]Profiles, RES, Summer'!S$4</f>
        <v>3.858984078847612</v>
      </c>
      <c r="T9" s="6">
        <f>VLOOKUP($A9,'RES installed'!$A$2:$C$7,3,FALSE)*'[1]Profiles, RES, Summer'!T$4</f>
        <v>1.178923426838514</v>
      </c>
      <c r="U9" s="6">
        <f>VLOOKUP($A9,'RES installed'!$A$2:$C$7,3,FALSE)*'[1]Profiles, RES, Summer'!U$4</f>
        <v>5.3070507960576198E-2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7.5815011372251705E-3</v>
      </c>
      <c r="H10" s="6">
        <f>VLOOKUP($A10,'RES installed'!$A$2:$C$7,3,FALSE)*'[1]Profiles, RES, Summer'!H$4</f>
        <v>0.93252463987869594</v>
      </c>
      <c r="I10" s="6">
        <f>VLOOKUP($A10,'RES installed'!$A$2:$C$7,3,FALSE)*'[1]Profiles, RES, Summer'!I$4</f>
        <v>4.4124336618650499</v>
      </c>
      <c r="J10" s="6">
        <f>VLOOKUP($A10,'RES installed'!$A$2:$C$7,3,FALSE)*'[1]Profiles, RES, Summer'!J$4</f>
        <v>9.6057619408642907</v>
      </c>
      <c r="K10" s="6">
        <f>VLOOKUP($A10,'RES installed'!$A$2:$C$7,3,FALSE)*'[1]Profiles, RES, Summer'!K$4</f>
        <v>14.829416224412434</v>
      </c>
      <c r="L10" s="6">
        <f>VLOOKUP($A10,'RES installed'!$A$2:$C$7,3,FALSE)*'[1]Profiles, RES, Summer'!L$4</f>
        <v>18.203184230477632</v>
      </c>
      <c r="M10" s="6">
        <f>VLOOKUP($A10,'RES installed'!$A$2:$C$7,3,FALSE)*'[1]Profiles, RES, Summer'!M$4</f>
        <v>19.469294920394237</v>
      </c>
      <c r="N10" s="6">
        <f>VLOOKUP($A10,'RES installed'!$A$2:$C$7,3,FALSE)*'[1]Profiles, RES, Summer'!N$4</f>
        <v>20</v>
      </c>
      <c r="O10" s="6">
        <f>VLOOKUP($A10,'RES installed'!$A$2:$C$7,3,FALSE)*'[1]Profiles, RES, Summer'!O$4</f>
        <v>19.651250947687643</v>
      </c>
      <c r="P10" s="6">
        <f>VLOOKUP($A10,'RES installed'!$A$2:$C$7,3,FALSE)*'[1]Profiles, RES, Summer'!P$4</f>
        <v>18.658074298711146</v>
      </c>
      <c r="Q10" s="6">
        <f>VLOOKUP($A10,'RES installed'!$A$2:$C$7,3,FALSE)*'[1]Profiles, RES, Summer'!Q$4</f>
        <v>16.512509476876424</v>
      </c>
      <c r="R10" s="6">
        <f>VLOOKUP($A10,'RES installed'!$A$2:$C$7,3,FALSE)*'[1]Profiles, RES, Summer'!R$4</f>
        <v>12.971948445792268</v>
      </c>
      <c r="S10" s="6">
        <f>VLOOKUP($A10,'RES installed'!$A$2:$C$7,3,FALSE)*'[1]Profiles, RES, Summer'!S$4</f>
        <v>7.7179681576952239</v>
      </c>
      <c r="T10" s="6">
        <f>VLOOKUP($A10,'RES installed'!$A$2:$C$7,3,FALSE)*'[1]Profiles, RES, Summer'!T$4</f>
        <v>2.3578468536770281</v>
      </c>
      <c r="U10" s="6">
        <f>VLOOKUP($A10,'RES installed'!$A$2:$C$7,3,FALSE)*'[1]Profiles, RES, Summer'!U$4</f>
        <v>0.1061410159211524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944F0-7F15-48D3-B0E1-41FD5A2D6DC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8.1051786431152131</v>
      </c>
      <c r="C5" s="9">
        <f>VLOOKUP($A5,'RES installed'!$A$2:$C$7,3,FALSE)*'[1]Profiles, RES, Summer'!C$5</f>
        <v>7.4126856684062625</v>
      </c>
      <c r="D5" s="9">
        <f>VLOOKUP($A5,'RES installed'!$A$2:$C$7,3,FALSE)*'[1]Profiles, RES, Summer'!D$5</f>
        <v>6.4853472501003608</v>
      </c>
      <c r="E5" s="9">
        <f>VLOOKUP($A5,'RES installed'!$A$2:$C$7,3,FALSE)*'[1]Profiles, RES, Summer'!E$5</f>
        <v>6.461260537936572</v>
      </c>
      <c r="F5" s="9">
        <f>VLOOKUP($A5,'RES installed'!$A$2:$C$7,3,FALSE)*'[1]Profiles, RES, Summer'!F$5</f>
        <v>6.1180248896025695</v>
      </c>
      <c r="G5" s="9">
        <f>VLOOKUP($A5,'RES installed'!$A$2:$C$7,3,FALSE)*'[1]Profiles, RES, Summer'!G$5</f>
        <v>5.6362906463267768</v>
      </c>
      <c r="H5" s="9">
        <f>VLOOKUP($A5,'RES installed'!$A$2:$C$7,3,FALSE)*'[1]Profiles, RES, Summer'!H$5</f>
        <v>4.9558410276997193</v>
      </c>
      <c r="I5" s="9">
        <f>VLOOKUP($A5,'RES installed'!$A$2:$C$7,3,FALSE)*'[1]Profiles, RES, Summer'!I$5</f>
        <v>3.8960256924929744</v>
      </c>
      <c r="J5" s="9">
        <f>VLOOKUP($A5,'RES installed'!$A$2:$C$7,3,FALSE)*'[1]Profiles, RES, Summer'!J$5</f>
        <v>3.2396627860297067</v>
      </c>
      <c r="K5" s="9">
        <f>VLOOKUP($A5,'RES installed'!$A$2:$C$7,3,FALSE)*'[1]Profiles, RES, Summer'!K$5</f>
        <v>3.0289040545965475</v>
      </c>
      <c r="L5" s="9">
        <f>VLOOKUP($A5,'RES installed'!$A$2:$C$7,3,FALSE)*'[1]Profiles, RES, Summer'!L$5</f>
        <v>2.7880369329586512</v>
      </c>
      <c r="M5" s="9">
        <f>VLOOKUP($A5,'RES installed'!$A$2:$C$7,3,FALSE)*'[1]Profiles, RES, Summer'!M$5</f>
        <v>3.1372942593336011</v>
      </c>
      <c r="N5" s="9">
        <f>VLOOKUP($A5,'RES installed'!$A$2:$C$7,3,FALSE)*'[1]Profiles, RES, Summer'!N$5</f>
        <v>3.9441991168205535</v>
      </c>
      <c r="O5" s="9">
        <f>VLOOKUP($A5,'RES installed'!$A$2:$C$7,3,FALSE)*'[1]Profiles, RES, Summer'!O$5</f>
        <v>4.8956242472902449</v>
      </c>
      <c r="P5" s="9">
        <f>VLOOKUP($A5,'RES installed'!$A$2:$C$7,3,FALSE)*'[1]Profiles, RES, Summer'!P$5</f>
        <v>6.5335206744279404</v>
      </c>
      <c r="Q5" s="9">
        <f>VLOOKUP($A5,'RES installed'!$A$2:$C$7,3,FALSE)*'[1]Profiles, RES, Summer'!Q$5</f>
        <v>8.3400240867121642</v>
      </c>
      <c r="R5" s="9">
        <f>VLOOKUP($A5,'RES installed'!$A$2:$C$7,3,FALSE)*'[1]Profiles, RES, Summer'!R$5</f>
        <v>9.8574869530309108</v>
      </c>
      <c r="S5" s="9">
        <f>VLOOKUP($A5,'RES installed'!$A$2:$C$7,3,FALSE)*'[1]Profiles, RES, Summer'!S$5</f>
        <v>10.519871537535126</v>
      </c>
      <c r="T5" s="9">
        <f>VLOOKUP($A5,'RES installed'!$A$2:$C$7,3,FALSE)*'[1]Profiles, RES, Summer'!T$5</f>
        <v>11.320754716981133</v>
      </c>
      <c r="U5" s="9">
        <f>VLOOKUP($A5,'RES installed'!$A$2:$C$7,3,FALSE)*'[1]Profiles, RES, Summer'!U$5</f>
        <v>12.609393817743877</v>
      </c>
      <c r="V5" s="9">
        <f>VLOOKUP($A5,'RES installed'!$A$2:$C$7,3,FALSE)*'[1]Profiles, RES, Summer'!V$5</f>
        <v>13.904054596547573</v>
      </c>
      <c r="W5" s="9">
        <f>VLOOKUP($A5,'RES installed'!$A$2:$C$7,3,FALSE)*'[1]Profiles, RES, Summer'!W$5</f>
        <v>14.482135688478524</v>
      </c>
      <c r="X5" s="9">
        <f>VLOOKUP($A5,'RES installed'!$A$2:$C$7,3,FALSE)*'[1]Profiles, RES, Summer'!X$5</f>
        <v>14.548374146928943</v>
      </c>
      <c r="Y5" s="9">
        <f>VLOOKUP($A5,'RES installed'!$A$2:$C$7,3,FALSE)*'[1]Profiles, RES, Summer'!Y$5</f>
        <v>14.030509835407466</v>
      </c>
    </row>
    <row r="6" spans="1:25" x14ac:dyDescent="0.3">
      <c r="A6" s="8">
        <v>5</v>
      </c>
      <c r="B6" s="9">
        <f>VLOOKUP($A6,'RES installed'!$A$2:$C$7,3,FALSE)*'[1]Profiles, RES, Summer'!B$5</f>
        <v>5.403452428743476</v>
      </c>
      <c r="C6" s="9">
        <f>VLOOKUP($A6,'RES installed'!$A$2:$C$7,3,FALSE)*'[1]Profiles, RES, Summer'!C$5</f>
        <v>4.941790445604175</v>
      </c>
      <c r="D6" s="9">
        <f>VLOOKUP($A6,'RES installed'!$A$2:$C$7,3,FALSE)*'[1]Profiles, RES, Summer'!D$5</f>
        <v>4.3235648334002406</v>
      </c>
      <c r="E6" s="9">
        <f>VLOOKUP($A6,'RES installed'!$A$2:$C$7,3,FALSE)*'[1]Profiles, RES, Summer'!E$5</f>
        <v>4.3075070252910477</v>
      </c>
      <c r="F6" s="9">
        <f>VLOOKUP($A6,'RES installed'!$A$2:$C$7,3,FALSE)*'[1]Profiles, RES, Summer'!F$5</f>
        <v>4.0786832597350466</v>
      </c>
      <c r="G6" s="9">
        <f>VLOOKUP($A6,'RES installed'!$A$2:$C$7,3,FALSE)*'[1]Profiles, RES, Summer'!G$5</f>
        <v>3.7575270975511845</v>
      </c>
      <c r="H6" s="9">
        <f>VLOOKUP($A6,'RES installed'!$A$2:$C$7,3,FALSE)*'[1]Profiles, RES, Summer'!H$5</f>
        <v>3.3038940184664796</v>
      </c>
      <c r="I6" s="9">
        <f>VLOOKUP($A6,'RES installed'!$A$2:$C$7,3,FALSE)*'[1]Profiles, RES, Summer'!I$5</f>
        <v>2.5973504616619829</v>
      </c>
      <c r="J6" s="9">
        <f>VLOOKUP($A6,'RES installed'!$A$2:$C$7,3,FALSE)*'[1]Profiles, RES, Summer'!J$5</f>
        <v>2.1597751906864713</v>
      </c>
      <c r="K6" s="9">
        <f>VLOOKUP($A6,'RES installed'!$A$2:$C$7,3,FALSE)*'[1]Profiles, RES, Summer'!K$5</f>
        <v>2.019269369731032</v>
      </c>
      <c r="L6" s="9">
        <f>VLOOKUP($A6,'RES installed'!$A$2:$C$7,3,FALSE)*'[1]Profiles, RES, Summer'!L$5</f>
        <v>1.8586912886391007</v>
      </c>
      <c r="M6" s="9">
        <f>VLOOKUP($A6,'RES installed'!$A$2:$C$7,3,FALSE)*'[1]Profiles, RES, Summer'!M$5</f>
        <v>2.0915295062224009</v>
      </c>
      <c r="N6" s="9">
        <f>VLOOKUP($A6,'RES installed'!$A$2:$C$7,3,FALSE)*'[1]Profiles, RES, Summer'!N$5</f>
        <v>2.6294660778803691</v>
      </c>
      <c r="O6" s="9">
        <f>VLOOKUP($A6,'RES installed'!$A$2:$C$7,3,FALSE)*'[1]Profiles, RES, Summer'!O$5</f>
        <v>3.2637494981934969</v>
      </c>
      <c r="P6" s="9">
        <f>VLOOKUP($A6,'RES installed'!$A$2:$C$7,3,FALSE)*'[1]Profiles, RES, Summer'!P$5</f>
        <v>4.3556804496186272</v>
      </c>
      <c r="Q6" s="9">
        <f>VLOOKUP($A6,'RES installed'!$A$2:$C$7,3,FALSE)*'[1]Profiles, RES, Summer'!Q$5</f>
        <v>5.5600160578081095</v>
      </c>
      <c r="R6" s="9">
        <f>VLOOKUP($A6,'RES installed'!$A$2:$C$7,3,FALSE)*'[1]Profiles, RES, Summer'!R$5</f>
        <v>6.5716579686872745</v>
      </c>
      <c r="S6" s="9">
        <f>VLOOKUP($A6,'RES installed'!$A$2:$C$7,3,FALSE)*'[1]Profiles, RES, Summer'!S$5</f>
        <v>7.0132476916900846</v>
      </c>
      <c r="T6" s="9">
        <f>VLOOKUP($A6,'RES installed'!$A$2:$C$7,3,FALSE)*'[1]Profiles, RES, Summer'!T$5</f>
        <v>7.5471698113207548</v>
      </c>
      <c r="U6" s="9">
        <f>VLOOKUP($A6,'RES installed'!$A$2:$C$7,3,FALSE)*'[1]Profiles, RES, Summer'!U$5</f>
        <v>8.4062625451625852</v>
      </c>
      <c r="V6" s="9">
        <f>VLOOKUP($A6,'RES installed'!$A$2:$C$7,3,FALSE)*'[1]Profiles, RES, Summer'!V$5</f>
        <v>9.2693697310317145</v>
      </c>
      <c r="W6" s="9">
        <f>VLOOKUP($A6,'RES installed'!$A$2:$C$7,3,FALSE)*'[1]Profiles, RES, Summer'!W$5</f>
        <v>9.654757125652349</v>
      </c>
      <c r="X6" s="9">
        <f>VLOOKUP($A6,'RES installed'!$A$2:$C$7,3,FALSE)*'[1]Profiles, RES, Summer'!X$5</f>
        <v>9.6989160979526297</v>
      </c>
      <c r="Y6" s="9">
        <f>VLOOKUP($A6,'RES installed'!$A$2:$C$7,3,FALSE)*'[1]Profiles, RES, Summer'!Y$5</f>
        <v>9.3536732236049787</v>
      </c>
    </row>
    <row r="7" spans="1:25" x14ac:dyDescent="0.3">
      <c r="A7" s="8">
        <v>6</v>
      </c>
      <c r="B7" s="9">
        <f>VLOOKUP($A7,'RES installed'!$A$2:$C$7,3,FALSE)*'[1]Profiles, RES, Summer'!B$5</f>
        <v>8.1051786431152131</v>
      </c>
      <c r="C7" s="9">
        <f>VLOOKUP($A7,'RES installed'!$A$2:$C$7,3,FALSE)*'[1]Profiles, RES, Summer'!C$5</f>
        <v>7.4126856684062625</v>
      </c>
      <c r="D7" s="9">
        <f>VLOOKUP($A7,'RES installed'!$A$2:$C$7,3,FALSE)*'[1]Profiles, RES, Summer'!D$5</f>
        <v>6.4853472501003608</v>
      </c>
      <c r="E7" s="9">
        <f>VLOOKUP($A7,'RES installed'!$A$2:$C$7,3,FALSE)*'[1]Profiles, RES, Summer'!E$5</f>
        <v>6.461260537936572</v>
      </c>
      <c r="F7" s="9">
        <f>VLOOKUP($A7,'RES installed'!$A$2:$C$7,3,FALSE)*'[1]Profiles, RES, Summer'!F$5</f>
        <v>6.1180248896025695</v>
      </c>
      <c r="G7" s="9">
        <f>VLOOKUP($A7,'RES installed'!$A$2:$C$7,3,FALSE)*'[1]Profiles, RES, Summer'!G$5</f>
        <v>5.6362906463267768</v>
      </c>
      <c r="H7" s="9">
        <f>VLOOKUP($A7,'RES installed'!$A$2:$C$7,3,FALSE)*'[1]Profiles, RES, Summer'!H$5</f>
        <v>4.9558410276997193</v>
      </c>
      <c r="I7" s="9">
        <f>VLOOKUP($A7,'RES installed'!$A$2:$C$7,3,FALSE)*'[1]Profiles, RES, Summer'!I$5</f>
        <v>3.8960256924929744</v>
      </c>
      <c r="J7" s="9">
        <f>VLOOKUP($A7,'RES installed'!$A$2:$C$7,3,FALSE)*'[1]Profiles, RES, Summer'!J$5</f>
        <v>3.2396627860297067</v>
      </c>
      <c r="K7" s="9">
        <f>VLOOKUP($A7,'RES installed'!$A$2:$C$7,3,FALSE)*'[1]Profiles, RES, Summer'!K$5</f>
        <v>3.0289040545965475</v>
      </c>
      <c r="L7" s="9">
        <f>VLOOKUP($A7,'RES installed'!$A$2:$C$7,3,FALSE)*'[1]Profiles, RES, Summer'!L$5</f>
        <v>2.7880369329586512</v>
      </c>
      <c r="M7" s="9">
        <f>VLOOKUP($A7,'RES installed'!$A$2:$C$7,3,FALSE)*'[1]Profiles, RES, Summer'!M$5</f>
        <v>3.1372942593336011</v>
      </c>
      <c r="N7" s="9">
        <f>VLOOKUP($A7,'RES installed'!$A$2:$C$7,3,FALSE)*'[1]Profiles, RES, Summer'!N$5</f>
        <v>3.9441991168205535</v>
      </c>
      <c r="O7" s="9">
        <f>VLOOKUP($A7,'RES installed'!$A$2:$C$7,3,FALSE)*'[1]Profiles, RES, Summer'!O$5</f>
        <v>4.8956242472902449</v>
      </c>
      <c r="P7" s="9">
        <f>VLOOKUP($A7,'RES installed'!$A$2:$C$7,3,FALSE)*'[1]Profiles, RES, Summer'!P$5</f>
        <v>6.5335206744279404</v>
      </c>
      <c r="Q7" s="9">
        <f>VLOOKUP($A7,'RES installed'!$A$2:$C$7,3,FALSE)*'[1]Profiles, RES, Summer'!Q$5</f>
        <v>8.3400240867121642</v>
      </c>
      <c r="R7" s="9">
        <f>VLOOKUP($A7,'RES installed'!$A$2:$C$7,3,FALSE)*'[1]Profiles, RES, Summer'!R$5</f>
        <v>9.8574869530309108</v>
      </c>
      <c r="S7" s="9">
        <f>VLOOKUP($A7,'RES installed'!$A$2:$C$7,3,FALSE)*'[1]Profiles, RES, Summer'!S$5</f>
        <v>10.519871537535126</v>
      </c>
      <c r="T7" s="9">
        <f>VLOOKUP($A7,'RES installed'!$A$2:$C$7,3,FALSE)*'[1]Profiles, RES, Summer'!T$5</f>
        <v>11.320754716981133</v>
      </c>
      <c r="U7" s="9">
        <f>VLOOKUP($A7,'RES installed'!$A$2:$C$7,3,FALSE)*'[1]Profiles, RES, Summer'!U$5</f>
        <v>12.609393817743877</v>
      </c>
      <c r="V7" s="9">
        <f>VLOOKUP($A7,'RES installed'!$A$2:$C$7,3,FALSE)*'[1]Profiles, RES, Summer'!V$5</f>
        <v>13.904054596547573</v>
      </c>
      <c r="W7" s="9">
        <f>VLOOKUP($A7,'RES installed'!$A$2:$C$7,3,FALSE)*'[1]Profiles, RES, Summer'!W$5</f>
        <v>14.482135688478524</v>
      </c>
      <c r="X7" s="9">
        <f>VLOOKUP($A7,'RES installed'!$A$2:$C$7,3,FALSE)*'[1]Profiles, RES, Summer'!X$5</f>
        <v>14.548374146928943</v>
      </c>
      <c r="Y7" s="9">
        <f>VLOOKUP($A7,'RES installed'!$A$2:$C$7,3,FALSE)*'[1]Profiles, RES, Summer'!Y$5</f>
        <v>14.030509835407466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6.8233510235026537E-2</v>
      </c>
      <c r="H8" s="6">
        <f>VLOOKUP($A8,'RES installed'!$A$2:$C$7,3,FALSE)*'[1]Profiles, RES, Summer'!H$2</f>
        <v>2.0015163002274452</v>
      </c>
      <c r="I8" s="6">
        <f>VLOOKUP($A8,'RES installed'!$A$2:$C$7,3,FALSE)*'[1]Profiles, RES, Summer'!I$2</f>
        <v>8.3244882486732372</v>
      </c>
      <c r="J8" s="6">
        <f>VLOOKUP($A8,'RES installed'!$A$2:$C$7,3,FALSE)*'[1]Profiles, RES, Summer'!J$2</f>
        <v>17.240333586050038</v>
      </c>
      <c r="K8" s="6">
        <f>VLOOKUP($A8,'RES installed'!$A$2:$C$7,3,FALSE)*'[1]Profiles, RES, Summer'!K$2</f>
        <v>22.687642153146324</v>
      </c>
      <c r="L8" s="6">
        <f>VLOOKUP($A8,'RES installed'!$A$2:$C$7,3,FALSE)*'[1]Profiles, RES, Summer'!L$2</f>
        <v>26.065200909780135</v>
      </c>
      <c r="M8" s="6">
        <f>VLOOKUP($A8,'RES installed'!$A$2:$C$7,3,FALSE)*'[1]Profiles, RES, Summer'!M$2</f>
        <v>27.589082638362395</v>
      </c>
      <c r="N8" s="6">
        <f>VLOOKUP($A8,'RES installed'!$A$2:$C$7,3,FALSE)*'[1]Profiles, RES, Summer'!N$2</f>
        <v>28.203184230477635</v>
      </c>
      <c r="O8" s="6">
        <f>VLOOKUP($A8,'RES installed'!$A$2:$C$7,3,FALSE)*'[1]Profiles, RES, Summer'!O$2</f>
        <v>28.214556482183475</v>
      </c>
      <c r="P8" s="6">
        <f>VLOOKUP($A8,'RES installed'!$A$2:$C$7,3,FALSE)*'[1]Profiles, RES, Summer'!P$2</f>
        <v>27.247915087187263</v>
      </c>
      <c r="Q8" s="6">
        <f>VLOOKUP($A8,'RES installed'!$A$2:$C$7,3,FALSE)*'[1]Profiles, RES, Summer'!Q$2</f>
        <v>24.234268385140258</v>
      </c>
      <c r="R8" s="6">
        <f>VLOOKUP($A8,'RES installed'!$A$2:$C$7,3,FALSE)*'[1]Profiles, RES, Summer'!R$2</f>
        <v>19.423805913570888</v>
      </c>
      <c r="S8" s="6">
        <f>VLOOKUP($A8,'RES installed'!$A$2:$C$7,3,FALSE)*'[1]Profiles, RES, Summer'!S$2</f>
        <v>12.566338134950721</v>
      </c>
      <c r="T8" s="6">
        <f>VLOOKUP($A8,'RES installed'!$A$2:$C$7,3,FALSE)*'[1]Profiles, RES, Summer'!T$2</f>
        <v>4.3783169067475365</v>
      </c>
      <c r="U8" s="6">
        <f>VLOOKUP($A8,'RES installed'!$A$2:$C$7,3,FALSE)*'[1]Profiles, RES, Summer'!U$2</f>
        <v>0.3639120545868082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2.2744503411675512E-2</v>
      </c>
      <c r="H9" s="6">
        <f>VLOOKUP($A9,'RES installed'!$A$2:$C$7,3,FALSE)*'[1]Profiles, RES, Summer'!H$2</f>
        <v>0.66717210007581507</v>
      </c>
      <c r="I9" s="6">
        <f>VLOOKUP($A9,'RES installed'!$A$2:$C$7,3,FALSE)*'[1]Profiles, RES, Summer'!I$2</f>
        <v>2.7748294162244127</v>
      </c>
      <c r="J9" s="6">
        <f>VLOOKUP($A9,'RES installed'!$A$2:$C$7,3,FALSE)*'[1]Profiles, RES, Summer'!J$2</f>
        <v>5.7467778620166801</v>
      </c>
      <c r="K9" s="6">
        <f>VLOOKUP($A9,'RES installed'!$A$2:$C$7,3,FALSE)*'[1]Profiles, RES, Summer'!K$2</f>
        <v>7.5625473843821078</v>
      </c>
      <c r="L9" s="6">
        <f>VLOOKUP($A9,'RES installed'!$A$2:$C$7,3,FALSE)*'[1]Profiles, RES, Summer'!L$2</f>
        <v>8.6884003032600461</v>
      </c>
      <c r="M9" s="6">
        <f>VLOOKUP($A9,'RES installed'!$A$2:$C$7,3,FALSE)*'[1]Profiles, RES, Summer'!M$2</f>
        <v>9.1963608794541312</v>
      </c>
      <c r="N9" s="6">
        <f>VLOOKUP($A9,'RES installed'!$A$2:$C$7,3,FALSE)*'[1]Profiles, RES, Summer'!N$2</f>
        <v>9.4010614101592118</v>
      </c>
      <c r="O9" s="6">
        <f>VLOOKUP($A9,'RES installed'!$A$2:$C$7,3,FALSE)*'[1]Profiles, RES, Summer'!O$2</f>
        <v>9.4048521607278239</v>
      </c>
      <c r="P9" s="6">
        <f>VLOOKUP($A9,'RES installed'!$A$2:$C$7,3,FALSE)*'[1]Profiles, RES, Summer'!P$2</f>
        <v>9.0826383623957536</v>
      </c>
      <c r="Q9" s="6">
        <f>VLOOKUP($A9,'RES installed'!$A$2:$C$7,3,FALSE)*'[1]Profiles, RES, Summer'!Q$2</f>
        <v>8.0780894617134198</v>
      </c>
      <c r="R9" s="6">
        <f>VLOOKUP($A9,'RES installed'!$A$2:$C$7,3,FALSE)*'[1]Profiles, RES, Summer'!R$2</f>
        <v>6.474601971190296</v>
      </c>
      <c r="S9" s="6">
        <f>VLOOKUP($A9,'RES installed'!$A$2:$C$7,3,FALSE)*'[1]Profiles, RES, Summer'!S$2</f>
        <v>4.1887793783169069</v>
      </c>
      <c r="T9" s="6">
        <f>VLOOKUP($A9,'RES installed'!$A$2:$C$7,3,FALSE)*'[1]Profiles, RES, Summer'!T$2</f>
        <v>1.4594389689158453</v>
      </c>
      <c r="U9" s="6">
        <f>VLOOKUP($A9,'RES installed'!$A$2:$C$7,3,FALSE)*'[1]Profiles, RES, Summer'!U$2</f>
        <v>0.12130401819560273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4.5489006823351025E-2</v>
      </c>
      <c r="H10" s="6">
        <f>VLOOKUP($A10,'RES installed'!$A$2:$C$7,3,FALSE)*'[1]Profiles, RES, Summer'!H$2</f>
        <v>1.3343442001516301</v>
      </c>
      <c r="I10" s="6">
        <f>VLOOKUP($A10,'RES installed'!$A$2:$C$7,3,FALSE)*'[1]Profiles, RES, Summer'!I$2</f>
        <v>5.5496588324488254</v>
      </c>
      <c r="J10" s="6">
        <f>VLOOKUP($A10,'RES installed'!$A$2:$C$7,3,FALSE)*'[1]Profiles, RES, Summer'!J$2</f>
        <v>11.49355572403336</v>
      </c>
      <c r="K10" s="6">
        <f>VLOOKUP($A10,'RES installed'!$A$2:$C$7,3,FALSE)*'[1]Profiles, RES, Summer'!K$2</f>
        <v>15.125094768764216</v>
      </c>
      <c r="L10" s="6">
        <f>VLOOKUP($A10,'RES installed'!$A$2:$C$7,3,FALSE)*'[1]Profiles, RES, Summer'!L$2</f>
        <v>17.376800606520092</v>
      </c>
      <c r="M10" s="6">
        <f>VLOOKUP($A10,'RES installed'!$A$2:$C$7,3,FALSE)*'[1]Profiles, RES, Summer'!M$2</f>
        <v>18.392721758908262</v>
      </c>
      <c r="N10" s="6">
        <f>VLOOKUP($A10,'RES installed'!$A$2:$C$7,3,FALSE)*'[1]Profiles, RES, Summer'!N$2</f>
        <v>18.802122820318424</v>
      </c>
      <c r="O10" s="6">
        <f>VLOOKUP($A10,'RES installed'!$A$2:$C$7,3,FALSE)*'[1]Profiles, RES, Summer'!O$2</f>
        <v>18.809704321455648</v>
      </c>
      <c r="P10" s="6">
        <f>VLOOKUP($A10,'RES installed'!$A$2:$C$7,3,FALSE)*'[1]Profiles, RES, Summer'!P$2</f>
        <v>18.165276724791507</v>
      </c>
      <c r="Q10" s="6">
        <f>VLOOKUP($A10,'RES installed'!$A$2:$C$7,3,FALSE)*'[1]Profiles, RES, Summer'!Q$2</f>
        <v>16.15617892342684</v>
      </c>
      <c r="R10" s="6">
        <f>VLOOKUP($A10,'RES installed'!$A$2:$C$7,3,FALSE)*'[1]Profiles, RES, Summer'!R$2</f>
        <v>12.949203942380592</v>
      </c>
      <c r="S10" s="6">
        <f>VLOOKUP($A10,'RES installed'!$A$2:$C$7,3,FALSE)*'[1]Profiles, RES, Summer'!S$2</f>
        <v>8.3775587566338139</v>
      </c>
      <c r="T10" s="6">
        <f>VLOOKUP($A10,'RES installed'!$A$2:$C$7,3,FALSE)*'[1]Profiles, RES, Summer'!T$2</f>
        <v>2.9188779378316907</v>
      </c>
      <c r="U10" s="6">
        <f>VLOOKUP($A10,'RES installed'!$A$2:$C$7,3,FALSE)*'[1]Profiles, RES, Summer'!U$2</f>
        <v>0.24260803639120546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DABC2-C2BD-4099-8F87-452525C0E91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8.5507828181453238</v>
      </c>
      <c r="C5" s="9">
        <f>VLOOKUP($A5,'RES installed'!$A$2:$C$7,3,FALSE)*'[1]Profiles, RES, Summer'!C$6</f>
        <v>7.9425933360096339</v>
      </c>
      <c r="D5" s="9">
        <f>VLOOKUP($A5,'RES installed'!$A$2:$C$7,3,FALSE)*'[1]Profiles, RES, Summer'!D$6</f>
        <v>8.0750702529104768</v>
      </c>
      <c r="E5" s="9">
        <f>VLOOKUP($A5,'RES installed'!$A$2:$C$7,3,FALSE)*'[1]Profiles, RES, Summer'!E$6</f>
        <v>7.298273785628262</v>
      </c>
      <c r="F5" s="9">
        <f>VLOOKUP($A5,'RES installed'!$A$2:$C$7,3,FALSE)*'[1]Profiles, RES, Summer'!F$6</f>
        <v>6.8285828984343633</v>
      </c>
      <c r="G5" s="9">
        <f>VLOOKUP($A5,'RES installed'!$A$2:$C$7,3,FALSE)*'[1]Profiles, RES, Summer'!G$6</f>
        <v>7.2501003613006825</v>
      </c>
      <c r="H5" s="9">
        <f>VLOOKUP($A5,'RES installed'!$A$2:$C$7,3,FALSE)*'[1]Profiles, RES, Summer'!H$6</f>
        <v>7.1718185467683657</v>
      </c>
      <c r="I5" s="9">
        <f>VLOOKUP($A5,'RES installed'!$A$2:$C$7,3,FALSE)*'[1]Profiles, RES, Summer'!I$6</f>
        <v>5.2870333199518269</v>
      </c>
      <c r="J5" s="9">
        <f>VLOOKUP($A5,'RES installed'!$A$2:$C$7,3,FALSE)*'[1]Profiles, RES, Summer'!J$6</f>
        <v>3.3841830590124449</v>
      </c>
      <c r="K5" s="9">
        <f>VLOOKUP($A5,'RES installed'!$A$2:$C$7,3,FALSE)*'[1]Profiles, RES, Summer'!K$6</f>
        <v>2.4628663187474906</v>
      </c>
      <c r="L5" s="9">
        <f>VLOOKUP($A5,'RES installed'!$A$2:$C$7,3,FALSE)*'[1]Profiles, RES, Summer'!L$6</f>
        <v>1.8606985146527497</v>
      </c>
      <c r="M5" s="9">
        <f>VLOOKUP($A5,'RES installed'!$A$2:$C$7,3,FALSE)*'[1]Profiles, RES, Summer'!M$6</f>
        <v>1.746286631874749</v>
      </c>
      <c r="N5" s="9">
        <f>VLOOKUP($A5,'RES installed'!$A$2:$C$7,3,FALSE)*'[1]Profiles, RES, Summer'!N$6</f>
        <v>2.18586912886391</v>
      </c>
      <c r="O5" s="9">
        <f>VLOOKUP($A5,'RES installed'!$A$2:$C$7,3,FALSE)*'[1]Profiles, RES, Summer'!O$6</f>
        <v>2.8362103572862303</v>
      </c>
      <c r="P5" s="9">
        <f>VLOOKUP($A5,'RES installed'!$A$2:$C$7,3,FALSE)*'[1]Profiles, RES, Summer'!P$6</f>
        <v>4.0405459654757125</v>
      </c>
      <c r="Q5" s="9">
        <f>VLOOKUP($A5,'RES installed'!$A$2:$C$7,3,FALSE)*'[1]Profiles, RES, Summer'!Q$6</f>
        <v>5.1003613006824562</v>
      </c>
      <c r="R5" s="9">
        <f>VLOOKUP($A5,'RES installed'!$A$2:$C$7,3,FALSE)*'[1]Profiles, RES, Summer'!R$6</f>
        <v>6.1059815335206746</v>
      </c>
      <c r="S5" s="9">
        <f>VLOOKUP($A5,'RES installed'!$A$2:$C$7,3,FALSE)*'[1]Profiles, RES, Summer'!S$6</f>
        <v>6.5214773183460464</v>
      </c>
      <c r="T5" s="9">
        <f>VLOOKUP($A5,'RES installed'!$A$2:$C$7,3,FALSE)*'[1]Profiles, RES, Summer'!T$6</f>
        <v>6.2023283821758328</v>
      </c>
      <c r="U5" s="9">
        <f>VLOOKUP($A5,'RES installed'!$A$2:$C$7,3,FALSE)*'[1]Profiles, RES, Summer'!U$6</f>
        <v>6.015656362906463</v>
      </c>
      <c r="V5" s="9">
        <f>VLOOKUP($A5,'RES installed'!$A$2:$C$7,3,FALSE)*'[1]Profiles, RES, Summer'!V$6</f>
        <v>6.0337213970293053</v>
      </c>
      <c r="W5" s="9">
        <f>VLOOKUP($A5,'RES installed'!$A$2:$C$7,3,FALSE)*'[1]Profiles, RES, Summer'!W$6</f>
        <v>5.5459654757125652</v>
      </c>
      <c r="X5" s="9">
        <f>VLOOKUP($A5,'RES installed'!$A$2:$C$7,3,FALSE)*'[1]Profiles, RES, Summer'!X$6</f>
        <v>5.1425130469690892</v>
      </c>
      <c r="Y5" s="9">
        <f>VLOOKUP($A5,'RES installed'!$A$2:$C$7,3,FALSE)*'[1]Profiles, RES, Summer'!Y$6</f>
        <v>5.2328382175832999</v>
      </c>
    </row>
    <row r="6" spans="1:25" x14ac:dyDescent="0.3">
      <c r="A6" s="8">
        <v>5</v>
      </c>
      <c r="B6" s="9">
        <f>VLOOKUP($A6,'RES installed'!$A$2:$C$7,3,FALSE)*'[1]Profiles, RES, Summer'!B$6</f>
        <v>5.7005218787635492</v>
      </c>
      <c r="C6" s="9">
        <f>VLOOKUP($A6,'RES installed'!$A$2:$C$7,3,FALSE)*'[1]Profiles, RES, Summer'!C$6</f>
        <v>5.2950622240064229</v>
      </c>
      <c r="D6" s="9">
        <f>VLOOKUP($A6,'RES installed'!$A$2:$C$7,3,FALSE)*'[1]Profiles, RES, Summer'!D$6</f>
        <v>5.3833801686069851</v>
      </c>
      <c r="E6" s="9">
        <f>VLOOKUP($A6,'RES installed'!$A$2:$C$7,3,FALSE)*'[1]Profiles, RES, Summer'!E$6</f>
        <v>4.8655158570855077</v>
      </c>
      <c r="F6" s="9">
        <f>VLOOKUP($A6,'RES installed'!$A$2:$C$7,3,FALSE)*'[1]Profiles, RES, Summer'!F$6</f>
        <v>4.5523885989562425</v>
      </c>
      <c r="G6" s="9">
        <f>VLOOKUP($A6,'RES installed'!$A$2:$C$7,3,FALSE)*'[1]Profiles, RES, Summer'!G$6</f>
        <v>4.8334002408671219</v>
      </c>
      <c r="H6" s="9">
        <f>VLOOKUP($A6,'RES installed'!$A$2:$C$7,3,FALSE)*'[1]Profiles, RES, Summer'!H$6</f>
        <v>4.7812123645122444</v>
      </c>
      <c r="I6" s="9">
        <f>VLOOKUP($A6,'RES installed'!$A$2:$C$7,3,FALSE)*'[1]Profiles, RES, Summer'!I$6</f>
        <v>3.5246888799678846</v>
      </c>
      <c r="J6" s="9">
        <f>VLOOKUP($A6,'RES installed'!$A$2:$C$7,3,FALSE)*'[1]Profiles, RES, Summer'!J$6</f>
        <v>2.2561220393416299</v>
      </c>
      <c r="K6" s="9">
        <f>VLOOKUP($A6,'RES installed'!$A$2:$C$7,3,FALSE)*'[1]Profiles, RES, Summer'!K$6</f>
        <v>1.6419108791649939</v>
      </c>
      <c r="L6" s="9">
        <f>VLOOKUP($A6,'RES installed'!$A$2:$C$7,3,FALSE)*'[1]Profiles, RES, Summer'!L$6</f>
        <v>1.2404656764351665</v>
      </c>
      <c r="M6" s="9">
        <f>VLOOKUP($A6,'RES installed'!$A$2:$C$7,3,FALSE)*'[1]Profiles, RES, Summer'!M$6</f>
        <v>1.1641910879164994</v>
      </c>
      <c r="N6" s="9">
        <f>VLOOKUP($A6,'RES installed'!$A$2:$C$7,3,FALSE)*'[1]Profiles, RES, Summer'!N$6</f>
        <v>1.4572460859092735</v>
      </c>
      <c r="O6" s="9">
        <f>VLOOKUP($A6,'RES installed'!$A$2:$C$7,3,FALSE)*'[1]Profiles, RES, Summer'!O$6</f>
        <v>1.8908069048574869</v>
      </c>
      <c r="P6" s="9">
        <f>VLOOKUP($A6,'RES installed'!$A$2:$C$7,3,FALSE)*'[1]Profiles, RES, Summer'!P$6</f>
        <v>2.693697310317142</v>
      </c>
      <c r="Q6" s="9">
        <f>VLOOKUP($A6,'RES installed'!$A$2:$C$7,3,FALSE)*'[1]Profiles, RES, Summer'!Q$6</f>
        <v>3.4002408671216378</v>
      </c>
      <c r="R6" s="9">
        <f>VLOOKUP($A6,'RES installed'!$A$2:$C$7,3,FALSE)*'[1]Profiles, RES, Summer'!R$6</f>
        <v>4.0706543556804498</v>
      </c>
      <c r="S6" s="9">
        <f>VLOOKUP($A6,'RES installed'!$A$2:$C$7,3,FALSE)*'[1]Profiles, RES, Summer'!S$6</f>
        <v>4.3476515455640303</v>
      </c>
      <c r="T6" s="9">
        <f>VLOOKUP($A6,'RES installed'!$A$2:$C$7,3,FALSE)*'[1]Profiles, RES, Summer'!T$6</f>
        <v>4.1348855881172222</v>
      </c>
      <c r="U6" s="9">
        <f>VLOOKUP($A6,'RES installed'!$A$2:$C$7,3,FALSE)*'[1]Profiles, RES, Summer'!U$6</f>
        <v>4.0104375752709753</v>
      </c>
      <c r="V6" s="9">
        <f>VLOOKUP($A6,'RES installed'!$A$2:$C$7,3,FALSE)*'[1]Profiles, RES, Summer'!V$6</f>
        <v>4.0224809313528702</v>
      </c>
      <c r="W6" s="9">
        <f>VLOOKUP($A6,'RES installed'!$A$2:$C$7,3,FALSE)*'[1]Profiles, RES, Summer'!W$6</f>
        <v>3.6973103171417101</v>
      </c>
      <c r="X6" s="9">
        <f>VLOOKUP($A6,'RES installed'!$A$2:$C$7,3,FALSE)*'[1]Profiles, RES, Summer'!X$6</f>
        <v>3.428342031312726</v>
      </c>
      <c r="Y6" s="9">
        <f>VLOOKUP($A6,'RES installed'!$A$2:$C$7,3,FALSE)*'[1]Profiles, RES, Summer'!Y$6</f>
        <v>3.4885588117221999</v>
      </c>
    </row>
    <row r="7" spans="1:25" x14ac:dyDescent="0.3">
      <c r="A7" s="8">
        <v>6</v>
      </c>
      <c r="B7" s="9">
        <f>VLOOKUP($A7,'RES installed'!$A$2:$C$7,3,FALSE)*'[1]Profiles, RES, Summer'!B$6</f>
        <v>8.5507828181453238</v>
      </c>
      <c r="C7" s="9">
        <f>VLOOKUP($A7,'RES installed'!$A$2:$C$7,3,FALSE)*'[1]Profiles, RES, Summer'!C$6</f>
        <v>7.9425933360096339</v>
      </c>
      <c r="D7" s="9">
        <f>VLOOKUP($A7,'RES installed'!$A$2:$C$7,3,FALSE)*'[1]Profiles, RES, Summer'!D$6</f>
        <v>8.0750702529104768</v>
      </c>
      <c r="E7" s="9">
        <f>VLOOKUP($A7,'RES installed'!$A$2:$C$7,3,FALSE)*'[1]Profiles, RES, Summer'!E$6</f>
        <v>7.298273785628262</v>
      </c>
      <c r="F7" s="9">
        <f>VLOOKUP($A7,'RES installed'!$A$2:$C$7,3,FALSE)*'[1]Profiles, RES, Summer'!F$6</f>
        <v>6.8285828984343633</v>
      </c>
      <c r="G7" s="9">
        <f>VLOOKUP($A7,'RES installed'!$A$2:$C$7,3,FALSE)*'[1]Profiles, RES, Summer'!G$6</f>
        <v>7.2501003613006825</v>
      </c>
      <c r="H7" s="9">
        <f>VLOOKUP($A7,'RES installed'!$A$2:$C$7,3,FALSE)*'[1]Profiles, RES, Summer'!H$6</f>
        <v>7.1718185467683657</v>
      </c>
      <c r="I7" s="9">
        <f>VLOOKUP($A7,'RES installed'!$A$2:$C$7,3,FALSE)*'[1]Profiles, RES, Summer'!I$6</f>
        <v>5.2870333199518269</v>
      </c>
      <c r="J7" s="9">
        <f>VLOOKUP($A7,'RES installed'!$A$2:$C$7,3,FALSE)*'[1]Profiles, RES, Summer'!J$6</f>
        <v>3.3841830590124449</v>
      </c>
      <c r="K7" s="9">
        <f>VLOOKUP($A7,'RES installed'!$A$2:$C$7,3,FALSE)*'[1]Profiles, RES, Summer'!K$6</f>
        <v>2.4628663187474906</v>
      </c>
      <c r="L7" s="9">
        <f>VLOOKUP($A7,'RES installed'!$A$2:$C$7,3,FALSE)*'[1]Profiles, RES, Summer'!L$6</f>
        <v>1.8606985146527497</v>
      </c>
      <c r="M7" s="9">
        <f>VLOOKUP($A7,'RES installed'!$A$2:$C$7,3,FALSE)*'[1]Profiles, RES, Summer'!M$6</f>
        <v>1.746286631874749</v>
      </c>
      <c r="N7" s="9">
        <f>VLOOKUP($A7,'RES installed'!$A$2:$C$7,3,FALSE)*'[1]Profiles, RES, Summer'!N$6</f>
        <v>2.18586912886391</v>
      </c>
      <c r="O7" s="9">
        <f>VLOOKUP($A7,'RES installed'!$A$2:$C$7,3,FALSE)*'[1]Profiles, RES, Summer'!O$6</f>
        <v>2.8362103572862303</v>
      </c>
      <c r="P7" s="9">
        <f>VLOOKUP($A7,'RES installed'!$A$2:$C$7,3,FALSE)*'[1]Profiles, RES, Summer'!P$6</f>
        <v>4.0405459654757125</v>
      </c>
      <c r="Q7" s="9">
        <f>VLOOKUP($A7,'RES installed'!$A$2:$C$7,3,FALSE)*'[1]Profiles, RES, Summer'!Q$6</f>
        <v>5.1003613006824562</v>
      </c>
      <c r="R7" s="9">
        <f>VLOOKUP($A7,'RES installed'!$A$2:$C$7,3,FALSE)*'[1]Profiles, RES, Summer'!R$6</f>
        <v>6.1059815335206746</v>
      </c>
      <c r="S7" s="9">
        <f>VLOOKUP($A7,'RES installed'!$A$2:$C$7,3,FALSE)*'[1]Profiles, RES, Summer'!S$6</f>
        <v>6.5214773183460464</v>
      </c>
      <c r="T7" s="9">
        <f>VLOOKUP($A7,'RES installed'!$A$2:$C$7,3,FALSE)*'[1]Profiles, RES, Summer'!T$6</f>
        <v>6.2023283821758328</v>
      </c>
      <c r="U7" s="9">
        <f>VLOOKUP($A7,'RES installed'!$A$2:$C$7,3,FALSE)*'[1]Profiles, RES, Summer'!U$6</f>
        <v>6.015656362906463</v>
      </c>
      <c r="V7" s="9">
        <f>VLOOKUP($A7,'RES installed'!$A$2:$C$7,3,FALSE)*'[1]Profiles, RES, Summer'!V$6</f>
        <v>6.0337213970293053</v>
      </c>
      <c r="W7" s="9">
        <f>VLOOKUP($A7,'RES installed'!$A$2:$C$7,3,FALSE)*'[1]Profiles, RES, Summer'!W$6</f>
        <v>5.5459654757125652</v>
      </c>
      <c r="X7" s="9">
        <f>VLOOKUP($A7,'RES installed'!$A$2:$C$7,3,FALSE)*'[1]Profiles, RES, Summer'!X$6</f>
        <v>5.1425130469690892</v>
      </c>
      <c r="Y7" s="9">
        <f>VLOOKUP($A7,'RES installed'!$A$2:$C$7,3,FALSE)*'[1]Profiles, RES, Summer'!Y$6</f>
        <v>5.2328382175832999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5.6861258529188781E-2</v>
      </c>
      <c r="H8" s="6">
        <f>VLOOKUP($A8,'RES installed'!$A$2:$C$7,3,FALSE)*'[1]Profiles, RES, Summer'!H$3</f>
        <v>2.3995451099317662</v>
      </c>
      <c r="I8" s="6">
        <f>VLOOKUP($A8,'RES installed'!$A$2:$C$7,3,FALSE)*'[1]Profiles, RES, Summer'!I$3</f>
        <v>9.6550416982562552</v>
      </c>
      <c r="J8" s="6">
        <f>VLOOKUP($A8,'RES installed'!$A$2:$C$7,3,FALSE)*'[1]Profiles, RES, Summer'!J$3</f>
        <v>17.649734647460196</v>
      </c>
      <c r="K8" s="6">
        <f>VLOOKUP($A8,'RES installed'!$A$2:$C$7,3,FALSE)*'[1]Profiles, RES, Summer'!K$3</f>
        <v>23.21076573161486</v>
      </c>
      <c r="L8" s="6">
        <f>VLOOKUP($A8,'RES installed'!$A$2:$C$7,3,FALSE)*'[1]Profiles, RES, Summer'!L$3</f>
        <v>26.997725549658831</v>
      </c>
      <c r="M8" s="6">
        <f>VLOOKUP($A8,'RES installed'!$A$2:$C$7,3,FALSE)*'[1]Profiles, RES, Summer'!M$3</f>
        <v>28.396512509476878</v>
      </c>
      <c r="N8" s="6">
        <f>VLOOKUP($A8,'RES installed'!$A$2:$C$7,3,FALSE)*'[1]Profiles, RES, Summer'!N$3</f>
        <v>28.476118271417739</v>
      </c>
      <c r="O8" s="6">
        <f>VLOOKUP($A8,'RES installed'!$A$2:$C$7,3,FALSE)*'[1]Profiles, RES, Summer'!O$3</f>
        <v>27.873388931008339</v>
      </c>
      <c r="P8" s="6">
        <f>VLOOKUP($A8,'RES installed'!$A$2:$C$7,3,FALSE)*'[1]Profiles, RES, Summer'!P$3</f>
        <v>26.986353297952995</v>
      </c>
      <c r="Q8" s="6">
        <f>VLOOKUP($A8,'RES installed'!$A$2:$C$7,3,FALSE)*'[1]Profiles, RES, Summer'!Q$3</f>
        <v>24.075056861258528</v>
      </c>
      <c r="R8" s="6">
        <f>VLOOKUP($A8,'RES installed'!$A$2:$C$7,3,FALSE)*'[1]Profiles, RES, Summer'!R$3</f>
        <v>19.332827899924187</v>
      </c>
      <c r="S8" s="6">
        <f>VLOOKUP($A8,'RES installed'!$A$2:$C$7,3,FALSE)*'[1]Profiles, RES, Summer'!S$3</f>
        <v>12.122820318423049</v>
      </c>
      <c r="T8" s="6">
        <f>VLOOKUP($A8,'RES installed'!$A$2:$C$7,3,FALSE)*'[1]Profiles, RES, Summer'!T$3</f>
        <v>3.9461713419257012</v>
      </c>
      <c r="U8" s="6">
        <f>VLOOKUP($A8,'RES installed'!$A$2:$C$7,3,FALSE)*'[1]Profiles, RES, Summer'!U$3</f>
        <v>0.26156178923426837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1.8953752843062926E-2</v>
      </c>
      <c r="H9" s="6">
        <f>VLOOKUP($A9,'RES installed'!$A$2:$C$7,3,FALSE)*'[1]Profiles, RES, Summer'!H$3</f>
        <v>0.79984836997725539</v>
      </c>
      <c r="I9" s="6">
        <f>VLOOKUP($A9,'RES installed'!$A$2:$C$7,3,FALSE)*'[1]Profiles, RES, Summer'!I$3</f>
        <v>3.2183472327520852</v>
      </c>
      <c r="J9" s="6">
        <f>VLOOKUP($A9,'RES installed'!$A$2:$C$7,3,FALSE)*'[1]Profiles, RES, Summer'!J$3</f>
        <v>5.8832448824867321</v>
      </c>
      <c r="K9" s="6">
        <f>VLOOKUP($A9,'RES installed'!$A$2:$C$7,3,FALSE)*'[1]Profiles, RES, Summer'!K$3</f>
        <v>7.7369219105382872</v>
      </c>
      <c r="L9" s="6">
        <f>VLOOKUP($A9,'RES installed'!$A$2:$C$7,3,FALSE)*'[1]Profiles, RES, Summer'!L$3</f>
        <v>8.9992418498862765</v>
      </c>
      <c r="M9" s="6">
        <f>VLOOKUP($A9,'RES installed'!$A$2:$C$7,3,FALSE)*'[1]Profiles, RES, Summer'!M$3</f>
        <v>9.4655041698256266</v>
      </c>
      <c r="N9" s="6">
        <f>VLOOKUP($A9,'RES installed'!$A$2:$C$7,3,FALSE)*'[1]Profiles, RES, Summer'!N$3</f>
        <v>9.4920394238059131</v>
      </c>
      <c r="O9" s="6">
        <f>VLOOKUP($A9,'RES installed'!$A$2:$C$7,3,FALSE)*'[1]Profiles, RES, Summer'!O$3</f>
        <v>9.2911296436694464</v>
      </c>
      <c r="P9" s="6">
        <f>VLOOKUP($A9,'RES installed'!$A$2:$C$7,3,FALSE)*'[1]Profiles, RES, Summer'!P$3</f>
        <v>8.9954510993176644</v>
      </c>
      <c r="Q9" s="6">
        <f>VLOOKUP($A9,'RES installed'!$A$2:$C$7,3,FALSE)*'[1]Profiles, RES, Summer'!Q$3</f>
        <v>8.0250189537528431</v>
      </c>
      <c r="R9" s="6">
        <f>VLOOKUP($A9,'RES installed'!$A$2:$C$7,3,FALSE)*'[1]Profiles, RES, Summer'!R$3</f>
        <v>6.4442759666413956</v>
      </c>
      <c r="S9" s="6">
        <f>VLOOKUP($A9,'RES installed'!$A$2:$C$7,3,FALSE)*'[1]Profiles, RES, Summer'!S$3</f>
        <v>4.040940106141016</v>
      </c>
      <c r="T9" s="6">
        <f>VLOOKUP($A9,'RES installed'!$A$2:$C$7,3,FALSE)*'[1]Profiles, RES, Summer'!T$3</f>
        <v>1.3153904473085669</v>
      </c>
      <c r="U9" s="6">
        <f>VLOOKUP($A9,'RES installed'!$A$2:$C$7,3,FALSE)*'[1]Profiles, RES, Summer'!U$3</f>
        <v>8.7187263078089466E-2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3.7907505686125852E-2</v>
      </c>
      <c r="H10" s="6">
        <f>VLOOKUP($A10,'RES installed'!$A$2:$C$7,3,FALSE)*'[1]Profiles, RES, Summer'!H$3</f>
        <v>1.5996967399545108</v>
      </c>
      <c r="I10" s="6">
        <f>VLOOKUP($A10,'RES installed'!$A$2:$C$7,3,FALSE)*'[1]Profiles, RES, Summer'!I$3</f>
        <v>6.4366944655041705</v>
      </c>
      <c r="J10" s="6">
        <f>VLOOKUP($A10,'RES installed'!$A$2:$C$7,3,FALSE)*'[1]Profiles, RES, Summer'!J$3</f>
        <v>11.766489764973464</v>
      </c>
      <c r="K10" s="6">
        <f>VLOOKUP($A10,'RES installed'!$A$2:$C$7,3,FALSE)*'[1]Profiles, RES, Summer'!K$3</f>
        <v>15.473843821076574</v>
      </c>
      <c r="L10" s="6">
        <f>VLOOKUP($A10,'RES installed'!$A$2:$C$7,3,FALSE)*'[1]Profiles, RES, Summer'!L$3</f>
        <v>17.998483699772553</v>
      </c>
      <c r="M10" s="6">
        <f>VLOOKUP($A10,'RES installed'!$A$2:$C$7,3,FALSE)*'[1]Profiles, RES, Summer'!M$3</f>
        <v>18.931008339651253</v>
      </c>
      <c r="N10" s="6">
        <f>VLOOKUP($A10,'RES installed'!$A$2:$C$7,3,FALSE)*'[1]Profiles, RES, Summer'!N$3</f>
        <v>18.984078847611826</v>
      </c>
      <c r="O10" s="6">
        <f>VLOOKUP($A10,'RES installed'!$A$2:$C$7,3,FALSE)*'[1]Profiles, RES, Summer'!O$3</f>
        <v>18.582259287338893</v>
      </c>
      <c r="P10" s="6">
        <f>VLOOKUP($A10,'RES installed'!$A$2:$C$7,3,FALSE)*'[1]Profiles, RES, Summer'!P$3</f>
        <v>17.990902198635329</v>
      </c>
      <c r="Q10" s="6">
        <f>VLOOKUP($A10,'RES installed'!$A$2:$C$7,3,FALSE)*'[1]Profiles, RES, Summer'!Q$3</f>
        <v>16.050037907505686</v>
      </c>
      <c r="R10" s="6">
        <f>VLOOKUP($A10,'RES installed'!$A$2:$C$7,3,FALSE)*'[1]Profiles, RES, Summer'!R$3</f>
        <v>12.888551933282791</v>
      </c>
      <c r="S10" s="6">
        <f>VLOOKUP($A10,'RES installed'!$A$2:$C$7,3,FALSE)*'[1]Profiles, RES, Summer'!S$3</f>
        <v>8.0818802122820319</v>
      </c>
      <c r="T10" s="6">
        <f>VLOOKUP($A10,'RES installed'!$A$2:$C$7,3,FALSE)*'[1]Profiles, RES, Summer'!T$3</f>
        <v>2.6307808946171338</v>
      </c>
      <c r="U10" s="6">
        <f>VLOOKUP($A10,'RES installed'!$A$2:$C$7,3,FALSE)*'[1]Profiles, RES, Summer'!U$3</f>
        <v>0.17437452615617893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B240F-3F68-4E99-9835-98D43081D49C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8.93014853472501</v>
      </c>
      <c r="C5" s="9">
        <f>VLOOKUP($A5,'RES installed'!$A$2:$C$7,3,FALSE)*'[1]Profiles, RES, Summer'!C$7</f>
        <v>8.0329185066238455</v>
      </c>
      <c r="D5" s="9">
        <f>VLOOKUP($A5,'RES installed'!$A$2:$C$7,3,FALSE)*'[1]Profiles, RES, Summer'!D$7</f>
        <v>6.7081493376154153</v>
      </c>
      <c r="E5" s="9">
        <f>VLOOKUP($A5,'RES installed'!$A$2:$C$7,3,FALSE)*'[1]Profiles, RES, Summer'!E$7</f>
        <v>6.340826977117624</v>
      </c>
      <c r="F5" s="9">
        <f>VLOOKUP($A5,'RES installed'!$A$2:$C$7,3,FALSE)*'[1]Profiles, RES, Summer'!F$7</f>
        <v>6.2384584504215175</v>
      </c>
      <c r="G5" s="9">
        <f>VLOOKUP($A5,'RES installed'!$A$2:$C$7,3,FALSE)*'[1]Profiles, RES, Summer'!G$7</f>
        <v>6.9971898835808908</v>
      </c>
      <c r="H5" s="9">
        <f>VLOOKUP($A5,'RES installed'!$A$2:$C$7,3,FALSE)*'[1]Profiles, RES, Summer'!H$7</f>
        <v>7.713769570453632</v>
      </c>
      <c r="I5" s="9">
        <f>VLOOKUP($A5,'RES installed'!$A$2:$C$7,3,FALSE)*'[1]Profiles, RES, Summer'!I$7</f>
        <v>7.9787234042553195</v>
      </c>
      <c r="J5" s="9">
        <f>VLOOKUP($A5,'RES installed'!$A$2:$C$7,3,FALSE)*'[1]Profiles, RES, Summer'!J$7</f>
        <v>6.4853472501003608</v>
      </c>
      <c r="K5" s="9">
        <f>VLOOKUP($A5,'RES installed'!$A$2:$C$7,3,FALSE)*'[1]Profiles, RES, Summer'!K$7</f>
        <v>5.0461661983139301</v>
      </c>
      <c r="L5" s="9">
        <f>VLOOKUP($A5,'RES installed'!$A$2:$C$7,3,FALSE)*'[1]Profiles, RES, Summer'!L$7</f>
        <v>4.5403452428743476</v>
      </c>
      <c r="M5" s="9">
        <f>VLOOKUP($A5,'RES installed'!$A$2:$C$7,3,FALSE)*'[1]Profiles, RES, Summer'!M$7</f>
        <v>4.0525893215576065</v>
      </c>
      <c r="N5" s="9">
        <f>VLOOKUP($A5,'RES installed'!$A$2:$C$7,3,FALSE)*'[1]Profiles, RES, Summer'!N$7</f>
        <v>4.3898032918506624</v>
      </c>
      <c r="O5" s="9">
        <f>VLOOKUP($A5,'RES installed'!$A$2:$C$7,3,FALSE)*'[1]Profiles, RES, Summer'!O$7</f>
        <v>5.8410276997189881</v>
      </c>
      <c r="P5" s="9">
        <f>VLOOKUP($A5,'RES installed'!$A$2:$C$7,3,FALSE)*'[1]Profiles, RES, Summer'!P$7</f>
        <v>7.3464472099558407</v>
      </c>
      <c r="Q5" s="9">
        <f>VLOOKUP($A5,'RES installed'!$A$2:$C$7,3,FALSE)*'[1]Profiles, RES, Summer'!Q$7</f>
        <v>7.7077478924126854</v>
      </c>
      <c r="R5" s="9">
        <f>VLOOKUP($A5,'RES installed'!$A$2:$C$7,3,FALSE)*'[1]Profiles, RES, Summer'!R$7</f>
        <v>8.3219590525893228</v>
      </c>
      <c r="S5" s="9">
        <f>VLOOKUP($A5,'RES installed'!$A$2:$C$7,3,FALSE)*'[1]Profiles, RES, Summer'!S$7</f>
        <v>8.6591730228823778</v>
      </c>
      <c r="T5" s="9">
        <f>VLOOKUP($A5,'RES installed'!$A$2:$C$7,3,FALSE)*'[1]Profiles, RES, Summer'!T$7</f>
        <v>8.8759534323564839</v>
      </c>
      <c r="U5" s="9">
        <f>VLOOKUP($A5,'RES installed'!$A$2:$C$7,3,FALSE)*'[1]Profiles, RES, Summer'!U$7</f>
        <v>10.170614211160176</v>
      </c>
      <c r="V5" s="9">
        <f>VLOOKUP($A5,'RES installed'!$A$2:$C$7,3,FALSE)*'[1]Profiles, RES, Summer'!V$7</f>
        <v>11.44118827780008</v>
      </c>
      <c r="W5" s="9">
        <f>VLOOKUP($A5,'RES installed'!$A$2:$C$7,3,FALSE)*'[1]Profiles, RES, Summer'!W$7</f>
        <v>11.049779205138497</v>
      </c>
      <c r="X5" s="9">
        <f>VLOOKUP($A5,'RES installed'!$A$2:$C$7,3,FALSE)*'[1]Profiles, RES, Summer'!X$7</f>
        <v>10.4656764351666</v>
      </c>
      <c r="Y5" s="9">
        <f>VLOOKUP($A5,'RES installed'!$A$2:$C$7,3,FALSE)*'[1]Profiles, RES, Summer'!Y$7</f>
        <v>10.27900441589723</v>
      </c>
    </row>
    <row r="6" spans="1:25" x14ac:dyDescent="0.3">
      <c r="A6" s="8">
        <v>5</v>
      </c>
      <c r="B6" s="9">
        <f>VLOOKUP($A6,'RES installed'!$A$2:$C$7,3,FALSE)*'[1]Profiles, RES, Summer'!B$7</f>
        <v>5.95343235648334</v>
      </c>
      <c r="C6" s="9">
        <f>VLOOKUP($A6,'RES installed'!$A$2:$C$7,3,FALSE)*'[1]Profiles, RES, Summer'!C$7</f>
        <v>5.3552790044158973</v>
      </c>
      <c r="D6" s="9">
        <f>VLOOKUP($A6,'RES installed'!$A$2:$C$7,3,FALSE)*'[1]Profiles, RES, Summer'!D$7</f>
        <v>4.4720995584102772</v>
      </c>
      <c r="E6" s="9">
        <f>VLOOKUP($A6,'RES installed'!$A$2:$C$7,3,FALSE)*'[1]Profiles, RES, Summer'!E$7</f>
        <v>4.2272179847450824</v>
      </c>
      <c r="F6" s="9">
        <f>VLOOKUP($A6,'RES installed'!$A$2:$C$7,3,FALSE)*'[1]Profiles, RES, Summer'!F$7</f>
        <v>4.1589723002810111</v>
      </c>
      <c r="G6" s="9">
        <f>VLOOKUP($A6,'RES installed'!$A$2:$C$7,3,FALSE)*'[1]Profiles, RES, Summer'!G$7</f>
        <v>4.6647932557205944</v>
      </c>
      <c r="H6" s="9">
        <f>VLOOKUP($A6,'RES installed'!$A$2:$C$7,3,FALSE)*'[1]Profiles, RES, Summer'!H$7</f>
        <v>5.1425130469690883</v>
      </c>
      <c r="I6" s="9">
        <f>VLOOKUP($A6,'RES installed'!$A$2:$C$7,3,FALSE)*'[1]Profiles, RES, Summer'!I$7</f>
        <v>5.3191489361702127</v>
      </c>
      <c r="J6" s="9">
        <f>VLOOKUP($A6,'RES installed'!$A$2:$C$7,3,FALSE)*'[1]Profiles, RES, Summer'!J$7</f>
        <v>4.3235648334002406</v>
      </c>
      <c r="K6" s="9">
        <f>VLOOKUP($A6,'RES installed'!$A$2:$C$7,3,FALSE)*'[1]Profiles, RES, Summer'!K$7</f>
        <v>3.3641107988759531</v>
      </c>
      <c r="L6" s="9">
        <f>VLOOKUP($A6,'RES installed'!$A$2:$C$7,3,FALSE)*'[1]Profiles, RES, Summer'!L$7</f>
        <v>3.0268968285828985</v>
      </c>
      <c r="M6" s="9">
        <f>VLOOKUP($A6,'RES installed'!$A$2:$C$7,3,FALSE)*'[1]Profiles, RES, Summer'!M$7</f>
        <v>2.701726214371738</v>
      </c>
      <c r="N6" s="9">
        <f>VLOOKUP($A6,'RES installed'!$A$2:$C$7,3,FALSE)*'[1]Profiles, RES, Summer'!N$7</f>
        <v>2.9265355279004419</v>
      </c>
      <c r="O6" s="9">
        <f>VLOOKUP($A6,'RES installed'!$A$2:$C$7,3,FALSE)*'[1]Profiles, RES, Summer'!O$7</f>
        <v>3.8940184664793254</v>
      </c>
      <c r="P6" s="9">
        <f>VLOOKUP($A6,'RES installed'!$A$2:$C$7,3,FALSE)*'[1]Profiles, RES, Summer'!P$7</f>
        <v>4.8976314733038944</v>
      </c>
      <c r="Q6" s="9">
        <f>VLOOKUP($A6,'RES installed'!$A$2:$C$7,3,FALSE)*'[1]Profiles, RES, Summer'!Q$7</f>
        <v>5.1384985949417903</v>
      </c>
      <c r="R6" s="9">
        <f>VLOOKUP($A6,'RES installed'!$A$2:$C$7,3,FALSE)*'[1]Profiles, RES, Summer'!R$7</f>
        <v>5.5479727017262146</v>
      </c>
      <c r="S6" s="9">
        <f>VLOOKUP($A6,'RES installed'!$A$2:$C$7,3,FALSE)*'[1]Profiles, RES, Summer'!S$7</f>
        <v>5.7727820152549185</v>
      </c>
      <c r="T6" s="9">
        <f>VLOOKUP($A6,'RES installed'!$A$2:$C$7,3,FALSE)*'[1]Profiles, RES, Summer'!T$7</f>
        <v>5.9173022882376554</v>
      </c>
      <c r="U6" s="9">
        <f>VLOOKUP($A6,'RES installed'!$A$2:$C$7,3,FALSE)*'[1]Profiles, RES, Summer'!U$7</f>
        <v>6.7804094741067846</v>
      </c>
      <c r="V6" s="9">
        <f>VLOOKUP($A6,'RES installed'!$A$2:$C$7,3,FALSE)*'[1]Profiles, RES, Summer'!V$7</f>
        <v>7.6274588518667201</v>
      </c>
      <c r="W6" s="9">
        <f>VLOOKUP($A6,'RES installed'!$A$2:$C$7,3,FALSE)*'[1]Profiles, RES, Summer'!W$7</f>
        <v>7.3665194700923315</v>
      </c>
      <c r="X6" s="9">
        <f>VLOOKUP($A6,'RES installed'!$A$2:$C$7,3,FALSE)*'[1]Profiles, RES, Summer'!X$7</f>
        <v>6.9771176234443999</v>
      </c>
      <c r="Y6" s="9">
        <f>VLOOKUP($A6,'RES installed'!$A$2:$C$7,3,FALSE)*'[1]Profiles, RES, Summer'!Y$7</f>
        <v>6.852669610598153</v>
      </c>
    </row>
    <row r="7" spans="1:25" x14ac:dyDescent="0.3">
      <c r="A7" s="8">
        <v>6</v>
      </c>
      <c r="B7" s="9">
        <f>VLOOKUP($A7,'RES installed'!$A$2:$C$7,3,FALSE)*'[1]Profiles, RES, Summer'!B$7</f>
        <v>8.93014853472501</v>
      </c>
      <c r="C7" s="9">
        <f>VLOOKUP($A7,'RES installed'!$A$2:$C$7,3,FALSE)*'[1]Profiles, RES, Summer'!C$7</f>
        <v>8.0329185066238455</v>
      </c>
      <c r="D7" s="9">
        <f>VLOOKUP($A7,'RES installed'!$A$2:$C$7,3,FALSE)*'[1]Profiles, RES, Summer'!D$7</f>
        <v>6.7081493376154153</v>
      </c>
      <c r="E7" s="9">
        <f>VLOOKUP($A7,'RES installed'!$A$2:$C$7,3,FALSE)*'[1]Profiles, RES, Summer'!E$7</f>
        <v>6.340826977117624</v>
      </c>
      <c r="F7" s="9">
        <f>VLOOKUP($A7,'RES installed'!$A$2:$C$7,3,FALSE)*'[1]Profiles, RES, Summer'!F$7</f>
        <v>6.2384584504215175</v>
      </c>
      <c r="G7" s="9">
        <f>VLOOKUP($A7,'RES installed'!$A$2:$C$7,3,FALSE)*'[1]Profiles, RES, Summer'!G$7</f>
        <v>6.9971898835808908</v>
      </c>
      <c r="H7" s="9">
        <f>VLOOKUP($A7,'RES installed'!$A$2:$C$7,3,FALSE)*'[1]Profiles, RES, Summer'!H$7</f>
        <v>7.713769570453632</v>
      </c>
      <c r="I7" s="9">
        <f>VLOOKUP($A7,'RES installed'!$A$2:$C$7,3,FALSE)*'[1]Profiles, RES, Summer'!I$7</f>
        <v>7.9787234042553195</v>
      </c>
      <c r="J7" s="9">
        <f>VLOOKUP($A7,'RES installed'!$A$2:$C$7,3,FALSE)*'[1]Profiles, RES, Summer'!J$7</f>
        <v>6.4853472501003608</v>
      </c>
      <c r="K7" s="9">
        <f>VLOOKUP($A7,'RES installed'!$A$2:$C$7,3,FALSE)*'[1]Profiles, RES, Summer'!K$7</f>
        <v>5.0461661983139301</v>
      </c>
      <c r="L7" s="9">
        <f>VLOOKUP($A7,'RES installed'!$A$2:$C$7,3,FALSE)*'[1]Profiles, RES, Summer'!L$7</f>
        <v>4.5403452428743476</v>
      </c>
      <c r="M7" s="9">
        <f>VLOOKUP($A7,'RES installed'!$A$2:$C$7,3,FALSE)*'[1]Profiles, RES, Summer'!M$7</f>
        <v>4.0525893215576065</v>
      </c>
      <c r="N7" s="9">
        <f>VLOOKUP($A7,'RES installed'!$A$2:$C$7,3,FALSE)*'[1]Profiles, RES, Summer'!N$7</f>
        <v>4.3898032918506624</v>
      </c>
      <c r="O7" s="9">
        <f>VLOOKUP($A7,'RES installed'!$A$2:$C$7,3,FALSE)*'[1]Profiles, RES, Summer'!O$7</f>
        <v>5.8410276997189881</v>
      </c>
      <c r="P7" s="9">
        <f>VLOOKUP($A7,'RES installed'!$A$2:$C$7,3,FALSE)*'[1]Profiles, RES, Summer'!P$7</f>
        <v>7.3464472099558407</v>
      </c>
      <c r="Q7" s="9">
        <f>VLOOKUP($A7,'RES installed'!$A$2:$C$7,3,FALSE)*'[1]Profiles, RES, Summer'!Q$7</f>
        <v>7.7077478924126854</v>
      </c>
      <c r="R7" s="9">
        <f>VLOOKUP($A7,'RES installed'!$A$2:$C$7,3,FALSE)*'[1]Profiles, RES, Summer'!R$7</f>
        <v>8.3219590525893228</v>
      </c>
      <c r="S7" s="9">
        <f>VLOOKUP($A7,'RES installed'!$A$2:$C$7,3,FALSE)*'[1]Profiles, RES, Summer'!S$7</f>
        <v>8.6591730228823778</v>
      </c>
      <c r="T7" s="9">
        <f>VLOOKUP($A7,'RES installed'!$A$2:$C$7,3,FALSE)*'[1]Profiles, RES, Summer'!T$7</f>
        <v>8.8759534323564839</v>
      </c>
      <c r="U7" s="9">
        <f>VLOOKUP($A7,'RES installed'!$A$2:$C$7,3,FALSE)*'[1]Profiles, RES, Summer'!U$7</f>
        <v>10.170614211160176</v>
      </c>
      <c r="V7" s="9">
        <f>VLOOKUP($A7,'RES installed'!$A$2:$C$7,3,FALSE)*'[1]Profiles, RES, Summer'!V$7</f>
        <v>11.44118827780008</v>
      </c>
      <c r="W7" s="9">
        <f>VLOOKUP($A7,'RES installed'!$A$2:$C$7,3,FALSE)*'[1]Profiles, RES, Summer'!W$7</f>
        <v>11.049779205138497</v>
      </c>
      <c r="X7" s="9">
        <f>VLOOKUP($A7,'RES installed'!$A$2:$C$7,3,FALSE)*'[1]Profiles, RES, Summer'!X$7</f>
        <v>10.4656764351666</v>
      </c>
      <c r="Y7" s="9">
        <f>VLOOKUP($A7,'RES installed'!$A$2:$C$7,3,FALSE)*'[1]Profiles, RES, Summer'!Y$7</f>
        <v>10.27900441589723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1.1372251705837756E-2</v>
      </c>
      <c r="H8" s="6">
        <f>VLOOKUP($A8,'RES installed'!$A$2:$C$7,3,FALSE)*'[1]Profiles, RES, Summer'!H$4</f>
        <v>1.398786959818044</v>
      </c>
      <c r="I8" s="6">
        <f>VLOOKUP($A8,'RES installed'!$A$2:$C$7,3,FALSE)*'[1]Profiles, RES, Summer'!I$4</f>
        <v>6.618650492797574</v>
      </c>
      <c r="J8" s="6">
        <f>VLOOKUP($A8,'RES installed'!$A$2:$C$7,3,FALSE)*'[1]Profiles, RES, Summer'!J$4</f>
        <v>14.408642911296438</v>
      </c>
      <c r="K8" s="6">
        <f>VLOOKUP($A8,'RES installed'!$A$2:$C$7,3,FALSE)*'[1]Profiles, RES, Summer'!K$4</f>
        <v>22.244124336618651</v>
      </c>
      <c r="L8" s="6">
        <f>VLOOKUP($A8,'RES installed'!$A$2:$C$7,3,FALSE)*'[1]Profiles, RES, Summer'!L$4</f>
        <v>27.304776345716451</v>
      </c>
      <c r="M8" s="6">
        <f>VLOOKUP($A8,'RES installed'!$A$2:$C$7,3,FALSE)*'[1]Profiles, RES, Summer'!M$4</f>
        <v>29.203942380591357</v>
      </c>
      <c r="N8" s="6">
        <f>VLOOKUP($A8,'RES installed'!$A$2:$C$7,3,FALSE)*'[1]Profiles, RES, Summer'!N$4</f>
        <v>30</v>
      </c>
      <c r="O8" s="6">
        <f>VLOOKUP($A8,'RES installed'!$A$2:$C$7,3,FALSE)*'[1]Profiles, RES, Summer'!O$4</f>
        <v>29.476876421531461</v>
      </c>
      <c r="P8" s="6">
        <f>VLOOKUP($A8,'RES installed'!$A$2:$C$7,3,FALSE)*'[1]Profiles, RES, Summer'!P$4</f>
        <v>27.987111448066717</v>
      </c>
      <c r="Q8" s="6">
        <f>VLOOKUP($A8,'RES installed'!$A$2:$C$7,3,FALSE)*'[1]Profiles, RES, Summer'!Q$4</f>
        <v>24.768764215314633</v>
      </c>
      <c r="R8" s="6">
        <f>VLOOKUP($A8,'RES installed'!$A$2:$C$7,3,FALSE)*'[1]Profiles, RES, Summer'!R$4</f>
        <v>19.457922668688401</v>
      </c>
      <c r="S8" s="6">
        <f>VLOOKUP($A8,'RES installed'!$A$2:$C$7,3,FALSE)*'[1]Profiles, RES, Summer'!S$4</f>
        <v>11.576952236542835</v>
      </c>
      <c r="T8" s="6">
        <f>VLOOKUP($A8,'RES installed'!$A$2:$C$7,3,FALSE)*'[1]Profiles, RES, Summer'!T$4</f>
        <v>3.5367702805155421</v>
      </c>
      <c r="U8" s="6">
        <f>VLOOKUP($A8,'RES installed'!$A$2:$C$7,3,FALSE)*'[1]Profiles, RES, Summer'!U$4</f>
        <v>0.1592115238817286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3.7907505686125853E-3</v>
      </c>
      <c r="H9" s="6">
        <f>VLOOKUP($A9,'RES installed'!$A$2:$C$7,3,FALSE)*'[1]Profiles, RES, Summer'!H$4</f>
        <v>0.46626231993934797</v>
      </c>
      <c r="I9" s="6">
        <f>VLOOKUP($A9,'RES installed'!$A$2:$C$7,3,FALSE)*'[1]Profiles, RES, Summer'!I$4</f>
        <v>2.206216830932525</v>
      </c>
      <c r="J9" s="6">
        <f>VLOOKUP($A9,'RES installed'!$A$2:$C$7,3,FALSE)*'[1]Profiles, RES, Summer'!J$4</f>
        <v>4.8028809704321453</v>
      </c>
      <c r="K9" s="6">
        <f>VLOOKUP($A9,'RES installed'!$A$2:$C$7,3,FALSE)*'[1]Profiles, RES, Summer'!K$4</f>
        <v>7.4147081122062168</v>
      </c>
      <c r="L9" s="6">
        <f>VLOOKUP($A9,'RES installed'!$A$2:$C$7,3,FALSE)*'[1]Profiles, RES, Summer'!L$4</f>
        <v>9.1015921152388159</v>
      </c>
      <c r="M9" s="6">
        <f>VLOOKUP($A9,'RES installed'!$A$2:$C$7,3,FALSE)*'[1]Profiles, RES, Summer'!M$4</f>
        <v>9.7346474601971185</v>
      </c>
      <c r="N9" s="6">
        <f>VLOOKUP($A9,'RES installed'!$A$2:$C$7,3,FALSE)*'[1]Profiles, RES, Summer'!N$4</f>
        <v>10</v>
      </c>
      <c r="O9" s="6">
        <f>VLOOKUP($A9,'RES installed'!$A$2:$C$7,3,FALSE)*'[1]Profiles, RES, Summer'!O$4</f>
        <v>9.8256254738438216</v>
      </c>
      <c r="P9" s="6">
        <f>VLOOKUP($A9,'RES installed'!$A$2:$C$7,3,FALSE)*'[1]Profiles, RES, Summer'!P$4</f>
        <v>9.3290371493555728</v>
      </c>
      <c r="Q9" s="6">
        <f>VLOOKUP($A9,'RES installed'!$A$2:$C$7,3,FALSE)*'[1]Profiles, RES, Summer'!Q$4</f>
        <v>8.2562547384382121</v>
      </c>
      <c r="R9" s="6">
        <f>VLOOKUP($A9,'RES installed'!$A$2:$C$7,3,FALSE)*'[1]Profiles, RES, Summer'!R$4</f>
        <v>6.4859742228961341</v>
      </c>
      <c r="S9" s="6">
        <f>VLOOKUP($A9,'RES installed'!$A$2:$C$7,3,FALSE)*'[1]Profiles, RES, Summer'!S$4</f>
        <v>3.858984078847612</v>
      </c>
      <c r="T9" s="6">
        <f>VLOOKUP($A9,'RES installed'!$A$2:$C$7,3,FALSE)*'[1]Profiles, RES, Summer'!T$4</f>
        <v>1.178923426838514</v>
      </c>
      <c r="U9" s="6">
        <f>VLOOKUP($A9,'RES installed'!$A$2:$C$7,3,FALSE)*'[1]Profiles, RES, Summer'!U$4</f>
        <v>5.3070507960576198E-2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7.5815011372251705E-3</v>
      </c>
      <c r="H10" s="6">
        <f>VLOOKUP($A10,'RES installed'!$A$2:$C$7,3,FALSE)*'[1]Profiles, RES, Summer'!H$4</f>
        <v>0.93252463987869594</v>
      </c>
      <c r="I10" s="6">
        <f>VLOOKUP($A10,'RES installed'!$A$2:$C$7,3,FALSE)*'[1]Profiles, RES, Summer'!I$4</f>
        <v>4.4124336618650499</v>
      </c>
      <c r="J10" s="6">
        <f>VLOOKUP($A10,'RES installed'!$A$2:$C$7,3,FALSE)*'[1]Profiles, RES, Summer'!J$4</f>
        <v>9.6057619408642907</v>
      </c>
      <c r="K10" s="6">
        <f>VLOOKUP($A10,'RES installed'!$A$2:$C$7,3,FALSE)*'[1]Profiles, RES, Summer'!K$4</f>
        <v>14.829416224412434</v>
      </c>
      <c r="L10" s="6">
        <f>VLOOKUP($A10,'RES installed'!$A$2:$C$7,3,FALSE)*'[1]Profiles, RES, Summer'!L$4</f>
        <v>18.203184230477632</v>
      </c>
      <c r="M10" s="6">
        <f>VLOOKUP($A10,'RES installed'!$A$2:$C$7,3,FALSE)*'[1]Profiles, RES, Summer'!M$4</f>
        <v>19.469294920394237</v>
      </c>
      <c r="N10" s="6">
        <f>VLOOKUP($A10,'RES installed'!$A$2:$C$7,3,FALSE)*'[1]Profiles, RES, Summer'!N$4</f>
        <v>20</v>
      </c>
      <c r="O10" s="6">
        <f>VLOOKUP($A10,'RES installed'!$A$2:$C$7,3,FALSE)*'[1]Profiles, RES, Summer'!O$4</f>
        <v>19.651250947687643</v>
      </c>
      <c r="P10" s="6">
        <f>VLOOKUP($A10,'RES installed'!$A$2:$C$7,3,FALSE)*'[1]Profiles, RES, Summer'!P$4</f>
        <v>18.658074298711146</v>
      </c>
      <c r="Q10" s="6">
        <f>VLOOKUP($A10,'RES installed'!$A$2:$C$7,3,FALSE)*'[1]Profiles, RES, Summer'!Q$4</f>
        <v>16.512509476876424</v>
      </c>
      <c r="R10" s="6">
        <f>VLOOKUP($A10,'RES installed'!$A$2:$C$7,3,FALSE)*'[1]Profiles, RES, Summer'!R$4</f>
        <v>12.971948445792268</v>
      </c>
      <c r="S10" s="6">
        <f>VLOOKUP($A10,'RES installed'!$A$2:$C$7,3,FALSE)*'[1]Profiles, RES, Summer'!S$4</f>
        <v>7.7179681576952239</v>
      </c>
      <c r="T10" s="6">
        <f>VLOOKUP($A10,'RES installed'!$A$2:$C$7,3,FALSE)*'[1]Profiles, RES, Summer'!T$4</f>
        <v>2.3578468536770281</v>
      </c>
      <c r="U10" s="6">
        <f>VLOOKUP($A10,'RES installed'!$A$2:$C$7,3,FALSE)*'[1]Profiles, RES, Summer'!U$4</f>
        <v>0.1061410159211524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3310E-3DB0-4C43-A82E-ED41E0D1FB34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8BBA2-3995-4A96-B4C3-5711AF5AF9B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521A2-A9FA-46E1-AE16-7A197096CC8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A15AD-4FA9-4630-A4FA-A501FABA5628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06378-35BA-4FD0-A744-E752A6BC7C8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C14FD-8154-4080-9D07-055678893CA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47BD6-E866-483A-B517-30B00C56E19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34B83-BAC8-4413-8A3C-4A5C2F786B3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8F3CB-EC41-4B40-BF24-79BC6C576CF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A48FA-B634-45EF-B224-4D781DFA4529}">
  <dimension ref="A1:Y10"/>
  <sheetViews>
    <sheetView workbookViewId="0">
      <selection activeCell="P27" sqref="P2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2025-06-17T08:28:53Z</dcterms:modified>
</cp:coreProperties>
</file>